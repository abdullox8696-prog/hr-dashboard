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otaboev\Desktop\"/>
    </mc:Choice>
  </mc:AlternateContent>
  <xr:revisionPtr revIDLastSave="0" documentId="13_ncr:1_{896FB418-FDF9-4BD6-AF04-962C597994F5}" xr6:coauthVersionLast="47" xr6:coauthVersionMax="47" xr10:uidLastSave="{00000000-0000-0000-0000-000000000000}"/>
  <bookViews>
    <workbookView xWindow="-120" yWindow="-120" windowWidth="29040" windowHeight="15720" tabRatio="754" activeTab="9" xr2:uid="{00000000-000D-0000-FFFF-FFFF00000000}"/>
  </bookViews>
  <sheets>
    <sheet name="Дашборд" sheetId="1" r:id="rId1"/>
    <sheet name="Данные" sheetId="2" r:id="rId2"/>
    <sheet name="Расчёты" sheetId="3" state="hidden" r:id="rId3"/>
    <sheet name="Не сдали" sheetId="4" r:id="rId4"/>
    <sheet name="В процессе" sheetId="5" r:id="rId5"/>
    <sheet name="Готовы к экзамену" sheetId="6" r:id="rId6"/>
    <sheet name="Обучение" sheetId="7" r:id="rId7"/>
    <sheet name="Экзамен сдан" sheetId="8" r:id="rId8"/>
    <sheet name="K обучению" sheetId="9" r:id="rId9"/>
    <sheet name="Поиск" sheetId="10" r:id="rId10"/>
  </sheets>
  <definedNames>
    <definedName name="_xlnm.Print_Area" localSheetId="0">Дашборд!$A$1:$P$62</definedName>
    <definedName name="_xlnm.Print_Area" localSheetId="9">Поиск!$A$1:$G$20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B19" i="10"/>
  <c r="B18" i="10"/>
  <c r="B17" i="10"/>
  <c r="B16" i="10"/>
  <c r="B14" i="10"/>
  <c r="B13" i="10"/>
  <c r="B12" i="10"/>
  <c r="B11" i="10"/>
  <c r="B10" i="10"/>
  <c r="B9" i="10"/>
  <c r="B8" i="10"/>
  <c r="K106" i="9" a="1"/>
  <c r="K106" i="9" s="1"/>
  <c r="K105" i="9" a="1"/>
  <c r="K105" i="9" s="1"/>
  <c r="I105" i="9" s="1"/>
  <c r="K104" i="9" a="1"/>
  <c r="K104" i="9" s="1"/>
  <c r="K103" i="9" a="1"/>
  <c r="K103" i="9" s="1"/>
  <c r="K102" i="9" a="1"/>
  <c r="K102" i="9" s="1"/>
  <c r="H102" i="9" s="1"/>
  <c r="K101" i="9" a="1"/>
  <c r="K101" i="9" s="1"/>
  <c r="K100" i="9" a="1"/>
  <c r="K100" i="9" s="1"/>
  <c r="K99" i="9" a="1"/>
  <c r="K99" i="9" s="1"/>
  <c r="K98" i="9" a="1"/>
  <c r="K98" i="9" s="1"/>
  <c r="D98" i="9" s="1"/>
  <c r="K97" i="9" a="1"/>
  <c r="K97" i="9" s="1"/>
  <c r="H97" i="9" s="1"/>
  <c r="K96" i="9" a="1"/>
  <c r="K96" i="9" s="1"/>
  <c r="K95" i="9" a="1"/>
  <c r="K95" i="9" s="1"/>
  <c r="F95" i="9" s="1"/>
  <c r="K94" i="9" a="1"/>
  <c r="K94" i="9" s="1"/>
  <c r="E94" i="9" s="1"/>
  <c r="K93" i="9" a="1"/>
  <c r="K93" i="9" s="1"/>
  <c r="D93" i="9" s="1"/>
  <c r="K92" i="9" a="1"/>
  <c r="K92" i="9" s="1"/>
  <c r="I92" i="9" s="1"/>
  <c r="K91" i="9" a="1"/>
  <c r="K91" i="9" s="1"/>
  <c r="B91" i="9" s="1"/>
  <c r="K90" i="9" a="1"/>
  <c r="K90" i="9" s="1"/>
  <c r="H90" i="9" s="1"/>
  <c r="K89" i="9" a="1"/>
  <c r="K89" i="9" s="1"/>
  <c r="K88" i="9" a="1"/>
  <c r="K88" i="9" s="1"/>
  <c r="K87" i="9" a="1"/>
  <c r="K87" i="9" s="1"/>
  <c r="K86" i="9" a="1"/>
  <c r="K86" i="9" s="1"/>
  <c r="K85" i="9" a="1"/>
  <c r="K85" i="9" s="1"/>
  <c r="K84" i="9" a="1"/>
  <c r="K84" i="9" s="1"/>
  <c r="G84" i="9" s="1"/>
  <c r="K83" i="9" a="1"/>
  <c r="K83" i="9" s="1"/>
  <c r="F83" i="9" s="1"/>
  <c r="K82" i="9" a="1"/>
  <c r="K82" i="9" s="1"/>
  <c r="E82" i="9" s="1"/>
  <c r="K81" i="9" a="1"/>
  <c r="K81" i="9" s="1"/>
  <c r="K80" i="9" a="1"/>
  <c r="K80" i="9" s="1"/>
  <c r="K79" i="9" a="1"/>
  <c r="K79" i="9" s="1"/>
  <c r="B79" i="9" s="1"/>
  <c r="K78" i="9" a="1"/>
  <c r="K78" i="9" s="1"/>
  <c r="K77" i="9" a="1"/>
  <c r="K77" i="9" s="1"/>
  <c r="K76" i="9" a="1"/>
  <c r="K76" i="9" s="1"/>
  <c r="K75" i="9" a="1"/>
  <c r="K75" i="9" s="1"/>
  <c r="K74" i="9" a="1"/>
  <c r="K74" i="9" s="1"/>
  <c r="K73" i="9" a="1"/>
  <c r="K73" i="9" s="1"/>
  <c r="K72" i="9" a="1"/>
  <c r="K72" i="9" s="1"/>
  <c r="G72" i="9" s="1"/>
  <c r="K71" i="9" a="1"/>
  <c r="K71" i="9" s="1"/>
  <c r="F71" i="9" s="1"/>
  <c r="K70" i="9" a="1"/>
  <c r="K70" i="9" s="1"/>
  <c r="E70" i="9" s="1"/>
  <c r="K69" i="9" a="1"/>
  <c r="K69" i="9" s="1"/>
  <c r="K68" i="9" a="1"/>
  <c r="K68" i="9" s="1"/>
  <c r="C68" i="9" s="1"/>
  <c r="K67" i="9" a="1"/>
  <c r="K67" i="9" s="1"/>
  <c r="B67" i="9" s="1"/>
  <c r="K66" i="9" a="1"/>
  <c r="K66" i="9" s="1"/>
  <c r="K65" i="9" a="1"/>
  <c r="K65" i="9" s="1"/>
  <c r="K64" i="9" a="1"/>
  <c r="K64" i="9" s="1"/>
  <c r="K63" i="9" a="1"/>
  <c r="K63" i="9" s="1"/>
  <c r="K62" i="9" a="1"/>
  <c r="K62" i="9" s="1"/>
  <c r="K61" i="9" a="1"/>
  <c r="K61" i="9" s="1"/>
  <c r="K60" i="9" a="1"/>
  <c r="K60" i="9" s="1"/>
  <c r="G60" i="9" s="1"/>
  <c r="K59" i="9" a="1"/>
  <c r="K59" i="9" s="1"/>
  <c r="K58" i="9" a="1"/>
  <c r="K58" i="9" s="1"/>
  <c r="E58" i="9" s="1"/>
  <c r="K57" i="9" a="1"/>
  <c r="K57" i="9" s="1"/>
  <c r="K56" i="9" a="1"/>
  <c r="K56" i="9" s="1"/>
  <c r="C56" i="9" s="1"/>
  <c r="K55" i="9" a="1"/>
  <c r="K55" i="9" s="1"/>
  <c r="B55" i="9" s="1"/>
  <c r="K54" i="9" a="1"/>
  <c r="K54" i="9" s="1"/>
  <c r="K53" i="9" a="1"/>
  <c r="K53" i="9" s="1"/>
  <c r="K52" i="9" a="1"/>
  <c r="K52" i="9" s="1"/>
  <c r="K51" i="9" a="1"/>
  <c r="K51" i="9" s="1"/>
  <c r="K50" i="9" a="1"/>
  <c r="K50" i="9" s="1"/>
  <c r="I50" i="9" s="1"/>
  <c r="K49" i="9" a="1"/>
  <c r="K49" i="9" s="1"/>
  <c r="C49" i="9" s="1"/>
  <c r="K48" i="9" a="1"/>
  <c r="K48" i="9" s="1"/>
  <c r="G48" i="9" s="1"/>
  <c r="K47" i="9" a="1"/>
  <c r="K47" i="9" s="1"/>
  <c r="F47" i="9" s="1"/>
  <c r="K46" i="9" a="1"/>
  <c r="K46" i="9" s="1"/>
  <c r="E46" i="9" s="1"/>
  <c r="K45" i="9" a="1"/>
  <c r="K45" i="9" s="1"/>
  <c r="K44" i="9" a="1"/>
  <c r="K44" i="9" s="1"/>
  <c r="K43" i="9" a="1"/>
  <c r="K43" i="9" s="1"/>
  <c r="B43" i="9" s="1"/>
  <c r="K42" i="9" a="1"/>
  <c r="K42" i="9" s="1"/>
  <c r="K41" i="9" a="1"/>
  <c r="K41" i="9" s="1"/>
  <c r="K40" i="9" a="1"/>
  <c r="K40" i="9" s="1"/>
  <c r="K39" i="9" a="1"/>
  <c r="K39" i="9" s="1"/>
  <c r="K38" i="9" a="1"/>
  <c r="K38" i="9" s="1"/>
  <c r="I38" i="9" s="1"/>
  <c r="K37" i="9" a="1"/>
  <c r="K37" i="9" s="1"/>
  <c r="C37" i="9" s="1"/>
  <c r="K36" i="9" a="1"/>
  <c r="K36" i="9" s="1"/>
  <c r="G36" i="9" s="1"/>
  <c r="K35" i="9" a="1"/>
  <c r="K35" i="9" s="1"/>
  <c r="F35" i="9" s="1"/>
  <c r="K34" i="9" a="1"/>
  <c r="K34" i="9" s="1"/>
  <c r="E34" i="9" s="1"/>
  <c r="K33" i="9" a="1"/>
  <c r="K33" i="9" s="1"/>
  <c r="K32" i="9" a="1"/>
  <c r="K32" i="9" s="1"/>
  <c r="C32" i="9" s="1"/>
  <c r="K31" i="9" a="1"/>
  <c r="K31" i="9" s="1"/>
  <c r="B31" i="9" s="1"/>
  <c r="K30" i="9" a="1"/>
  <c r="K30" i="9" s="1"/>
  <c r="A30" i="9" s="1"/>
  <c r="K29" i="9" a="1"/>
  <c r="K29" i="9" s="1"/>
  <c r="I29" i="9" s="1"/>
  <c r="K28" i="9" a="1"/>
  <c r="K28" i="9" s="1"/>
  <c r="K27" i="9" a="1"/>
  <c r="K27" i="9" s="1"/>
  <c r="G27" i="9" s="1"/>
  <c r="K26" i="9" a="1"/>
  <c r="K26" i="9" s="1"/>
  <c r="I26" i="9" s="1"/>
  <c r="K25" i="9" a="1"/>
  <c r="K25" i="9" s="1"/>
  <c r="K24" i="9" a="1"/>
  <c r="K24" i="9" s="1"/>
  <c r="D24" i="9" s="1"/>
  <c r="K23" i="9" a="1"/>
  <c r="K23" i="9" s="1"/>
  <c r="F23" i="9" s="1"/>
  <c r="K22" i="9" a="1"/>
  <c r="K22" i="9" s="1"/>
  <c r="E22" i="9" s="1"/>
  <c r="K21" i="9" a="1"/>
  <c r="K21" i="9" s="1"/>
  <c r="D21" i="9" s="1"/>
  <c r="K20" i="9" a="1"/>
  <c r="K20" i="9" s="1"/>
  <c r="I20" i="9" s="1"/>
  <c r="K19" i="9" a="1"/>
  <c r="K19" i="9" s="1"/>
  <c r="K18" i="9" a="1"/>
  <c r="K18" i="9" s="1"/>
  <c r="K17" i="9" a="1"/>
  <c r="K17" i="9" s="1"/>
  <c r="K16" i="9" a="1"/>
  <c r="K16" i="9" s="1"/>
  <c r="K15" i="9" a="1"/>
  <c r="K15" i="9" s="1"/>
  <c r="K14" i="9" a="1"/>
  <c r="K14" i="9" s="1"/>
  <c r="F14" i="9" s="1"/>
  <c r="K13" i="9" a="1"/>
  <c r="K13" i="9" s="1"/>
  <c r="K12" i="9" a="1"/>
  <c r="K12" i="9" s="1"/>
  <c r="F12" i="9" s="1"/>
  <c r="K11" i="9" a="1"/>
  <c r="K11" i="9" s="1"/>
  <c r="G11" i="9" s="1"/>
  <c r="K10" i="9" a="1"/>
  <c r="K10" i="9" s="1"/>
  <c r="C10" i="9" s="1"/>
  <c r="K9" i="9" a="1"/>
  <c r="K9" i="9" s="1"/>
  <c r="K8" i="9" a="1"/>
  <c r="K8" i="9" s="1"/>
  <c r="K7" i="9" a="1"/>
  <c r="K7" i="9" s="1"/>
  <c r="A5" i="9"/>
  <c r="K1006" i="8" a="1"/>
  <c r="K1006" i="8" s="1"/>
  <c r="K1005" i="8" a="1"/>
  <c r="K1005" i="8" s="1"/>
  <c r="H1005" i="8" s="1"/>
  <c r="K1004" i="8" a="1"/>
  <c r="K1004" i="8" s="1"/>
  <c r="F1004" i="8" s="1"/>
  <c r="K1003" i="8" a="1"/>
  <c r="K1003" i="8" s="1"/>
  <c r="E1003" i="8" s="1"/>
  <c r="K1002" i="8" a="1"/>
  <c r="K1002" i="8" s="1"/>
  <c r="B1002" i="8" s="1"/>
  <c r="K1001" i="8" a="1"/>
  <c r="K1001" i="8" s="1"/>
  <c r="K1000" i="8" a="1"/>
  <c r="K1000" i="8" s="1"/>
  <c r="K999" i="8" a="1"/>
  <c r="K999" i="8" s="1"/>
  <c r="A999" i="8" s="1"/>
  <c r="K998" i="8" a="1"/>
  <c r="K998" i="8" s="1"/>
  <c r="K997" i="8" a="1"/>
  <c r="K997" i="8" s="1"/>
  <c r="K996" i="8" a="1"/>
  <c r="K996" i="8" s="1"/>
  <c r="I996" i="8" s="1"/>
  <c r="K995" i="8" a="1"/>
  <c r="K995" i="8" s="1"/>
  <c r="I995" i="8" s="1"/>
  <c r="K994" i="8" a="1"/>
  <c r="K994" i="8" s="1"/>
  <c r="H994" i="8" s="1"/>
  <c r="K993" i="8" a="1"/>
  <c r="K993" i="8" s="1"/>
  <c r="K992" i="8" a="1"/>
  <c r="K992" i="8" s="1"/>
  <c r="F992" i="8" s="1"/>
  <c r="K991" i="8" a="1"/>
  <c r="K991" i="8" s="1"/>
  <c r="D991" i="8" s="1"/>
  <c r="K990" i="8" a="1"/>
  <c r="K990" i="8" s="1"/>
  <c r="K989" i="8" a="1"/>
  <c r="K989" i="8" s="1"/>
  <c r="K988" i="8" a="1"/>
  <c r="K988" i="8" s="1"/>
  <c r="K987" i="8" a="1"/>
  <c r="K987" i="8" s="1"/>
  <c r="A987" i="8" s="1"/>
  <c r="K986" i="8" a="1"/>
  <c r="K986" i="8" s="1"/>
  <c r="K985" i="8" a="1"/>
  <c r="K985" i="8" s="1"/>
  <c r="K984" i="8" a="1"/>
  <c r="K984" i="8" s="1"/>
  <c r="I984" i="8" s="1"/>
  <c r="K983" i="8" a="1"/>
  <c r="K983" i="8" s="1"/>
  <c r="K982" i="8" a="1"/>
  <c r="K982" i="8" s="1"/>
  <c r="H982" i="8" s="1"/>
  <c r="K981" i="8" a="1"/>
  <c r="K981" i="8" s="1"/>
  <c r="E981" i="8" s="1"/>
  <c r="K980" i="8" a="1"/>
  <c r="K980" i="8" s="1"/>
  <c r="F980" i="8" s="1"/>
  <c r="K979" i="8" a="1"/>
  <c r="K979" i="8" s="1"/>
  <c r="K978" i="8" a="1"/>
  <c r="K978" i="8" s="1"/>
  <c r="K977" i="8" a="1"/>
  <c r="K977" i="8" s="1"/>
  <c r="K976" i="8" a="1"/>
  <c r="K976" i="8" s="1"/>
  <c r="K975" i="8" a="1"/>
  <c r="K975" i="8" s="1"/>
  <c r="A975" i="8" s="1"/>
  <c r="K974" i="8" a="1"/>
  <c r="K974" i="8" s="1"/>
  <c r="K973" i="8" a="1"/>
  <c r="K973" i="8" s="1"/>
  <c r="K972" i="8" a="1"/>
  <c r="K972" i="8" s="1"/>
  <c r="I972" i="8" s="1"/>
  <c r="K971" i="8" a="1"/>
  <c r="K971" i="8" s="1"/>
  <c r="I971" i="8" s="1"/>
  <c r="K970" i="8" a="1"/>
  <c r="K970" i="8" s="1"/>
  <c r="G970" i="8" s="1"/>
  <c r="K969" i="8" a="1"/>
  <c r="K969" i="8" s="1"/>
  <c r="K968" i="8" a="1"/>
  <c r="K968" i="8" s="1"/>
  <c r="F968" i="8" s="1"/>
  <c r="K967" i="8" a="1"/>
  <c r="K967" i="8" s="1"/>
  <c r="E967" i="8" s="1"/>
  <c r="K966" i="8" a="1"/>
  <c r="K966" i="8" s="1"/>
  <c r="K965" i="8" a="1"/>
  <c r="K965" i="8" s="1"/>
  <c r="C965" i="8" s="1"/>
  <c r="K964" i="8" a="1"/>
  <c r="K964" i="8" s="1"/>
  <c r="I964" i="8" s="1"/>
  <c r="K963" i="8" a="1"/>
  <c r="K963" i="8" s="1"/>
  <c r="K962" i="8" a="1"/>
  <c r="K962" i="8" s="1"/>
  <c r="K961" i="8" a="1"/>
  <c r="K961" i="8" s="1"/>
  <c r="K960" i="8" a="1"/>
  <c r="K960" i="8" s="1"/>
  <c r="I960" i="8" s="1"/>
  <c r="K959" i="8" a="1"/>
  <c r="K959" i="8" s="1"/>
  <c r="H959" i="8" s="1"/>
  <c r="K958" i="8" a="1"/>
  <c r="K958" i="8" s="1"/>
  <c r="G958" i="8" s="1"/>
  <c r="K957" i="8" a="1"/>
  <c r="K957" i="8" s="1"/>
  <c r="E957" i="8" s="1"/>
  <c r="K956" i="8" a="1"/>
  <c r="K956" i="8" s="1"/>
  <c r="F956" i="8" s="1"/>
  <c r="K955" i="8" a="1"/>
  <c r="K955" i="8" s="1"/>
  <c r="D955" i="8" s="1"/>
  <c r="K954" i="8" a="1"/>
  <c r="K954" i="8" s="1"/>
  <c r="D954" i="8" s="1"/>
  <c r="K953" i="8" a="1"/>
  <c r="K953" i="8" s="1"/>
  <c r="B953" i="8" s="1"/>
  <c r="K952" i="8" a="1"/>
  <c r="K952" i="8" s="1"/>
  <c r="K951" i="8" a="1"/>
  <c r="K951" i="8" s="1"/>
  <c r="G951" i="8" s="1"/>
  <c r="K950" i="8" a="1"/>
  <c r="K950" i="8" s="1"/>
  <c r="F950" i="8" s="1"/>
  <c r="K949" i="8" a="1"/>
  <c r="K949" i="8" s="1"/>
  <c r="K948" i="8" a="1"/>
  <c r="K948" i="8" s="1"/>
  <c r="K947" i="8" a="1"/>
  <c r="K947" i="8" s="1"/>
  <c r="I947" i="8" s="1"/>
  <c r="K946" i="8" a="1"/>
  <c r="K946" i="8" s="1"/>
  <c r="K945" i="8" a="1"/>
  <c r="K945" i="8" s="1"/>
  <c r="I945" i="8" s="1"/>
  <c r="K944" i="8" a="1"/>
  <c r="K944" i="8" s="1"/>
  <c r="K943" i="8" a="1"/>
  <c r="K943" i="8" s="1"/>
  <c r="K942" i="8" a="1"/>
  <c r="K942" i="8" s="1"/>
  <c r="K941" i="8" a="1"/>
  <c r="K941" i="8" s="1"/>
  <c r="K940" i="8" a="1"/>
  <c r="K940" i="8" s="1"/>
  <c r="I940" i="8" s="1"/>
  <c r="K939" i="8" a="1"/>
  <c r="K939" i="8" s="1"/>
  <c r="I939" i="8" s="1"/>
  <c r="K938" i="8" a="1"/>
  <c r="K938" i="8" s="1"/>
  <c r="K937" i="8" a="1"/>
  <c r="K937" i="8" s="1"/>
  <c r="K936" i="8" a="1"/>
  <c r="K936" i="8" s="1"/>
  <c r="K935" i="8" a="1"/>
  <c r="K935" i="8" s="1"/>
  <c r="K934" i="8" a="1"/>
  <c r="K934" i="8" s="1"/>
  <c r="K933" i="8" a="1"/>
  <c r="K933" i="8" s="1"/>
  <c r="K932" i="8" a="1"/>
  <c r="K932" i="8" s="1"/>
  <c r="C932" i="8" s="1"/>
  <c r="K931" i="8" a="1"/>
  <c r="K931" i="8" s="1"/>
  <c r="C931" i="8" s="1"/>
  <c r="K930" i="8" a="1"/>
  <c r="K930" i="8" s="1"/>
  <c r="K929" i="8" a="1"/>
  <c r="K929" i="8" s="1"/>
  <c r="K928" i="8" a="1"/>
  <c r="K928" i="8" s="1"/>
  <c r="K927" i="8" a="1"/>
  <c r="K927" i="8" s="1"/>
  <c r="K926" i="8" a="1"/>
  <c r="K926" i="8" s="1"/>
  <c r="K925" i="8" a="1"/>
  <c r="K925" i="8" s="1"/>
  <c r="A925" i="8" s="1"/>
  <c r="K924" i="8" a="1"/>
  <c r="K924" i="8" s="1"/>
  <c r="K923" i="8" a="1"/>
  <c r="K923" i="8" s="1"/>
  <c r="K922" i="8" a="1"/>
  <c r="K922" i="8" s="1"/>
  <c r="I922" i="8" s="1"/>
  <c r="K921" i="8" a="1"/>
  <c r="K921" i="8" s="1"/>
  <c r="K920" i="8" a="1"/>
  <c r="K920" i="8" s="1"/>
  <c r="G920" i="8" s="1"/>
  <c r="K919" i="8" a="1"/>
  <c r="K919" i="8" s="1"/>
  <c r="K918" i="8" a="1"/>
  <c r="K918" i="8" s="1"/>
  <c r="E918" i="8" s="1"/>
  <c r="K917" i="8" a="1"/>
  <c r="K917" i="8" s="1"/>
  <c r="D917" i="8" s="1"/>
  <c r="K916" i="8" a="1"/>
  <c r="K916" i="8" s="1"/>
  <c r="C916" i="8" s="1"/>
  <c r="K915" i="8" a="1"/>
  <c r="K915" i="8" s="1"/>
  <c r="I915" i="8" s="1"/>
  <c r="K914" i="8" a="1"/>
  <c r="K914" i="8" s="1"/>
  <c r="H914" i="8" s="1"/>
  <c r="K913" i="8" a="1"/>
  <c r="K913" i="8" s="1"/>
  <c r="K912" i="8" a="1"/>
  <c r="K912" i="8" s="1"/>
  <c r="F912" i="8" s="1"/>
  <c r="K911" i="8" a="1"/>
  <c r="K911" i="8" s="1"/>
  <c r="E911" i="8" s="1"/>
  <c r="K910" i="8" a="1"/>
  <c r="K910" i="8" s="1"/>
  <c r="I910" i="8" s="1"/>
  <c r="K909" i="8" a="1"/>
  <c r="K909" i="8" s="1"/>
  <c r="K908" i="8" a="1"/>
  <c r="K908" i="8" s="1"/>
  <c r="G908" i="8" s="1"/>
  <c r="K907" i="8" a="1"/>
  <c r="K907" i="8" s="1"/>
  <c r="K906" i="8" a="1"/>
  <c r="K906" i="8" s="1"/>
  <c r="E906" i="8" s="1"/>
  <c r="K905" i="8" a="1"/>
  <c r="K905" i="8" s="1"/>
  <c r="D905" i="8" s="1"/>
  <c r="K904" i="8" a="1"/>
  <c r="K904" i="8" s="1"/>
  <c r="C904" i="8" s="1"/>
  <c r="K903" i="8" a="1"/>
  <c r="K903" i="8" s="1"/>
  <c r="B903" i="8" s="1"/>
  <c r="K902" i="8" a="1"/>
  <c r="K902" i="8" s="1"/>
  <c r="K901" i="8" a="1"/>
  <c r="K901" i="8" s="1"/>
  <c r="G901" i="8" s="1"/>
  <c r="K900" i="8" a="1"/>
  <c r="K900" i="8" s="1"/>
  <c r="F900" i="8" s="1"/>
  <c r="K899" i="8" a="1"/>
  <c r="K899" i="8" s="1"/>
  <c r="E899" i="8" s="1"/>
  <c r="K898" i="8" a="1"/>
  <c r="K898" i="8" s="1"/>
  <c r="I898" i="8" s="1"/>
  <c r="K897" i="8" a="1"/>
  <c r="K897" i="8" s="1"/>
  <c r="K896" i="8" a="1"/>
  <c r="K896" i="8" s="1"/>
  <c r="I896" i="8" s="1"/>
  <c r="K895" i="8" a="1"/>
  <c r="K895" i="8" s="1"/>
  <c r="K894" i="8" a="1"/>
  <c r="K894" i="8" s="1"/>
  <c r="G894" i="8" s="1"/>
  <c r="K893" i="8" a="1"/>
  <c r="K893" i="8" s="1"/>
  <c r="F893" i="8" s="1"/>
  <c r="K892" i="8" a="1"/>
  <c r="K892" i="8" s="1"/>
  <c r="K891" i="8" a="1"/>
  <c r="K891" i="8" s="1"/>
  <c r="I891" i="8" s="1"/>
  <c r="K890" i="8" a="1"/>
  <c r="K890" i="8" s="1"/>
  <c r="H890" i="8" s="1"/>
  <c r="K889" i="8" a="1"/>
  <c r="K889" i="8" s="1"/>
  <c r="K888" i="8" a="1"/>
  <c r="K888" i="8" s="1"/>
  <c r="K887" i="8" a="1"/>
  <c r="K887" i="8" s="1"/>
  <c r="I887" i="8" s="1"/>
  <c r="K886" i="8" a="1"/>
  <c r="K886" i="8" s="1"/>
  <c r="K885" i="8" a="1"/>
  <c r="K885" i="8" s="1"/>
  <c r="K884" i="8" a="1"/>
  <c r="K884" i="8" s="1"/>
  <c r="H884" i="8" s="1"/>
  <c r="K883" i="8" a="1"/>
  <c r="K883" i="8" s="1"/>
  <c r="K882" i="8" a="1"/>
  <c r="K882" i="8" s="1"/>
  <c r="G882" i="8" s="1"/>
  <c r="K881" i="8" a="1"/>
  <c r="K881" i="8" s="1"/>
  <c r="K880" i="8" a="1"/>
  <c r="K880" i="8" s="1"/>
  <c r="K879" i="8" a="1"/>
  <c r="K879" i="8" s="1"/>
  <c r="I879" i="8" s="1"/>
  <c r="K878" i="8" a="1"/>
  <c r="K878" i="8" s="1"/>
  <c r="K877" i="8" a="1"/>
  <c r="K877" i="8" s="1"/>
  <c r="I877" i="8" s="1"/>
  <c r="K876" i="8" a="1"/>
  <c r="K876" i="8" s="1"/>
  <c r="K875" i="8" a="1"/>
  <c r="K875" i="8" s="1"/>
  <c r="K874" i="8" a="1"/>
  <c r="K874" i="8" s="1"/>
  <c r="K873" i="8" a="1"/>
  <c r="K873" i="8" s="1"/>
  <c r="K872" i="8" a="1"/>
  <c r="K872" i="8" s="1"/>
  <c r="K871" i="8" a="1"/>
  <c r="K871" i="8" s="1"/>
  <c r="K870" i="8" a="1"/>
  <c r="K870" i="8" s="1"/>
  <c r="D870" i="8" s="1"/>
  <c r="K869" i="8" a="1"/>
  <c r="K869" i="8" s="1"/>
  <c r="K868" i="8" a="1"/>
  <c r="K868" i="8" s="1"/>
  <c r="K867" i="8" a="1"/>
  <c r="K867" i="8" s="1"/>
  <c r="E867" i="8" s="1"/>
  <c r="K866" i="8" a="1"/>
  <c r="K866" i="8" s="1"/>
  <c r="G866" i="8" s="1"/>
  <c r="K865" i="8" a="1"/>
  <c r="K865" i="8" s="1"/>
  <c r="G865" i="8" s="1"/>
  <c r="K864" i="8" a="1"/>
  <c r="K864" i="8" s="1"/>
  <c r="E864" i="8" s="1"/>
  <c r="K863" i="8" a="1"/>
  <c r="K863" i="8" s="1"/>
  <c r="C863" i="8" s="1"/>
  <c r="K862" i="8" a="1"/>
  <c r="K862" i="8" s="1"/>
  <c r="K861" i="8" a="1"/>
  <c r="K861" i="8" s="1"/>
  <c r="K860" i="8" a="1"/>
  <c r="K860" i="8" s="1"/>
  <c r="H860" i="8" s="1"/>
  <c r="K859" i="8" a="1"/>
  <c r="K859" i="8" s="1"/>
  <c r="H859" i="8" s="1"/>
  <c r="K858" i="8" a="1"/>
  <c r="K858" i="8" s="1"/>
  <c r="F858" i="8" s="1"/>
  <c r="K857" i="8" a="1"/>
  <c r="K857" i="8" s="1"/>
  <c r="D857" i="8" s="1"/>
  <c r="K856" i="8" a="1"/>
  <c r="K856" i="8"/>
  <c r="C856" i="8" s="1"/>
  <c r="K855" i="8" a="1"/>
  <c r="K855" i="8" s="1"/>
  <c r="I855" i="8" s="1"/>
  <c r="K854" i="8" a="1"/>
  <c r="K854" i="8" s="1"/>
  <c r="F854" i="8" s="1"/>
  <c r="K853" i="8" a="1"/>
  <c r="K853" i="8" s="1"/>
  <c r="K852" i="8" a="1"/>
  <c r="K852" i="8" s="1"/>
  <c r="H852" i="8" s="1"/>
  <c r="K851" i="8" a="1"/>
  <c r="K851" i="8" s="1"/>
  <c r="E851" i="8" s="1"/>
  <c r="K850" i="8" a="1"/>
  <c r="K850" i="8" s="1"/>
  <c r="C850" i="8" s="1"/>
  <c r="K849" i="8" a="1"/>
  <c r="K849" i="8" s="1"/>
  <c r="I849" i="8" s="1"/>
  <c r="K848" i="8" a="1"/>
  <c r="K848" i="8" s="1"/>
  <c r="K847" i="8" a="1"/>
  <c r="K847" i="8" s="1"/>
  <c r="K846" i="8" a="1"/>
  <c r="K846" i="8" s="1"/>
  <c r="K845" i="8" a="1"/>
  <c r="K845" i="8" s="1"/>
  <c r="H845" i="8" s="1"/>
  <c r="K844" i="8" a="1"/>
  <c r="K844" i="8" s="1"/>
  <c r="K843" i="8" a="1"/>
  <c r="K843" i="8" s="1"/>
  <c r="D843" i="8" s="1"/>
  <c r="K842" i="8" a="1"/>
  <c r="K842" i="8" s="1"/>
  <c r="K841" i="8" a="1"/>
  <c r="K841" i="8" s="1"/>
  <c r="K840" i="8" a="1"/>
  <c r="K840" i="8" s="1"/>
  <c r="C840" i="8" s="1"/>
  <c r="K839" i="8" a="1"/>
  <c r="K839" i="8" s="1"/>
  <c r="I839" i="8" s="1"/>
  <c r="K838" i="8" a="1"/>
  <c r="K838" i="8" s="1"/>
  <c r="K837" i="8" a="1"/>
  <c r="K837" i="8" s="1"/>
  <c r="K836" i="8" a="1"/>
  <c r="K836" i="8" s="1"/>
  <c r="I836" i="8" s="1"/>
  <c r="K835" i="8" a="1"/>
  <c r="K835" i="8" s="1"/>
  <c r="K834" i="8" a="1"/>
  <c r="K834" i="8" s="1"/>
  <c r="K833" i="8" a="1"/>
  <c r="K833" i="8" s="1"/>
  <c r="I833" i="8" s="1"/>
  <c r="K832" i="8" a="1"/>
  <c r="K832" i="8" s="1"/>
  <c r="K831" i="8" a="1"/>
  <c r="K831" i="8" s="1"/>
  <c r="I831" i="8" s="1"/>
  <c r="K830" i="8" a="1"/>
  <c r="K830" i="8" s="1"/>
  <c r="K829" i="8" a="1"/>
  <c r="K829" i="8" s="1"/>
  <c r="G829" i="8" s="1"/>
  <c r="K828" i="8" a="1"/>
  <c r="K828" i="8" s="1"/>
  <c r="K827" i="8" a="1"/>
  <c r="K827" i="8" s="1"/>
  <c r="C827" i="8" s="1"/>
  <c r="K826" i="8" a="1"/>
  <c r="K826" i="8" s="1"/>
  <c r="K825" i="8" a="1"/>
  <c r="K825" i="8" s="1"/>
  <c r="K824" i="8" a="1"/>
  <c r="K824" i="8" s="1"/>
  <c r="D824" i="8" s="1"/>
  <c r="K823" i="8" a="1"/>
  <c r="K823" i="8" s="1"/>
  <c r="K822" i="8" a="1"/>
  <c r="K822" i="8" s="1"/>
  <c r="I822" i="8" s="1"/>
  <c r="K821" i="8" a="1"/>
  <c r="K821" i="8" s="1"/>
  <c r="B821" i="8" s="1"/>
  <c r="K820" i="8" a="1"/>
  <c r="K820" i="8" s="1"/>
  <c r="K819" i="8" a="1"/>
  <c r="K819" i="8" s="1"/>
  <c r="K818" i="8" a="1"/>
  <c r="K818" i="8" s="1"/>
  <c r="K817" i="8" a="1"/>
  <c r="K817" i="8" s="1"/>
  <c r="G817" i="8" s="1"/>
  <c r="K816" i="8" a="1"/>
  <c r="K816" i="8" s="1"/>
  <c r="K815" i="8" a="1"/>
  <c r="K815" i="8" s="1"/>
  <c r="K814" i="8" a="1"/>
  <c r="K814" i="8" s="1"/>
  <c r="K813" i="8" a="1"/>
  <c r="K813" i="8" s="1"/>
  <c r="K812" i="8" a="1"/>
  <c r="K812" i="8" s="1"/>
  <c r="K811" i="8" a="1"/>
  <c r="K811" i="8" s="1"/>
  <c r="G811" i="8" s="1"/>
  <c r="K810" i="8" a="1"/>
  <c r="K810" i="8" s="1"/>
  <c r="I810" i="8" s="1"/>
  <c r="K809" i="8" a="1"/>
  <c r="K809" i="8" s="1"/>
  <c r="E809" i="8" s="1"/>
  <c r="K808" i="8" a="1"/>
  <c r="K808" i="8" s="1"/>
  <c r="K807" i="8" a="1"/>
  <c r="K807" i="8" s="1"/>
  <c r="I807" i="8" s="1"/>
  <c r="K806" i="8" a="1"/>
  <c r="K806" i="8" s="1"/>
  <c r="K805" i="8" a="1"/>
  <c r="K805" i="8" s="1"/>
  <c r="F805" i="8" s="1"/>
  <c r="K804" i="8" a="1"/>
  <c r="K804" i="8" s="1"/>
  <c r="K803" i="8" a="1"/>
  <c r="K803" i="8" s="1"/>
  <c r="F803" i="8" s="1"/>
  <c r="K802" i="8" a="1"/>
  <c r="K802" i="8" s="1"/>
  <c r="F802" i="8" s="1"/>
  <c r="K801" i="8" a="1"/>
  <c r="K801" i="8" s="1"/>
  <c r="K800" i="8" a="1"/>
  <c r="K800" i="8" s="1"/>
  <c r="I800" i="8" s="1"/>
  <c r="K799" i="8" a="1"/>
  <c r="K799" i="8" s="1"/>
  <c r="G799" i="8" s="1"/>
  <c r="K798" i="8" a="1"/>
  <c r="K798" i="8" s="1"/>
  <c r="E798" i="8" s="1"/>
  <c r="K797" i="8" a="1"/>
  <c r="K797" i="8" s="1"/>
  <c r="I797" i="8" s="1"/>
  <c r="K796" i="8" a="1"/>
  <c r="K796" i="8" s="1"/>
  <c r="G796" i="8" s="1"/>
  <c r="K795" i="8" a="1"/>
  <c r="K795" i="8" s="1"/>
  <c r="K794" i="8" a="1"/>
  <c r="K794" i="8" s="1"/>
  <c r="I794" i="8" s="1"/>
  <c r="K793" i="8" a="1"/>
  <c r="K793" i="8" s="1"/>
  <c r="E793" i="8" s="1"/>
  <c r="K792" i="8" a="1"/>
  <c r="K792" i="8" s="1"/>
  <c r="F792" i="8" s="1"/>
  <c r="K791" i="8" a="1"/>
  <c r="K791" i="8" s="1"/>
  <c r="I791" i="8" s="1"/>
  <c r="K790" i="8" a="1"/>
  <c r="K790" i="8" s="1"/>
  <c r="I790" i="8" s="1"/>
  <c r="K789" i="8" a="1"/>
  <c r="K789" i="8" s="1"/>
  <c r="I789" i="8" s="1"/>
  <c r="K788" i="8" a="1"/>
  <c r="K788" i="8" s="1"/>
  <c r="I788" i="8" s="1"/>
  <c r="K787" i="8" a="1"/>
  <c r="K787" i="8" s="1"/>
  <c r="A787" i="8" s="1"/>
  <c r="K786" i="8" a="1"/>
  <c r="K786" i="8" s="1"/>
  <c r="K785" i="8" a="1"/>
  <c r="K785" i="8" s="1"/>
  <c r="K784" i="8" a="1"/>
  <c r="K784" i="8" s="1"/>
  <c r="K783" i="8" a="1"/>
  <c r="K783" i="8" s="1"/>
  <c r="I783" i="8" s="1"/>
  <c r="K782" i="8" a="1"/>
  <c r="K782" i="8" s="1"/>
  <c r="K781" i="8" a="1"/>
  <c r="K781" i="8" s="1"/>
  <c r="I781" i="8" s="1"/>
  <c r="K780" i="8" a="1"/>
  <c r="K780" i="8" s="1"/>
  <c r="H780" i="8" s="1"/>
  <c r="K779" i="8" a="1"/>
  <c r="K779" i="8" s="1"/>
  <c r="I779" i="8" s="1"/>
  <c r="K778" i="8" a="1"/>
  <c r="K778" i="8" s="1"/>
  <c r="K777" i="8" a="1"/>
  <c r="K777" i="8" s="1"/>
  <c r="K776" i="8" a="1"/>
  <c r="K776" i="8" s="1"/>
  <c r="K775" i="8" a="1"/>
  <c r="K775" i="8" s="1"/>
  <c r="G775" i="8" s="1"/>
  <c r="K774" i="8" a="1"/>
  <c r="K774" i="8" s="1"/>
  <c r="K773" i="8" a="1"/>
  <c r="K773" i="8" s="1"/>
  <c r="E773" i="8" s="1"/>
  <c r="K772" i="8" a="1"/>
  <c r="K772" i="8" s="1"/>
  <c r="K771" i="8" a="1"/>
  <c r="K771" i="8" s="1"/>
  <c r="I771" i="8" s="1"/>
  <c r="K770" i="8" a="1"/>
  <c r="K770" i="8" s="1"/>
  <c r="K769" i="8" a="1"/>
  <c r="K769" i="8" s="1"/>
  <c r="I769" i="8" s="1"/>
  <c r="K768" i="8" a="1"/>
  <c r="K768" i="8" s="1"/>
  <c r="K767" i="8" a="1"/>
  <c r="K767" i="8" s="1"/>
  <c r="I767" i="8" s="1"/>
  <c r="K766" i="8" a="1"/>
  <c r="K766" i="8" s="1"/>
  <c r="H766" i="8" s="1"/>
  <c r="K765" i="8" a="1"/>
  <c r="K765" i="8" s="1"/>
  <c r="K764" i="8" a="1"/>
  <c r="K764" i="8" s="1"/>
  <c r="K763" i="8" a="1"/>
  <c r="K763" i="8" s="1"/>
  <c r="K762" i="8" a="1"/>
  <c r="K762" i="8" s="1"/>
  <c r="H762" i="8" s="1"/>
  <c r="K761" i="8" a="1"/>
  <c r="K761" i="8" s="1"/>
  <c r="K760" i="8" a="1"/>
  <c r="K760" i="8" s="1"/>
  <c r="K759" i="8" a="1"/>
  <c r="K759" i="8" s="1"/>
  <c r="K758" i="8" a="1"/>
  <c r="K758" i="8" s="1"/>
  <c r="K757" i="8" a="1"/>
  <c r="K757" i="8" s="1"/>
  <c r="K756" i="8" a="1"/>
  <c r="K756" i="8" s="1"/>
  <c r="K755" i="8" a="1"/>
  <c r="K755" i="8" s="1"/>
  <c r="B755" i="8" s="1"/>
  <c r="K754" i="8" a="1"/>
  <c r="K754" i="8" s="1"/>
  <c r="K753" i="8" a="1"/>
  <c r="K753" i="8" s="1"/>
  <c r="K752" i="8" a="1"/>
  <c r="K752" i="8" s="1"/>
  <c r="K751" i="8" a="1"/>
  <c r="K751" i="8" s="1"/>
  <c r="F751" i="8" s="1"/>
  <c r="K750" i="8" a="1"/>
  <c r="K750" i="8" s="1"/>
  <c r="K749" i="8" a="1"/>
  <c r="K749" i="8" s="1"/>
  <c r="K748" i="8" a="1"/>
  <c r="K748" i="8" s="1"/>
  <c r="I748" i="8" s="1"/>
  <c r="K747" i="8" a="1"/>
  <c r="K747" i="8" s="1"/>
  <c r="K746" i="8" a="1"/>
  <c r="K746" i="8" s="1"/>
  <c r="G746" i="8" s="1"/>
  <c r="K745" i="8" a="1"/>
  <c r="K745" i="8" s="1"/>
  <c r="K744" i="8" a="1"/>
  <c r="K744" i="8" s="1"/>
  <c r="K743" i="8" a="1"/>
  <c r="K743" i="8" s="1"/>
  <c r="K742" i="8" a="1"/>
  <c r="K742" i="8" s="1"/>
  <c r="I742" i="8" s="1"/>
  <c r="K741" i="8" a="1"/>
  <c r="K741" i="8" s="1"/>
  <c r="K740" i="8" a="1"/>
  <c r="K740" i="8" s="1"/>
  <c r="K739" i="8" a="1"/>
  <c r="K739" i="8" s="1"/>
  <c r="C739" i="8" s="1"/>
  <c r="K738" i="8" a="1"/>
  <c r="K738" i="8" s="1"/>
  <c r="D738" i="8" s="1"/>
  <c r="K737" i="8" a="1"/>
  <c r="K737" i="8" s="1"/>
  <c r="B737" i="8" s="1"/>
  <c r="K736" i="8" a="1"/>
  <c r="K736" i="8" s="1"/>
  <c r="K735" i="8" a="1"/>
  <c r="K735" i="8" s="1"/>
  <c r="K734" i="8" a="1"/>
  <c r="K734" i="8" s="1"/>
  <c r="I734" i="8" s="1"/>
  <c r="K733" i="8" a="1"/>
  <c r="K733" i="8" s="1"/>
  <c r="G733" i="8" s="1"/>
  <c r="K732" i="8" a="1"/>
  <c r="K732" i="8" s="1"/>
  <c r="E732" i="8" s="1"/>
  <c r="K731" i="8" a="1"/>
  <c r="K731" i="8" s="1"/>
  <c r="C731" i="8" s="1"/>
  <c r="K730" i="8" a="1"/>
  <c r="K730" i="8" s="1"/>
  <c r="K729" i="8" a="1"/>
  <c r="K729" i="8" s="1"/>
  <c r="A729" i="8" s="1"/>
  <c r="K728" i="8" a="1"/>
  <c r="K728" i="8" s="1"/>
  <c r="K727" i="8" a="1"/>
  <c r="K727" i="8" s="1"/>
  <c r="K726" i="8" a="1"/>
  <c r="K726" i="8" s="1"/>
  <c r="I726" i="8" s="1"/>
  <c r="K725" i="8" a="1"/>
  <c r="K725" i="8" s="1"/>
  <c r="G725" i="8" s="1"/>
  <c r="K724" i="8" a="1"/>
  <c r="K724" i="8" s="1"/>
  <c r="E724" i="8" s="1"/>
  <c r="K723" i="8" a="1"/>
  <c r="K723" i="8" s="1"/>
  <c r="G723" i="8" s="1"/>
  <c r="K722" i="8" a="1"/>
  <c r="K722" i="8" s="1"/>
  <c r="K721" i="8" a="1"/>
  <c r="K721" i="8" s="1"/>
  <c r="D721" i="8" s="1"/>
  <c r="K720" i="8" a="1"/>
  <c r="K720" i="8" s="1"/>
  <c r="K719" i="8" a="1"/>
  <c r="K719" i="8" s="1"/>
  <c r="A719" i="8" s="1"/>
  <c r="K718" i="8" a="1"/>
  <c r="K718" i="8" s="1"/>
  <c r="A718" i="8" s="1"/>
  <c r="K717" i="8" a="1"/>
  <c r="K717" i="8" s="1"/>
  <c r="I717" i="8" s="1"/>
  <c r="K716" i="8" a="1"/>
  <c r="K716" i="8" s="1"/>
  <c r="K715" i="8" a="1"/>
  <c r="K715" i="8" s="1"/>
  <c r="K714" i="8" a="1"/>
  <c r="K714" i="8" s="1"/>
  <c r="I714" i="8" s="1"/>
  <c r="K713" i="8" a="1"/>
  <c r="K713" i="8" s="1"/>
  <c r="I713" i="8" s="1"/>
  <c r="K712" i="8" a="1"/>
  <c r="K712" i="8" s="1"/>
  <c r="K711" i="8" a="1"/>
  <c r="K711" i="8" s="1"/>
  <c r="F711" i="8" s="1"/>
  <c r="K710" i="8" a="1"/>
  <c r="K710" i="8" s="1"/>
  <c r="K709" i="8" a="1"/>
  <c r="K709" i="8" s="1"/>
  <c r="I709" i="8" s="1"/>
  <c r="K708" i="8" a="1"/>
  <c r="K708" i="8" s="1"/>
  <c r="K707" i="8" a="1"/>
  <c r="K707" i="8" s="1"/>
  <c r="G707" i="8" s="1"/>
  <c r="K706" i="8" a="1"/>
  <c r="K706" i="8" s="1"/>
  <c r="K705" i="8" a="1"/>
  <c r="K705" i="8" s="1"/>
  <c r="I705" i="8" s="1"/>
  <c r="K704" i="8" a="1"/>
  <c r="K704" i="8" s="1"/>
  <c r="K703" i="8" a="1"/>
  <c r="K703" i="8" s="1"/>
  <c r="K702" i="8" a="1"/>
  <c r="K702" i="8" s="1"/>
  <c r="K701" i="8" a="1"/>
  <c r="K701" i="8" s="1"/>
  <c r="I701" i="8" s="1"/>
  <c r="K700" i="8" a="1"/>
  <c r="K700" i="8" s="1"/>
  <c r="H700" i="8" s="1"/>
  <c r="K699" i="8" a="1"/>
  <c r="K699" i="8" s="1"/>
  <c r="I699" i="8" s="1"/>
  <c r="K698" i="8" a="1"/>
  <c r="K698" i="8" s="1"/>
  <c r="H698" i="8" s="1"/>
  <c r="K697" i="8" a="1"/>
  <c r="K697" i="8" s="1"/>
  <c r="I697" i="8" s="1"/>
  <c r="K696" i="8" a="1"/>
  <c r="K696" i="8" s="1"/>
  <c r="H696" i="8" s="1"/>
  <c r="K695" i="8" a="1"/>
  <c r="K695" i="8" s="1"/>
  <c r="E695" i="8" s="1"/>
  <c r="K694" i="8" a="1"/>
  <c r="K694" i="8" s="1"/>
  <c r="K693" i="8" a="1"/>
  <c r="K693" i="8" s="1"/>
  <c r="I693" i="8" s="1"/>
  <c r="K692" i="8" a="1"/>
  <c r="K692" i="8" s="1"/>
  <c r="H692" i="8" s="1"/>
  <c r="K691" i="8" a="1"/>
  <c r="K691" i="8" s="1"/>
  <c r="K690" i="8" a="1"/>
  <c r="K690" i="8" s="1"/>
  <c r="K689" i="8" a="1"/>
  <c r="K689" i="8" s="1"/>
  <c r="I689" i="8" s="1"/>
  <c r="K688" i="8" a="1"/>
  <c r="K688" i="8" s="1"/>
  <c r="F688" i="8" s="1"/>
  <c r="K687" i="8" a="1"/>
  <c r="K687" i="8" s="1"/>
  <c r="K686" i="8" a="1"/>
  <c r="K686" i="8" s="1"/>
  <c r="K685" i="8" a="1"/>
  <c r="K685" i="8" s="1"/>
  <c r="I685" i="8" s="1"/>
  <c r="K684" i="8" a="1"/>
  <c r="K684" i="8" s="1"/>
  <c r="K683" i="8" a="1"/>
  <c r="K683" i="8" s="1"/>
  <c r="K682" i="8" a="1"/>
  <c r="K682" i="8" s="1"/>
  <c r="D682" i="8" s="1"/>
  <c r="K681" i="8" a="1"/>
  <c r="K681" i="8" s="1"/>
  <c r="I681" i="8" s="1"/>
  <c r="K680" i="8" a="1"/>
  <c r="K680" i="8" s="1"/>
  <c r="K679" i="8" a="1"/>
  <c r="K679" i="8" s="1"/>
  <c r="B679" i="8" s="1"/>
  <c r="K678" i="8" a="1"/>
  <c r="K678" i="8" s="1"/>
  <c r="K677" i="8" a="1"/>
  <c r="K677" i="8" s="1"/>
  <c r="H677" i="8" s="1"/>
  <c r="K676" i="8" a="1"/>
  <c r="K676" i="8" s="1"/>
  <c r="D676" i="8" s="1"/>
  <c r="K675" i="8" a="1"/>
  <c r="K675" i="8" s="1"/>
  <c r="K674" i="8" a="1"/>
  <c r="K674" i="8" s="1"/>
  <c r="K673" i="8" a="1"/>
  <c r="K673" i="8" s="1"/>
  <c r="F673" i="8" s="1"/>
  <c r="K672" i="8" a="1"/>
  <c r="K672" i="8" s="1"/>
  <c r="K671" i="8" a="1"/>
  <c r="K671" i="8" s="1"/>
  <c r="I671" i="8" s="1"/>
  <c r="K670" i="8" a="1"/>
  <c r="K670" i="8" s="1"/>
  <c r="H670" i="8" s="1"/>
  <c r="K669" i="8" a="1"/>
  <c r="K669" i="8" s="1"/>
  <c r="D669" i="8" s="1"/>
  <c r="K668" i="8" a="1"/>
  <c r="K668" i="8" s="1"/>
  <c r="I668" i="8" s="1"/>
  <c r="K667" i="8" a="1"/>
  <c r="K667" i="8" s="1"/>
  <c r="K666" i="8" a="1"/>
  <c r="K666" i="8" s="1"/>
  <c r="E666" i="8" s="1"/>
  <c r="K665" i="8" a="1"/>
  <c r="K665" i="8" s="1"/>
  <c r="G665" i="8" s="1"/>
  <c r="K664" i="8" a="1"/>
  <c r="K664" i="8" s="1"/>
  <c r="E664" i="8" s="1"/>
  <c r="K663" i="8" a="1"/>
  <c r="K663" i="8" s="1"/>
  <c r="C663" i="8" s="1"/>
  <c r="K662" i="8" a="1"/>
  <c r="K662" i="8" s="1"/>
  <c r="K661" i="8" a="1"/>
  <c r="K661" i="8" s="1"/>
  <c r="I661" i="8" s="1"/>
  <c r="K660" i="8" a="1"/>
  <c r="K660" i="8" s="1"/>
  <c r="H660" i="8" s="1"/>
  <c r="K659" i="8" a="1"/>
  <c r="K659" i="8" s="1"/>
  <c r="I659" i="8" s="1"/>
  <c r="K658" i="8" a="1"/>
  <c r="K658" i="8" s="1"/>
  <c r="K657" i="8" a="1"/>
  <c r="K657" i="8" s="1"/>
  <c r="G657" i="8" s="1"/>
  <c r="K656" i="8" a="1"/>
  <c r="K656" i="8" s="1"/>
  <c r="K655" i="8" a="1"/>
  <c r="K655" i="8" s="1"/>
  <c r="K654" i="8" a="1"/>
  <c r="K654" i="8" s="1"/>
  <c r="D654" i="8" s="1"/>
  <c r="K653" i="8" a="1"/>
  <c r="K653" i="8" s="1"/>
  <c r="I653" i="8" s="1"/>
  <c r="K652" i="8" a="1"/>
  <c r="K652" i="8" s="1"/>
  <c r="K651" i="8" a="1"/>
  <c r="K651" i="8" s="1"/>
  <c r="I651" i="8" s="1"/>
  <c r="K650" i="8" a="1"/>
  <c r="K650" i="8" s="1"/>
  <c r="F650" i="8" s="1"/>
  <c r="K649" i="8" a="1"/>
  <c r="K649" i="8" s="1"/>
  <c r="I649" i="8" s="1"/>
  <c r="K648" i="8" a="1"/>
  <c r="K648" i="8" s="1"/>
  <c r="H648" i="8" s="1"/>
  <c r="K647" i="8" a="1"/>
  <c r="K647" i="8" s="1"/>
  <c r="I647" i="8" s="1"/>
  <c r="K646" i="8" a="1"/>
  <c r="K646" i="8" s="1"/>
  <c r="H646" i="8" s="1"/>
  <c r="K645" i="8" a="1"/>
  <c r="K645" i="8" s="1"/>
  <c r="G645" i="8" s="1"/>
  <c r="K644" i="8" a="1"/>
  <c r="K644" i="8" s="1"/>
  <c r="K643" i="8" a="1"/>
  <c r="K643" i="8" s="1"/>
  <c r="I643" i="8" s="1"/>
  <c r="K642" i="8" a="1"/>
  <c r="K642" i="8" s="1"/>
  <c r="K641" i="8" a="1"/>
  <c r="K641" i="8" s="1"/>
  <c r="I641" i="8" s="1"/>
  <c r="K640" i="8" a="1"/>
  <c r="K640" i="8" s="1"/>
  <c r="H640" i="8" s="1"/>
  <c r="K639" i="8" a="1"/>
  <c r="K639" i="8" s="1"/>
  <c r="E639" i="8" s="1"/>
  <c r="K638" i="8" a="1"/>
  <c r="K638" i="8" s="1"/>
  <c r="D638" i="8" s="1"/>
  <c r="K637" i="8" a="1"/>
  <c r="K637" i="8" s="1"/>
  <c r="I637" i="8" s="1"/>
  <c r="K636" i="8" a="1"/>
  <c r="K636" i="8" s="1"/>
  <c r="H636" i="8" s="1"/>
  <c r="K635" i="8" a="1"/>
  <c r="K635" i="8" s="1"/>
  <c r="K634" i="8" a="1"/>
  <c r="K634" i="8" s="1"/>
  <c r="H634" i="8" s="1"/>
  <c r="K633" i="8" a="1"/>
  <c r="K633" i="8" s="1"/>
  <c r="K632" i="8" a="1"/>
  <c r="K632" i="8" s="1"/>
  <c r="H632" i="8" s="1"/>
  <c r="K631" i="8" a="1"/>
  <c r="K631" i="8" s="1"/>
  <c r="K630" i="8" a="1"/>
  <c r="K630" i="8" s="1"/>
  <c r="H630" i="8" s="1"/>
  <c r="K629" i="8" a="1"/>
  <c r="K629" i="8" s="1"/>
  <c r="K628" i="8" a="1"/>
  <c r="K628" i="8" s="1"/>
  <c r="H628" i="8" s="1"/>
  <c r="K627" i="8" a="1"/>
  <c r="K627" i="8" s="1"/>
  <c r="K626" i="8" a="1"/>
  <c r="K626" i="8" s="1"/>
  <c r="H626" i="8" s="1"/>
  <c r="K625" i="8" a="1"/>
  <c r="K625" i="8" s="1"/>
  <c r="K624" i="8" a="1"/>
  <c r="K624" i="8" s="1"/>
  <c r="H624" i="8" s="1"/>
  <c r="K623" i="8" a="1"/>
  <c r="K623" i="8" s="1"/>
  <c r="K622" i="8" a="1"/>
  <c r="K622" i="8" s="1"/>
  <c r="H622" i="8" s="1"/>
  <c r="K621" i="8" a="1"/>
  <c r="K621" i="8" s="1"/>
  <c r="K620" i="8" a="1"/>
  <c r="K620" i="8" s="1"/>
  <c r="H620" i="8" s="1"/>
  <c r="K619" i="8" a="1"/>
  <c r="K619" i="8" s="1"/>
  <c r="K618" i="8" a="1"/>
  <c r="K618" i="8" s="1"/>
  <c r="K617" i="8" a="1"/>
  <c r="K617" i="8" s="1"/>
  <c r="I617" i="8" s="1"/>
  <c r="K616" i="8" a="1"/>
  <c r="K616" i="8" s="1"/>
  <c r="H616" i="8" s="1"/>
  <c r="K615" i="8" a="1"/>
  <c r="K615" i="8" s="1"/>
  <c r="I615" i="8" s="1"/>
  <c r="K614" i="8" a="1"/>
  <c r="K614" i="8" s="1"/>
  <c r="K613" i="8" a="1"/>
  <c r="K613" i="8" s="1"/>
  <c r="K612" i="8" a="1"/>
  <c r="K612" i="8" s="1"/>
  <c r="F612" i="8" s="1"/>
  <c r="K611" i="8" a="1"/>
  <c r="K611" i="8" s="1"/>
  <c r="A611" i="8" s="1"/>
  <c r="K610" i="8" a="1"/>
  <c r="K610" i="8" s="1"/>
  <c r="H610" i="8" s="1"/>
  <c r="K609" i="8" a="1"/>
  <c r="K609" i="8" s="1"/>
  <c r="C609" i="8" s="1"/>
  <c r="K608" i="8" a="1"/>
  <c r="K608" i="8" s="1"/>
  <c r="K607" i="8" a="1"/>
  <c r="K607" i="8" s="1"/>
  <c r="I607" i="8" s="1"/>
  <c r="K606" i="8" a="1"/>
  <c r="K606" i="8" s="1"/>
  <c r="I606" i="8" s="1"/>
  <c r="K605" i="8" a="1"/>
  <c r="K605" i="8" s="1"/>
  <c r="K604" i="8" a="1"/>
  <c r="K604" i="8" s="1"/>
  <c r="D604" i="8" s="1"/>
  <c r="K603" i="8" a="1"/>
  <c r="K603" i="8" s="1"/>
  <c r="K602" i="8" a="1"/>
  <c r="K602" i="8" s="1"/>
  <c r="H602" i="8" s="1"/>
  <c r="K601" i="8" a="1"/>
  <c r="K601" i="8" s="1"/>
  <c r="D601" i="8" s="1"/>
  <c r="K600" i="8" a="1"/>
  <c r="K600" i="8" s="1"/>
  <c r="I600" i="8" s="1"/>
  <c r="K599" i="8" a="1"/>
  <c r="K599" i="8" s="1"/>
  <c r="K598" i="8" a="1"/>
  <c r="K598" i="8" s="1"/>
  <c r="H598" i="8" s="1"/>
  <c r="K597" i="8" a="1"/>
  <c r="K597" i="8" s="1"/>
  <c r="F597" i="8" s="1"/>
  <c r="K596" i="8" a="1"/>
  <c r="K596" i="8" s="1"/>
  <c r="D596" i="8" s="1"/>
  <c r="K595" i="8" a="1"/>
  <c r="K595" i="8" s="1"/>
  <c r="K594" i="8" a="1"/>
  <c r="K594" i="8" s="1"/>
  <c r="I594" i="8" s="1"/>
  <c r="K593" i="8" a="1"/>
  <c r="K593" i="8" s="1"/>
  <c r="I593" i="8" s="1"/>
  <c r="K592" i="8" a="1"/>
  <c r="K592" i="8" s="1"/>
  <c r="K591" i="8" a="1"/>
  <c r="K591" i="8" s="1"/>
  <c r="I591" i="8" s="1"/>
  <c r="K590" i="8" a="1"/>
  <c r="K590" i="8" s="1"/>
  <c r="G590" i="8" s="1"/>
  <c r="K589" i="8" a="1"/>
  <c r="K589" i="8" s="1"/>
  <c r="G589" i="8" s="1"/>
  <c r="K588" i="8" a="1"/>
  <c r="K588" i="8" s="1"/>
  <c r="F588" i="8" s="1"/>
  <c r="K587" i="8" a="1"/>
  <c r="K587" i="8" s="1"/>
  <c r="E587" i="8" s="1"/>
  <c r="K586" i="8" a="1"/>
  <c r="K586" i="8" s="1"/>
  <c r="D586" i="8" s="1"/>
  <c r="K585" i="8" a="1"/>
  <c r="K585" i="8" s="1"/>
  <c r="C585" i="8" s="1"/>
  <c r="K584" i="8" a="1"/>
  <c r="K584" i="8" s="1"/>
  <c r="K583" i="8" a="1"/>
  <c r="K583" i="8" s="1"/>
  <c r="A583" i="8" s="1"/>
  <c r="K582" i="8" a="1"/>
  <c r="K582" i="8" s="1"/>
  <c r="K581" i="8" a="1"/>
  <c r="K581" i="8" s="1"/>
  <c r="K580" i="8" a="1"/>
  <c r="K580" i="8" s="1"/>
  <c r="K579" i="8" a="1"/>
  <c r="K579" i="8" s="1"/>
  <c r="K578" i="8" a="1"/>
  <c r="K578" i="8" s="1"/>
  <c r="K577" i="8" a="1"/>
  <c r="K577" i="8" s="1"/>
  <c r="G577" i="8" s="1"/>
  <c r="K576" i="8" a="1"/>
  <c r="K576" i="8" s="1"/>
  <c r="F576" i="8" s="1"/>
  <c r="K575" i="8" a="1"/>
  <c r="K575" i="8" s="1"/>
  <c r="E575" i="8" s="1"/>
  <c r="K574" i="8" a="1"/>
  <c r="K574" i="8" s="1"/>
  <c r="D574" i="8" s="1"/>
  <c r="K573" i="8" a="1"/>
  <c r="K573" i="8" s="1"/>
  <c r="C573" i="8" s="1"/>
  <c r="K572" i="8" a="1"/>
  <c r="K572" i="8" s="1"/>
  <c r="A572" i="8" s="1"/>
  <c r="K571" i="8" a="1"/>
  <c r="K571" i="8" s="1"/>
  <c r="A571" i="8" s="1"/>
  <c r="K570" i="8" a="1"/>
  <c r="K570" i="8" s="1"/>
  <c r="K569" i="8" a="1"/>
  <c r="K569" i="8" s="1"/>
  <c r="K568" i="8" a="1"/>
  <c r="K568" i="8" s="1"/>
  <c r="K567" i="8" a="1"/>
  <c r="K567" i="8" s="1"/>
  <c r="K566" i="8" a="1"/>
  <c r="K566" i="8" s="1"/>
  <c r="K565" i="8" a="1"/>
  <c r="K565" i="8" s="1"/>
  <c r="G565" i="8" s="1"/>
  <c r="K564" i="8" a="1"/>
  <c r="K564" i="8" s="1"/>
  <c r="F564" i="8" s="1"/>
  <c r="K563" i="8" a="1"/>
  <c r="K563" i="8" s="1"/>
  <c r="K562" i="8" a="1"/>
  <c r="K562" i="8" s="1"/>
  <c r="D562" i="8" s="1"/>
  <c r="K561" i="8" a="1"/>
  <c r="K561" i="8" s="1"/>
  <c r="C561" i="8" s="1"/>
  <c r="K560" i="8" a="1"/>
  <c r="K560" i="8" s="1"/>
  <c r="B560" i="8" s="1"/>
  <c r="K559" i="8" a="1"/>
  <c r="K559" i="8" s="1"/>
  <c r="K558" i="8" a="1"/>
  <c r="K558" i="8" s="1"/>
  <c r="H558" i="8" s="1"/>
  <c r="K557" i="8" a="1"/>
  <c r="K557" i="8" s="1"/>
  <c r="K556" i="8" a="1"/>
  <c r="K556" i="8" s="1"/>
  <c r="F556" i="8" s="1"/>
  <c r="K555" i="8" a="1"/>
  <c r="K555" i="8" s="1"/>
  <c r="K554" i="8" a="1"/>
  <c r="K554" i="8" s="1"/>
  <c r="K553" i="8" a="1"/>
  <c r="K553" i="8" s="1"/>
  <c r="G553" i="8" s="1"/>
  <c r="K552" i="8" a="1"/>
  <c r="K552" i="8" s="1"/>
  <c r="K551" i="8" a="1"/>
  <c r="K551" i="8" s="1"/>
  <c r="E551" i="8" s="1"/>
  <c r="K550" i="8" a="1"/>
  <c r="K550" i="8" s="1"/>
  <c r="K549" i="8" a="1"/>
  <c r="K549" i="8" s="1"/>
  <c r="K548" i="8" a="1"/>
  <c r="K548" i="8" s="1"/>
  <c r="H548" i="8" s="1"/>
  <c r="K547" i="8" a="1"/>
  <c r="K547" i="8" s="1"/>
  <c r="K546" i="8" a="1"/>
  <c r="K546" i="8" s="1"/>
  <c r="K545" i="8" a="1"/>
  <c r="K545" i="8" s="1"/>
  <c r="D545" i="8" s="1"/>
  <c r="K544" i="8" a="1"/>
  <c r="K544" i="8" s="1"/>
  <c r="K543" i="8" a="1"/>
  <c r="K543" i="8" s="1"/>
  <c r="A543" i="8" s="1"/>
  <c r="K542" i="8" a="1"/>
  <c r="K542" i="8" s="1"/>
  <c r="B542" i="8" s="1"/>
  <c r="K541" i="8" a="1"/>
  <c r="K541" i="8" s="1"/>
  <c r="H541" i="8" s="1"/>
  <c r="K540" i="8" a="1"/>
  <c r="K540" i="8" s="1"/>
  <c r="K539" i="8" a="1"/>
  <c r="K539" i="8" s="1"/>
  <c r="K538" i="8" a="1"/>
  <c r="K538" i="8" s="1"/>
  <c r="K537" i="8" a="1"/>
  <c r="K537" i="8" s="1"/>
  <c r="B537" i="8" s="1"/>
  <c r="K536" i="8" a="1"/>
  <c r="K536" i="8" s="1"/>
  <c r="K535" i="8" a="1"/>
  <c r="K535" i="8" s="1"/>
  <c r="K534" i="8" a="1"/>
  <c r="K534" i="8" s="1"/>
  <c r="G534" i="8" s="1"/>
  <c r="K533" i="8" a="1"/>
  <c r="K533" i="8" s="1"/>
  <c r="D533" i="8" s="1"/>
  <c r="K532" i="8" a="1"/>
  <c r="K532" i="8" s="1"/>
  <c r="K531" i="8" a="1"/>
  <c r="K531" i="8" s="1"/>
  <c r="K530" i="8" a="1"/>
  <c r="K530" i="8" s="1"/>
  <c r="K529" i="8" a="1"/>
  <c r="K529" i="8" s="1"/>
  <c r="H529" i="8" s="1"/>
  <c r="K528" i="8" a="1"/>
  <c r="K528" i="8" s="1"/>
  <c r="G528" i="8" s="1"/>
  <c r="K527" i="8" a="1"/>
  <c r="K527" i="8" s="1"/>
  <c r="K526" i="8" a="1"/>
  <c r="K526" i="8" s="1"/>
  <c r="C526" i="8" s="1"/>
  <c r="K525" i="8" a="1"/>
  <c r="K525" i="8" s="1"/>
  <c r="F525" i="8" s="1"/>
  <c r="K524" i="8" a="1"/>
  <c r="K524" i="8" s="1"/>
  <c r="A524" i="8" s="1"/>
  <c r="K523" i="8" a="1"/>
  <c r="K523" i="8" s="1"/>
  <c r="K522" i="8" a="1"/>
  <c r="K522" i="8" s="1"/>
  <c r="K521" i="8" a="1"/>
  <c r="K521" i="8" s="1"/>
  <c r="K520" i="8" a="1"/>
  <c r="K520" i="8" s="1"/>
  <c r="K519" i="8" a="1"/>
  <c r="K519" i="8" s="1"/>
  <c r="K518" i="8" a="1"/>
  <c r="K518" i="8" s="1"/>
  <c r="K517" i="8" a="1"/>
  <c r="K517" i="8" s="1"/>
  <c r="E517" i="8" s="1"/>
  <c r="K516" i="8" a="1"/>
  <c r="K516" i="8" s="1"/>
  <c r="K515" i="8" a="1"/>
  <c r="K515" i="8" s="1"/>
  <c r="D515" i="8" s="1"/>
  <c r="K514" i="8" a="1"/>
  <c r="K514" i="8" s="1"/>
  <c r="B514" i="8" s="1"/>
  <c r="K513" i="8" a="1"/>
  <c r="K513" i="8" s="1"/>
  <c r="K512" i="8" a="1"/>
  <c r="K512" i="8" s="1"/>
  <c r="B512" i="8" s="1"/>
  <c r="K511" i="8" a="1"/>
  <c r="K511" i="8" s="1"/>
  <c r="K510" i="8" a="1"/>
  <c r="K510" i="8" s="1"/>
  <c r="K509" i="8" a="1"/>
  <c r="K509" i="8" s="1"/>
  <c r="K508" i="8" a="1"/>
  <c r="K508" i="8" s="1"/>
  <c r="K507" i="8" a="1"/>
  <c r="K507" i="8" s="1"/>
  <c r="H507" i="8" s="1"/>
  <c r="K506" i="8" a="1"/>
  <c r="K506" i="8" s="1"/>
  <c r="K505" i="8" a="1"/>
  <c r="K505" i="8" s="1"/>
  <c r="K504" i="8" a="1"/>
  <c r="K504" i="8" s="1"/>
  <c r="K503" i="8" a="1"/>
  <c r="K503" i="8" s="1"/>
  <c r="E503" i="8" s="1"/>
  <c r="K502" i="8" a="1"/>
  <c r="K502" i="8" s="1"/>
  <c r="K501" i="8" a="1"/>
  <c r="K501" i="8" s="1"/>
  <c r="K500" i="8" a="1"/>
  <c r="K500" i="8" s="1"/>
  <c r="B500" i="8" s="1"/>
  <c r="K499" i="8" a="1"/>
  <c r="K499" i="8" s="1"/>
  <c r="K498" i="8" a="1"/>
  <c r="K498" i="8" s="1"/>
  <c r="K497" i="8" a="1"/>
  <c r="K497" i="8" s="1"/>
  <c r="K496" i="8" a="1"/>
  <c r="K496" i="8" s="1"/>
  <c r="K495" i="8" a="1"/>
  <c r="K495" i="8" s="1"/>
  <c r="H495" i="8" s="1"/>
  <c r="K494" i="8" a="1"/>
  <c r="K494" i="8" s="1"/>
  <c r="F494" i="8" s="1"/>
  <c r="K493" i="8" a="1"/>
  <c r="K493" i="8" s="1"/>
  <c r="K492" i="8" a="1"/>
  <c r="K492" i="8" s="1"/>
  <c r="K491" i="8" a="1"/>
  <c r="K491" i="8" s="1"/>
  <c r="D491" i="8" s="1"/>
  <c r="K490" i="8" a="1"/>
  <c r="K490" i="8" s="1"/>
  <c r="K489" i="8" a="1"/>
  <c r="K489" i="8" s="1"/>
  <c r="K488" i="8" a="1"/>
  <c r="K488" i="8" s="1"/>
  <c r="B488" i="8" s="1"/>
  <c r="K487" i="8" a="1"/>
  <c r="K487" i="8" s="1"/>
  <c r="G487" i="8" s="1"/>
  <c r="K486" i="8" a="1"/>
  <c r="K486" i="8" s="1"/>
  <c r="F486" i="8" s="1"/>
  <c r="K485" i="8" a="1"/>
  <c r="K485" i="8" s="1"/>
  <c r="K484" i="8" a="1"/>
  <c r="K484" i="8" s="1"/>
  <c r="D484" i="8" s="1"/>
  <c r="K483" i="8" a="1"/>
  <c r="K483" i="8" s="1"/>
  <c r="H483" i="8" s="1"/>
  <c r="K482" i="8" a="1"/>
  <c r="K482" i="8" s="1"/>
  <c r="G482" i="8" s="1"/>
  <c r="K481" i="8" a="1"/>
  <c r="K481" i="8" s="1"/>
  <c r="E481" i="8" s="1"/>
  <c r="K480" i="8" a="1"/>
  <c r="K480" i="8" s="1"/>
  <c r="K479" i="8" a="1"/>
  <c r="K479" i="8" s="1"/>
  <c r="E479" i="8" s="1"/>
  <c r="K478" i="8" a="1"/>
  <c r="K478" i="8" s="1"/>
  <c r="D478" i="8" s="1"/>
  <c r="K477" i="8" a="1"/>
  <c r="K477" i="8" s="1"/>
  <c r="K476" i="8" a="1"/>
  <c r="K476" i="8" s="1"/>
  <c r="B476" i="8" s="1"/>
  <c r="K475" i="8" a="1"/>
  <c r="K475" i="8" s="1"/>
  <c r="K474" i="8" a="1"/>
  <c r="K474" i="8" s="1"/>
  <c r="K473" i="8" a="1"/>
  <c r="K473" i="8" s="1"/>
  <c r="H473" i="8" s="1"/>
  <c r="K472" i="8" a="1"/>
  <c r="K472" i="8" s="1"/>
  <c r="G472" i="8" s="1"/>
  <c r="K471" i="8" a="1"/>
  <c r="K471" i="8" s="1"/>
  <c r="G471" i="8" s="1"/>
  <c r="K470" i="8" a="1"/>
  <c r="K470" i="8" s="1"/>
  <c r="F470" i="8" s="1"/>
  <c r="K469" i="8" a="1"/>
  <c r="K469" i="8" s="1"/>
  <c r="G469" i="8" s="1"/>
  <c r="K468" i="8" a="1"/>
  <c r="K468" i="8" s="1"/>
  <c r="K467" i="8" a="1"/>
  <c r="K467" i="8" s="1"/>
  <c r="H467" i="8" s="1"/>
  <c r="K466" i="8" a="1"/>
  <c r="K466" i="8" s="1"/>
  <c r="K465" i="8" a="1"/>
  <c r="K465" i="8" s="1"/>
  <c r="K464" i="8" a="1"/>
  <c r="K464" i="8" s="1"/>
  <c r="H464" i="8" s="1"/>
  <c r="K463" i="8" a="1"/>
  <c r="K463" i="8" s="1"/>
  <c r="K462" i="8" a="1"/>
  <c r="K462" i="8" s="1"/>
  <c r="B462" i="8" s="1"/>
  <c r="K461" i="8" a="1"/>
  <c r="K461" i="8" s="1"/>
  <c r="K460" i="8" a="1"/>
  <c r="K460" i="8" s="1"/>
  <c r="K459" i="8" a="1"/>
  <c r="K459" i="8" s="1"/>
  <c r="K458" i="8" a="1"/>
  <c r="K458" i="8" s="1"/>
  <c r="K457" i="8" a="1"/>
  <c r="K457" i="8" s="1"/>
  <c r="G457" i="8" s="1"/>
  <c r="K456" i="8" a="1"/>
  <c r="K456" i="8" s="1"/>
  <c r="C456" i="8" s="1"/>
  <c r="K455" i="8" a="1"/>
  <c r="K455" i="8" s="1"/>
  <c r="A455" i="8" s="1"/>
  <c r="K454" i="8" a="1"/>
  <c r="K454" i="8" s="1"/>
  <c r="K453" i="8" a="1"/>
  <c r="K453" i="8" s="1"/>
  <c r="K452" i="8" a="1"/>
  <c r="K452" i="8" s="1"/>
  <c r="G452" i="8" s="1"/>
  <c r="K451" i="8" a="1"/>
  <c r="K451" i="8" s="1"/>
  <c r="G451" i="8" s="1"/>
  <c r="K450" i="8" a="1"/>
  <c r="K450" i="8" s="1"/>
  <c r="K449" i="8" a="1"/>
  <c r="K449" i="8" s="1"/>
  <c r="H449" i="8" s="1"/>
  <c r="K448" i="8" a="1"/>
  <c r="K448" i="8" s="1"/>
  <c r="D448" i="8" s="1"/>
  <c r="K447" i="8" a="1"/>
  <c r="K447" i="8" s="1"/>
  <c r="K446" i="8" a="1"/>
  <c r="K446" i="8" s="1"/>
  <c r="K445" i="8" a="1"/>
  <c r="K445" i="8" s="1"/>
  <c r="H445" i="8" s="1"/>
  <c r="K444" i="8" a="1"/>
  <c r="K444" i="8" s="1"/>
  <c r="K443" i="8" a="1"/>
  <c r="K443" i="8" s="1"/>
  <c r="D443" i="8" s="1"/>
  <c r="K442" i="8" a="1"/>
  <c r="K442" i="8" s="1"/>
  <c r="C442" i="8" s="1"/>
  <c r="K441" i="8" a="1"/>
  <c r="K441" i="8" s="1"/>
  <c r="A441" i="8" s="1"/>
  <c r="K440" i="8" a="1"/>
  <c r="K440" i="8" s="1"/>
  <c r="G440" i="8" s="1"/>
  <c r="K439" i="8" a="1"/>
  <c r="K439" i="8" s="1"/>
  <c r="K438" i="8" a="1"/>
  <c r="K438" i="8" s="1"/>
  <c r="H438" i="8" s="1"/>
  <c r="K437" i="8" a="1"/>
  <c r="K437" i="8" s="1"/>
  <c r="F437" i="8" s="1"/>
  <c r="K436" i="8" a="1"/>
  <c r="K436" i="8" s="1"/>
  <c r="D436" i="8" s="1"/>
  <c r="K435" i="8" a="1"/>
  <c r="K435" i="8" s="1"/>
  <c r="K434" i="8" a="1"/>
  <c r="K434" i="8" s="1"/>
  <c r="A434" i="8" s="1"/>
  <c r="K433" i="8" a="1"/>
  <c r="K433" i="8" s="1"/>
  <c r="K432" i="8" a="1"/>
  <c r="K432" i="8" s="1"/>
  <c r="K431" i="8" a="1"/>
  <c r="K431" i="8" s="1"/>
  <c r="H431" i="8" s="1"/>
  <c r="K430" i="8" a="1"/>
  <c r="K430" i="8" s="1"/>
  <c r="K429" i="8" a="1"/>
  <c r="K429" i="8" s="1"/>
  <c r="F429" i="8" s="1"/>
  <c r="K428" i="8" a="1"/>
  <c r="K428" i="8" s="1"/>
  <c r="E428" i="8" s="1"/>
  <c r="K427" i="8" a="1"/>
  <c r="K427" i="8" s="1"/>
  <c r="D427" i="8" s="1"/>
  <c r="K426" i="8" a="1"/>
  <c r="K426" i="8" s="1"/>
  <c r="K425" i="8" a="1"/>
  <c r="K425" i="8" s="1"/>
  <c r="B425" i="8" s="1"/>
  <c r="K424" i="8" a="1"/>
  <c r="K424" i="8" s="1"/>
  <c r="H424" i="8" s="1"/>
  <c r="K423" i="8" a="1"/>
  <c r="K423" i="8" s="1"/>
  <c r="H423" i="8" s="1"/>
  <c r="K422" i="8" a="1"/>
  <c r="K422" i="8" s="1"/>
  <c r="K421" i="8" a="1"/>
  <c r="K421" i="8" s="1"/>
  <c r="K420" i="8" a="1"/>
  <c r="K420" i="8" s="1"/>
  <c r="E420" i="8" s="1"/>
  <c r="K419" i="8" a="1"/>
  <c r="K419" i="8" s="1"/>
  <c r="H419" i="8" s="1"/>
  <c r="K418" i="8" a="1"/>
  <c r="K418" i="8" s="1"/>
  <c r="G418" i="8" s="1"/>
  <c r="K417" i="8" a="1"/>
  <c r="K417" i="8" s="1"/>
  <c r="F417" i="8" s="1"/>
  <c r="K416" i="8" a="1"/>
  <c r="K416" i="8" s="1"/>
  <c r="E416" i="8" s="1"/>
  <c r="K415" i="8" a="1"/>
  <c r="K415" i="8" s="1"/>
  <c r="G415" i="8" s="1"/>
  <c r="K414" i="8" a="1"/>
  <c r="K414" i="8" s="1"/>
  <c r="C414" i="8" s="1"/>
  <c r="K413" i="8" a="1"/>
  <c r="K413" i="8" s="1"/>
  <c r="H413" i="8" s="1"/>
  <c r="K412" i="8" a="1"/>
  <c r="K412" i="8" s="1"/>
  <c r="K411" i="8" a="1"/>
  <c r="K411" i="8" s="1"/>
  <c r="G411" i="8" s="1"/>
  <c r="K410" i="8" a="1"/>
  <c r="K410" i="8" s="1"/>
  <c r="H410" i="8" s="1"/>
  <c r="K409" i="8" a="1"/>
  <c r="K409" i="8" s="1"/>
  <c r="K408" i="8" a="1"/>
  <c r="K408" i="8" s="1"/>
  <c r="K407" i="8" a="1"/>
  <c r="K407" i="8" s="1"/>
  <c r="H407" i="8" s="1"/>
  <c r="K406" i="8" a="1"/>
  <c r="K406" i="8" s="1"/>
  <c r="K405" i="8" a="1"/>
  <c r="K405" i="8" s="1"/>
  <c r="F405" i="8" s="1"/>
  <c r="K404" i="8" a="1"/>
  <c r="K404" i="8" s="1"/>
  <c r="K403" i="8" a="1"/>
  <c r="K403" i="8" s="1"/>
  <c r="A403" i="8" s="1"/>
  <c r="K402" i="8" a="1"/>
  <c r="K402" i="8" s="1"/>
  <c r="K401" i="8" a="1"/>
  <c r="K401" i="8" s="1"/>
  <c r="G401" i="8" s="1"/>
  <c r="K400" i="8" a="1"/>
  <c r="K400" i="8" s="1"/>
  <c r="K399" i="8" a="1"/>
  <c r="K399" i="8" s="1"/>
  <c r="K398" i="8" a="1"/>
  <c r="K398" i="8" s="1"/>
  <c r="F398" i="8" s="1"/>
  <c r="K397" i="8" a="1"/>
  <c r="K397" i="8" s="1"/>
  <c r="B397" i="8" s="1"/>
  <c r="K396" i="8" a="1"/>
  <c r="K396" i="8" s="1"/>
  <c r="A396" i="8" s="1"/>
  <c r="K395" i="8" a="1"/>
  <c r="K395" i="8" s="1"/>
  <c r="K394" i="8" a="1"/>
  <c r="K394" i="8" s="1"/>
  <c r="K393" i="8" a="1"/>
  <c r="K393" i="8" s="1"/>
  <c r="G393" i="8" s="1"/>
  <c r="K392" i="8" a="1"/>
  <c r="K392" i="8" s="1"/>
  <c r="K391" i="8" a="1"/>
  <c r="K391" i="8" s="1"/>
  <c r="K390" i="8" a="1"/>
  <c r="K390" i="8" s="1"/>
  <c r="K389" i="8" a="1"/>
  <c r="K389" i="8" s="1"/>
  <c r="E389" i="8" s="1"/>
  <c r="K388" i="8" a="1"/>
  <c r="K388" i="8" s="1"/>
  <c r="A388" i="8" s="1"/>
  <c r="K387" i="8" a="1"/>
  <c r="K387" i="8" s="1"/>
  <c r="K386" i="8" a="1"/>
  <c r="K386" i="8" s="1"/>
  <c r="K385" i="8" a="1"/>
  <c r="K385" i="8" s="1"/>
  <c r="K384" i="8" a="1"/>
  <c r="K384" i="8" s="1"/>
  <c r="K383" i="8" a="1"/>
  <c r="K383" i="8" s="1"/>
  <c r="C383" i="8" s="1"/>
  <c r="K382" i="8" a="1"/>
  <c r="K382" i="8" s="1"/>
  <c r="K381" i="8" a="1"/>
  <c r="K381" i="8" s="1"/>
  <c r="H381" i="8" s="1"/>
  <c r="K380" i="8" a="1"/>
  <c r="K380" i="8" s="1"/>
  <c r="K379" i="8" a="1"/>
  <c r="K379" i="8" s="1"/>
  <c r="K378" i="8" a="1"/>
  <c r="K378" i="8" s="1"/>
  <c r="F378" i="8" s="1"/>
  <c r="K377" i="8" a="1"/>
  <c r="K377" i="8" s="1"/>
  <c r="K376" i="8" a="1"/>
  <c r="K376" i="8" s="1"/>
  <c r="B376" i="8" s="1"/>
  <c r="K375" i="8" a="1"/>
  <c r="K375" i="8" s="1"/>
  <c r="K374" i="8" a="1"/>
  <c r="K374" i="8" s="1"/>
  <c r="K373" i="8" a="1"/>
  <c r="K373" i="8" s="1"/>
  <c r="K372" i="8" a="1"/>
  <c r="K372" i="8" s="1"/>
  <c r="G372" i="8" s="1"/>
  <c r="K371" i="8" a="1"/>
  <c r="K371" i="8" s="1"/>
  <c r="G371" i="8" s="1"/>
  <c r="K370" i="8" a="1"/>
  <c r="K370" i="8" s="1"/>
  <c r="K369" i="8" a="1"/>
  <c r="K369" i="8" s="1"/>
  <c r="A369" i="8" s="1"/>
  <c r="K368" i="8" a="1"/>
  <c r="K368" i="8" s="1"/>
  <c r="B368" i="8" s="1"/>
  <c r="K367" i="8" a="1"/>
  <c r="K367" i="8" s="1"/>
  <c r="K366" i="8" a="1"/>
  <c r="K366" i="8" s="1"/>
  <c r="K365" i="8" a="1"/>
  <c r="K365" i="8" s="1"/>
  <c r="G365" i="8" s="1"/>
  <c r="K364" i="8" a="1"/>
  <c r="K364" i="8" s="1"/>
  <c r="G364" i="8" s="1"/>
  <c r="K363" i="8" a="1"/>
  <c r="K363" i="8" s="1"/>
  <c r="C363" i="8" s="1"/>
  <c r="K362" i="8" a="1"/>
  <c r="K362" i="8" s="1"/>
  <c r="A362" i="8" s="1"/>
  <c r="K361" i="8" a="1"/>
  <c r="K361" i="8" s="1"/>
  <c r="A361" i="8" s="1"/>
  <c r="K360" i="8" a="1"/>
  <c r="K360" i="8" s="1"/>
  <c r="K359" i="8" a="1"/>
  <c r="K359" i="8" s="1"/>
  <c r="A359" i="8" s="1"/>
  <c r="K358" i="8" a="1"/>
  <c r="K358" i="8" s="1"/>
  <c r="K357" i="8" a="1"/>
  <c r="K357" i="8" s="1"/>
  <c r="K356" i="8" a="1"/>
  <c r="K356" i="8" s="1"/>
  <c r="H356" i="8" s="1"/>
  <c r="K355" i="8" a="1"/>
  <c r="K355" i="8" s="1"/>
  <c r="G355" i="8" s="1"/>
  <c r="K354" i="8" a="1"/>
  <c r="K354" i="8" s="1"/>
  <c r="H354" i="8" s="1"/>
  <c r="K353" i="8" a="1"/>
  <c r="K353" i="8" s="1"/>
  <c r="K352" i="8" a="1"/>
  <c r="K352" i="8" s="1"/>
  <c r="K351" i="8" a="1"/>
  <c r="K351" i="8" s="1"/>
  <c r="C351" i="8" s="1"/>
  <c r="K350" i="8" a="1"/>
  <c r="K350" i="8" s="1"/>
  <c r="K349" i="8" a="1"/>
  <c r="K349" i="8" s="1"/>
  <c r="A349" i="8" s="1"/>
  <c r="K348" i="8" a="1"/>
  <c r="K348" i="8" s="1"/>
  <c r="H348" i="8" s="1"/>
  <c r="K347" i="8" a="1"/>
  <c r="K347" i="8" s="1"/>
  <c r="K346" i="8" a="1"/>
  <c r="K346" i="8" s="1"/>
  <c r="K345" i="8" a="1"/>
  <c r="K345" i="8" s="1"/>
  <c r="K344" i="8" a="1"/>
  <c r="K344" i="8" s="1"/>
  <c r="K343" i="8" a="1"/>
  <c r="K343" i="8" s="1"/>
  <c r="G343" i="8" s="1"/>
  <c r="K342" i="8" a="1"/>
  <c r="K342" i="8" s="1"/>
  <c r="B342" i="8" s="1"/>
  <c r="K341" i="8" a="1"/>
  <c r="K341" i="8" s="1"/>
  <c r="K340" i="8" a="1"/>
  <c r="K340" i="8" s="1"/>
  <c r="F340" i="8" s="1"/>
  <c r="K339" i="8" a="1"/>
  <c r="K339" i="8" s="1"/>
  <c r="H339" i="8" s="1"/>
  <c r="K338" i="8" a="1"/>
  <c r="K338" i="8" s="1"/>
  <c r="G338" i="8" s="1"/>
  <c r="K337" i="8" a="1"/>
  <c r="K337" i="8" s="1"/>
  <c r="G337" i="8" s="1"/>
  <c r="K336" i="8" a="1"/>
  <c r="K336" i="8" s="1"/>
  <c r="K335" i="8" a="1"/>
  <c r="K335" i="8" s="1"/>
  <c r="G335" i="8" s="1"/>
  <c r="K334" i="8" a="1"/>
  <c r="K334" i="8" s="1"/>
  <c r="K333" i="8" a="1"/>
  <c r="K333" i="8" s="1"/>
  <c r="G333" i="8" s="1"/>
  <c r="K332" i="8" a="1"/>
  <c r="K332" i="8" s="1"/>
  <c r="K331" i="8" a="1"/>
  <c r="K331" i="8" s="1"/>
  <c r="K330" i="8" a="1"/>
  <c r="K330" i="8" s="1"/>
  <c r="K329" i="8" a="1"/>
  <c r="K329" i="8" s="1"/>
  <c r="K328" i="8" a="1"/>
  <c r="K328" i="8" s="1"/>
  <c r="K327" i="8" a="1"/>
  <c r="K327" i="8" s="1"/>
  <c r="K326" i="8" a="1"/>
  <c r="K326" i="8" s="1"/>
  <c r="H326" i="8" s="1"/>
  <c r="K325" i="8" a="1"/>
  <c r="K325" i="8" s="1"/>
  <c r="E325" i="8" s="1"/>
  <c r="K324" i="8" a="1"/>
  <c r="K324" i="8" s="1"/>
  <c r="K323" i="8" a="1"/>
  <c r="K323" i="8" s="1"/>
  <c r="K322" i="8" a="1"/>
  <c r="K322" i="8" s="1"/>
  <c r="K321" i="8" a="1"/>
  <c r="K321" i="8" s="1"/>
  <c r="H321" i="8" s="1"/>
  <c r="K320" i="8" a="1"/>
  <c r="K320" i="8" s="1"/>
  <c r="D320" i="8" s="1"/>
  <c r="K319" i="8" a="1"/>
  <c r="K319" i="8" s="1"/>
  <c r="K318" i="8" a="1"/>
  <c r="K318" i="8" s="1"/>
  <c r="K317" i="8" a="1"/>
  <c r="K317" i="8" s="1"/>
  <c r="K316" i="8" a="1"/>
  <c r="K316" i="8" s="1"/>
  <c r="H316" i="8" s="1"/>
  <c r="K315" i="8" a="1"/>
  <c r="K315" i="8" s="1"/>
  <c r="G315" i="8" s="1"/>
  <c r="K314" i="8" a="1"/>
  <c r="K314" i="8" s="1"/>
  <c r="K313" i="8" a="1"/>
  <c r="K313" i="8" s="1"/>
  <c r="K312" i="8" a="1"/>
  <c r="K312" i="8" s="1"/>
  <c r="K311" i="8" a="1"/>
  <c r="K311" i="8" s="1"/>
  <c r="K310" i="8" a="1"/>
  <c r="K310" i="8" s="1"/>
  <c r="K309" i="8" a="1"/>
  <c r="K309" i="8" s="1"/>
  <c r="D309" i="8" s="1"/>
  <c r="K308" i="8" a="1"/>
  <c r="K308" i="8" s="1"/>
  <c r="K307" i="8" a="1"/>
  <c r="K307" i="8" s="1"/>
  <c r="K306" i="8" a="1"/>
  <c r="K306" i="8" s="1"/>
  <c r="K305" i="8" a="1"/>
  <c r="K305" i="8" s="1"/>
  <c r="K304" i="8" a="1"/>
  <c r="K304" i="8" s="1"/>
  <c r="K303" i="8" a="1"/>
  <c r="K303" i="8" s="1"/>
  <c r="K302" i="8" a="1"/>
  <c r="K302" i="8" s="1"/>
  <c r="K301" i="8" a="1"/>
  <c r="K301" i="8" s="1"/>
  <c r="K300" i="8" a="1"/>
  <c r="K300" i="8" s="1"/>
  <c r="D300" i="8" s="1"/>
  <c r="K299" i="8" a="1"/>
  <c r="K299" i="8" s="1"/>
  <c r="K298" i="8" a="1"/>
  <c r="K298" i="8" s="1"/>
  <c r="K297" i="8" a="1"/>
  <c r="K297" i="8" s="1"/>
  <c r="K296" i="8" a="1"/>
  <c r="K296" i="8" s="1"/>
  <c r="D296" i="8" s="1"/>
  <c r="K295" i="8" a="1"/>
  <c r="K295" i="8" s="1"/>
  <c r="K294" i="8" a="1"/>
  <c r="K294" i="8" s="1"/>
  <c r="B294" i="8" s="1"/>
  <c r="K293" i="8" a="1"/>
  <c r="K293" i="8" s="1"/>
  <c r="K292" i="8" a="1"/>
  <c r="K292" i="8" s="1"/>
  <c r="K291" i="8" a="1"/>
  <c r="K291" i="8" s="1"/>
  <c r="K290" i="8" a="1"/>
  <c r="K290" i="8" s="1"/>
  <c r="G290" i="8" s="1"/>
  <c r="K289" i="8" a="1"/>
  <c r="K289" i="8" s="1"/>
  <c r="K288" i="8" a="1"/>
  <c r="K288" i="8" s="1"/>
  <c r="K287" i="8" a="1"/>
  <c r="K287" i="8" s="1"/>
  <c r="K286" i="8" a="1"/>
  <c r="K286" i="8" s="1"/>
  <c r="F286" i="8" s="1"/>
  <c r="K285" i="8" a="1"/>
  <c r="K285" i="8" s="1"/>
  <c r="K284" i="8" a="1"/>
  <c r="K284" i="8" s="1"/>
  <c r="K283" i="8" a="1"/>
  <c r="K283" i="8" s="1"/>
  <c r="K282" i="8" a="1"/>
  <c r="K282" i="8" s="1"/>
  <c r="B282" i="8" s="1"/>
  <c r="K281" i="8" a="1"/>
  <c r="K281" i="8" s="1"/>
  <c r="K280" i="8" a="1"/>
  <c r="K280" i="8" s="1"/>
  <c r="K279" i="8" a="1"/>
  <c r="K279" i="8" s="1"/>
  <c r="K278" i="8" a="1"/>
  <c r="K278" i="8" s="1"/>
  <c r="K277" i="8" a="1"/>
  <c r="K277" i="8" s="1"/>
  <c r="K276" i="8" a="1"/>
  <c r="K276" i="8" s="1"/>
  <c r="D276" i="8" s="1"/>
  <c r="K275" i="8" a="1"/>
  <c r="K275" i="8" s="1"/>
  <c r="K274" i="8" a="1"/>
  <c r="K274" i="8" s="1"/>
  <c r="K273" i="8" a="1"/>
  <c r="K273" i="8" s="1"/>
  <c r="K272" i="8" a="1"/>
  <c r="K272" i="8" s="1"/>
  <c r="D272" i="8" s="1"/>
  <c r="K271" i="8" a="1"/>
  <c r="K271" i="8" s="1"/>
  <c r="K270" i="8" a="1"/>
  <c r="K270" i="8" s="1"/>
  <c r="B270" i="8" s="1"/>
  <c r="K269" i="8" a="1"/>
  <c r="K269" i="8" s="1"/>
  <c r="K268" i="8" a="1"/>
  <c r="K268" i="8" s="1"/>
  <c r="K267" i="8" a="1"/>
  <c r="K267" i="8" s="1"/>
  <c r="K266" i="8" a="1"/>
  <c r="K266" i="8" s="1"/>
  <c r="G266" i="8" s="1"/>
  <c r="K265" i="8" a="1"/>
  <c r="K265" i="8" s="1"/>
  <c r="K264" i="8" a="1"/>
  <c r="K264" i="8" s="1"/>
  <c r="K263" i="8" a="1"/>
  <c r="K263" i="8" s="1"/>
  <c r="K262" i="8" a="1"/>
  <c r="K262" i="8" s="1"/>
  <c r="F262" i="8" s="1"/>
  <c r="K261" i="8" a="1"/>
  <c r="K261" i="8" s="1"/>
  <c r="K260" i="8" a="1"/>
  <c r="K260" i="8" s="1"/>
  <c r="K259" i="8" a="1"/>
  <c r="K259" i="8" s="1"/>
  <c r="K258" i="8" a="1"/>
  <c r="K258" i="8" s="1"/>
  <c r="B258" i="8" s="1"/>
  <c r="K257" i="8" a="1"/>
  <c r="K257" i="8" s="1"/>
  <c r="K256" i="8" a="1"/>
  <c r="K256" i="8" s="1"/>
  <c r="K255" i="8" a="1"/>
  <c r="K255" i="8" s="1"/>
  <c r="K254" i="8" a="1"/>
  <c r="K254" i="8" s="1"/>
  <c r="K253" i="8" a="1"/>
  <c r="K253" i="8" s="1"/>
  <c r="K252" i="8" a="1"/>
  <c r="K252" i="8" s="1"/>
  <c r="F252" i="8" s="1"/>
  <c r="K251" i="8" a="1"/>
  <c r="K251" i="8" s="1"/>
  <c r="E251" i="8" s="1"/>
  <c r="K250" i="8" a="1"/>
  <c r="K250" i="8" s="1"/>
  <c r="C250" i="8" s="1"/>
  <c r="K249" i="8" a="1"/>
  <c r="K249" i="8" s="1"/>
  <c r="C249" i="8" s="1"/>
  <c r="K248" i="8" a="1"/>
  <c r="K248" i="8" s="1"/>
  <c r="K247" i="8" a="1"/>
  <c r="K247" i="8" s="1"/>
  <c r="A247" i="8" s="1"/>
  <c r="K246" i="8" a="1"/>
  <c r="K246" i="8" s="1"/>
  <c r="B246" i="8" s="1"/>
  <c r="K245" i="8" a="1"/>
  <c r="K245" i="8" s="1"/>
  <c r="K244" i="8" a="1"/>
  <c r="K244" i="8" s="1"/>
  <c r="K243" i="8" a="1"/>
  <c r="K243" i="8" s="1"/>
  <c r="K242" i="8" a="1"/>
  <c r="K242" i="8" s="1"/>
  <c r="G242" i="8" s="1"/>
  <c r="K241" i="8" a="1"/>
  <c r="K241" i="8" s="1"/>
  <c r="G241" i="8" s="1"/>
  <c r="K240" i="8" a="1"/>
  <c r="K240" i="8" s="1"/>
  <c r="K239" i="8" a="1"/>
  <c r="K239" i="8" s="1"/>
  <c r="E239" i="8" s="1"/>
  <c r="K238" i="8" a="1"/>
  <c r="K238" i="8" s="1"/>
  <c r="B238" i="8" s="1"/>
  <c r="K237" i="8" a="1"/>
  <c r="K237" i="8" s="1"/>
  <c r="C237" i="8" s="1"/>
  <c r="K236" i="8" a="1"/>
  <c r="K236" i="8" s="1"/>
  <c r="D236" i="8" s="1"/>
  <c r="K235" i="8" a="1"/>
  <c r="K235" i="8" s="1"/>
  <c r="A235" i="8" s="1"/>
  <c r="K234" i="8" a="1"/>
  <c r="K234" i="8" s="1"/>
  <c r="B234" i="8" s="1"/>
  <c r="K233" i="8" a="1"/>
  <c r="K233" i="8" s="1"/>
  <c r="K232" i="8" a="1"/>
  <c r="K232" i="8" s="1"/>
  <c r="K231" i="8" a="1"/>
  <c r="K231" i="8" s="1"/>
  <c r="K230" i="8" a="1"/>
  <c r="K230" i="8" s="1"/>
  <c r="H230" i="8" s="1"/>
  <c r="K229" i="8" a="1"/>
  <c r="K229" i="8" s="1"/>
  <c r="G229" i="8" s="1"/>
  <c r="K228" i="8" a="1"/>
  <c r="K228" i="8" s="1"/>
  <c r="E228" i="8" s="1"/>
  <c r="K227" i="8" a="1"/>
  <c r="K227" i="8" s="1"/>
  <c r="K226" i="8" a="1"/>
  <c r="K226" i="8" s="1"/>
  <c r="H226" i="8" s="1"/>
  <c r="K225" i="8" a="1"/>
  <c r="K225" i="8" s="1"/>
  <c r="C225" i="8" s="1"/>
  <c r="K224" i="8" a="1"/>
  <c r="K224" i="8" s="1"/>
  <c r="K223" i="8" a="1"/>
  <c r="K223" i="8" s="1"/>
  <c r="C223" i="8" s="1"/>
  <c r="K222" i="8" a="1"/>
  <c r="K222" i="8" s="1"/>
  <c r="B222" i="8" s="1"/>
  <c r="K221" i="8" a="1"/>
  <c r="K221" i="8" s="1"/>
  <c r="A221" i="8" s="1"/>
  <c r="K220" i="8" a="1"/>
  <c r="K220" i="8" s="1"/>
  <c r="K219" i="8" a="1"/>
  <c r="K219" i="8" s="1"/>
  <c r="K218" i="8" a="1"/>
  <c r="K218" i="8" s="1"/>
  <c r="H218" i="8" s="1"/>
  <c r="K217" i="8" a="1"/>
  <c r="K217" i="8" s="1"/>
  <c r="G217" i="8" s="1"/>
  <c r="K216" i="8" a="1"/>
  <c r="K216" i="8" s="1"/>
  <c r="K215" i="8" a="1"/>
  <c r="K215" i="8" s="1"/>
  <c r="E215" i="8" s="1"/>
  <c r="K214" i="8" a="1"/>
  <c r="K214" i="8" s="1"/>
  <c r="K213" i="8" a="1"/>
  <c r="K213" i="8" s="1"/>
  <c r="E213" i="8" s="1"/>
  <c r="K212" i="8" a="1"/>
  <c r="K212" i="8" s="1"/>
  <c r="D212" i="8" s="1"/>
  <c r="K211" i="8" a="1"/>
  <c r="K211" i="8" s="1"/>
  <c r="C211" i="8" s="1"/>
  <c r="K210" i="8" a="1"/>
  <c r="K210" i="8" s="1"/>
  <c r="B210" i="8" s="1"/>
  <c r="K209" i="8" a="1"/>
  <c r="K209" i="8" s="1"/>
  <c r="K208" i="8" a="1"/>
  <c r="K208" i="8" s="1"/>
  <c r="H208" i="8" s="1"/>
  <c r="K207" i="8" a="1"/>
  <c r="K207" i="8" s="1"/>
  <c r="K206" i="8" a="1"/>
  <c r="K206" i="8" s="1"/>
  <c r="H206" i="8" s="1"/>
  <c r="K205" i="8" a="1"/>
  <c r="K205" i="8" s="1"/>
  <c r="G205" i="8" s="1"/>
  <c r="K204" i="8" a="1"/>
  <c r="K204" i="8" s="1"/>
  <c r="H204" i="8" s="1"/>
  <c r="K203" i="8" a="1"/>
  <c r="K203" i="8" s="1"/>
  <c r="E203" i="8" s="1"/>
  <c r="K202" i="8" a="1"/>
  <c r="K202" i="8" s="1"/>
  <c r="H202" i="8" s="1"/>
  <c r="K201" i="8" a="1"/>
  <c r="K201" i="8" s="1"/>
  <c r="E201" i="8" s="1"/>
  <c r="K200" i="8" a="1"/>
  <c r="K200" i="8" s="1"/>
  <c r="A200" i="8" s="1"/>
  <c r="K199" i="8" a="1"/>
  <c r="K199" i="8" s="1"/>
  <c r="C199" i="8" s="1"/>
  <c r="K198" i="8" a="1"/>
  <c r="K198" i="8" s="1"/>
  <c r="B198" i="8" s="1"/>
  <c r="K197" i="8" a="1"/>
  <c r="K197" i="8" s="1"/>
  <c r="K196" i="8" a="1"/>
  <c r="K196" i="8" s="1"/>
  <c r="H196" i="8" s="1"/>
  <c r="K195" i="8" a="1"/>
  <c r="K195" i="8" s="1"/>
  <c r="K194" i="8" a="1"/>
  <c r="K194" i="8" s="1"/>
  <c r="K193" i="8" a="1"/>
  <c r="K193" i="8" s="1"/>
  <c r="E193" i="8" s="1"/>
  <c r="K192" i="8" a="1"/>
  <c r="K192" i="8" s="1"/>
  <c r="F192" i="8" s="1"/>
  <c r="K191" i="8" a="1"/>
  <c r="K191" i="8" s="1"/>
  <c r="K190" i="8" a="1"/>
  <c r="K190" i="8" s="1"/>
  <c r="K189" i="8" a="1"/>
  <c r="K189" i="8" s="1"/>
  <c r="K188" i="8" a="1"/>
  <c r="K188" i="8" s="1"/>
  <c r="B188" i="8" s="1"/>
  <c r="K187" i="8" a="1"/>
  <c r="K187" i="8" s="1"/>
  <c r="C187" i="8" s="1"/>
  <c r="K186" i="8" a="1"/>
  <c r="K186" i="8" s="1"/>
  <c r="B186" i="8" s="1"/>
  <c r="K185" i="8" a="1"/>
  <c r="K185" i="8" s="1"/>
  <c r="K184" i="8" a="1"/>
  <c r="K184" i="8" s="1"/>
  <c r="H184" i="8" s="1"/>
  <c r="K183" i="8" a="1"/>
  <c r="K183" i="8" s="1"/>
  <c r="K182" i="8" a="1"/>
  <c r="K182" i="8" s="1"/>
  <c r="K181" i="8" a="1"/>
  <c r="K181" i="8" s="1"/>
  <c r="E181" i="8" s="1"/>
  <c r="K180" i="8" a="1"/>
  <c r="K180" i="8" s="1"/>
  <c r="F180" i="8" s="1"/>
  <c r="K179" i="8" a="1"/>
  <c r="K179" i="8" s="1"/>
  <c r="K178" i="8" a="1"/>
  <c r="K178" i="8" s="1"/>
  <c r="K177" i="8" a="1"/>
  <c r="K177" i="8" s="1"/>
  <c r="F177" i="8" s="1"/>
  <c r="K176" i="8" a="1"/>
  <c r="K176" i="8" s="1"/>
  <c r="B176" i="8" s="1"/>
  <c r="K175" i="8" a="1"/>
  <c r="K175" i="8" s="1"/>
  <c r="D175" i="8" s="1"/>
  <c r="K174" i="8" a="1"/>
  <c r="K174" i="8" s="1"/>
  <c r="B174" i="8" s="1"/>
  <c r="K173" i="8" a="1"/>
  <c r="K173" i="8" s="1"/>
  <c r="A173" i="8" s="1"/>
  <c r="K172" i="8" a="1"/>
  <c r="K172" i="8" s="1"/>
  <c r="H172" i="8" s="1"/>
  <c r="K171" i="8" a="1"/>
  <c r="K171" i="8" s="1"/>
  <c r="K170" i="8" a="1"/>
  <c r="K170" i="8" s="1"/>
  <c r="K169" i="8" a="1"/>
  <c r="K169" i="8" s="1"/>
  <c r="K168" i="8" a="1"/>
  <c r="K168" i="8" s="1"/>
  <c r="K167" i="8" a="1"/>
  <c r="K167" i="8" s="1"/>
  <c r="A167" i="8" s="1"/>
  <c r="K166" i="8" a="1"/>
  <c r="K166" i="8" s="1"/>
  <c r="H166" i="8" s="1"/>
  <c r="K165" i="8" a="1"/>
  <c r="K165" i="8" s="1"/>
  <c r="G165" i="8" s="1"/>
  <c r="K164" i="8" a="1"/>
  <c r="K164" i="8" s="1"/>
  <c r="K163" i="8" a="1"/>
  <c r="K163" i="8" s="1"/>
  <c r="C163" i="8" s="1"/>
  <c r="K162" i="8" a="1"/>
  <c r="K162" i="8" s="1"/>
  <c r="K161" i="8" a="1"/>
  <c r="K161" i="8" s="1"/>
  <c r="B161" i="8" s="1"/>
  <c r="K160" i="8" a="1"/>
  <c r="K160" i="8" s="1"/>
  <c r="F160" i="8" s="1"/>
  <c r="K159" i="8" a="1"/>
  <c r="K159" i="8" s="1"/>
  <c r="A159" i="8" s="1"/>
  <c r="K158" i="8" a="1"/>
  <c r="K158" i="8" s="1"/>
  <c r="K157" i="8" a="1"/>
  <c r="K157" i="8" s="1"/>
  <c r="K156" i="8" a="1"/>
  <c r="K156" i="8" s="1"/>
  <c r="B156" i="8" s="1"/>
  <c r="K155" i="8" a="1"/>
  <c r="K155" i="8" s="1"/>
  <c r="H155" i="8" s="1"/>
  <c r="K154" i="8" a="1"/>
  <c r="K154" i="8" s="1"/>
  <c r="B154" i="8" s="1"/>
  <c r="K153" i="8" a="1"/>
  <c r="K153" i="8" s="1"/>
  <c r="F153" i="8" s="1"/>
  <c r="K152" i="8" a="1"/>
  <c r="K152" i="8" s="1"/>
  <c r="F152" i="8" s="1"/>
  <c r="K151" i="8" a="1"/>
  <c r="K151" i="8" s="1"/>
  <c r="E151" i="8" s="1"/>
  <c r="K150" i="8" a="1"/>
  <c r="K150" i="8" s="1"/>
  <c r="K149" i="8" a="1"/>
  <c r="K149" i="8" s="1"/>
  <c r="K148" i="8" a="1"/>
  <c r="K148" i="8" s="1"/>
  <c r="D148" i="8" s="1"/>
  <c r="K147" i="8" a="1"/>
  <c r="K147" i="8" s="1"/>
  <c r="E147" i="8" s="1"/>
  <c r="K146" i="8" a="1"/>
  <c r="K146" i="8" s="1"/>
  <c r="K145" i="8" a="1"/>
  <c r="K145" i="8" s="1"/>
  <c r="E145" i="8" s="1"/>
  <c r="K144" i="8" a="1"/>
  <c r="K144" i="8" s="1"/>
  <c r="H144" i="8" s="1"/>
  <c r="K143" i="8" a="1"/>
  <c r="K143" i="8" s="1"/>
  <c r="G143" i="8" s="1"/>
  <c r="K142" i="8" a="1"/>
  <c r="K142" i="8" s="1"/>
  <c r="H142" i="8" s="1"/>
  <c r="K141" i="8" a="1"/>
  <c r="K141" i="8" s="1"/>
  <c r="G141" i="8" s="1"/>
  <c r="K140" i="8" a="1"/>
  <c r="K140" i="8" s="1"/>
  <c r="K139" i="8" a="1"/>
  <c r="K139" i="8" s="1"/>
  <c r="G139" i="8" s="1"/>
  <c r="K138" i="8" a="1"/>
  <c r="K138" i="8" s="1"/>
  <c r="K137" i="8" a="1"/>
  <c r="K137" i="8" s="1"/>
  <c r="K136" i="8" a="1"/>
  <c r="K136" i="8" s="1"/>
  <c r="K135" i="8" a="1"/>
  <c r="K135" i="8" s="1"/>
  <c r="K134" i="8" a="1"/>
  <c r="K134" i="8" s="1"/>
  <c r="A134" i="8" s="1"/>
  <c r="K133" i="8" a="1"/>
  <c r="K133" i="8" s="1"/>
  <c r="K132" i="8" a="1"/>
  <c r="K132" i="8" s="1"/>
  <c r="B132" i="8" s="1"/>
  <c r="K131" i="8" a="1"/>
  <c r="K131" i="8" s="1"/>
  <c r="K130" i="8" a="1"/>
  <c r="K130" i="8" s="1"/>
  <c r="K129" i="8" a="1"/>
  <c r="K129" i="8" s="1"/>
  <c r="G129" i="8" s="1"/>
  <c r="K128" i="8" a="1"/>
  <c r="K128" i="8" s="1"/>
  <c r="K127" i="8" a="1"/>
  <c r="K127" i="8" s="1"/>
  <c r="K126" i="8" a="1"/>
  <c r="K126" i="8" s="1"/>
  <c r="K125" i="8" a="1"/>
  <c r="K125" i="8" s="1"/>
  <c r="K124" i="8" a="1"/>
  <c r="K124" i="8" s="1"/>
  <c r="F124" i="8" s="1"/>
  <c r="K123" i="8" a="1"/>
  <c r="K123" i="8" s="1"/>
  <c r="K122" i="8" a="1"/>
  <c r="K122" i="8" s="1"/>
  <c r="K121" i="8" a="1"/>
  <c r="K121" i="8" s="1"/>
  <c r="K120" i="8" a="1"/>
  <c r="K120" i="8" s="1"/>
  <c r="K119" i="8" a="1"/>
  <c r="K119" i="8" s="1"/>
  <c r="K118" i="8" a="1"/>
  <c r="K118" i="8" s="1"/>
  <c r="K117" i="8" a="1"/>
  <c r="K117" i="8" s="1"/>
  <c r="K116" i="8" a="1"/>
  <c r="K116" i="8" s="1"/>
  <c r="K115" i="8" a="1"/>
  <c r="K115" i="8" s="1"/>
  <c r="K114" i="8" a="1"/>
  <c r="K114" i="8" s="1"/>
  <c r="K113" i="8" a="1"/>
  <c r="K113" i="8" s="1"/>
  <c r="G113" i="8" s="1"/>
  <c r="K112" i="8" a="1"/>
  <c r="K112" i="8" s="1"/>
  <c r="K111" i="8" a="1"/>
  <c r="K111" i="8" s="1"/>
  <c r="K110" i="8" a="1"/>
  <c r="K110" i="8" s="1"/>
  <c r="K109" i="8" a="1"/>
  <c r="K109" i="8" s="1"/>
  <c r="K108" i="8" a="1"/>
  <c r="K108" i="8" s="1"/>
  <c r="K107" i="8" a="1"/>
  <c r="K107" i="8" s="1"/>
  <c r="K106" i="8" a="1"/>
  <c r="K106" i="8" s="1"/>
  <c r="K105" i="8" a="1"/>
  <c r="K105" i="8" s="1"/>
  <c r="K104" i="8" a="1"/>
  <c r="K104" i="8" s="1"/>
  <c r="H104" i="8" s="1"/>
  <c r="K103" i="8" a="1"/>
  <c r="K103" i="8" s="1"/>
  <c r="G103" i="8" s="1"/>
  <c r="K102" i="8" a="1"/>
  <c r="K102" i="8" s="1"/>
  <c r="F102" i="8" s="1"/>
  <c r="K101" i="8" a="1"/>
  <c r="K101" i="8" s="1"/>
  <c r="K100" i="8" a="1"/>
  <c r="K100" i="8" s="1"/>
  <c r="F100" i="8" s="1"/>
  <c r="K99" i="8" a="1"/>
  <c r="K99" i="8" s="1"/>
  <c r="K98" i="8" a="1"/>
  <c r="K98" i="8" s="1"/>
  <c r="K97" i="8" a="1"/>
  <c r="K97" i="8" s="1"/>
  <c r="A97" i="8" s="1"/>
  <c r="K96" i="8" a="1"/>
  <c r="K96" i="8" s="1"/>
  <c r="K95" i="8" a="1"/>
  <c r="K95" i="8" s="1"/>
  <c r="K94" i="8" a="1"/>
  <c r="K94" i="8" s="1"/>
  <c r="K93" i="8" a="1"/>
  <c r="K93" i="8" s="1"/>
  <c r="K92" i="8" a="1"/>
  <c r="K92" i="8" s="1"/>
  <c r="H92" i="8" s="1"/>
  <c r="K91" i="8" a="1"/>
  <c r="K91" i="8" s="1"/>
  <c r="G91" i="8" s="1"/>
  <c r="K90" i="8" a="1"/>
  <c r="K90" i="8" s="1"/>
  <c r="F90" i="8" s="1"/>
  <c r="K89" i="8" a="1"/>
  <c r="K89" i="8" s="1"/>
  <c r="G89" i="8" s="1"/>
  <c r="K88" i="8" a="1"/>
  <c r="K88" i="8" s="1"/>
  <c r="K87" i="8" a="1"/>
  <c r="K87" i="8" s="1"/>
  <c r="E87" i="8" s="1"/>
  <c r="K86" i="8" a="1"/>
  <c r="K86" i="8" s="1"/>
  <c r="K85" i="8" a="1"/>
  <c r="K85" i="8" s="1"/>
  <c r="A85" i="8" s="1"/>
  <c r="K84" i="8" a="1"/>
  <c r="K84" i="8" s="1"/>
  <c r="K83" i="8" a="1"/>
  <c r="K83" i="8" s="1"/>
  <c r="K82" i="8" a="1"/>
  <c r="K82" i="8" s="1"/>
  <c r="K81" i="8" a="1"/>
  <c r="K81" i="8" s="1"/>
  <c r="G81" i="8" s="1"/>
  <c r="K80" i="8" a="1"/>
  <c r="K80" i="8" s="1"/>
  <c r="H80" i="8" s="1"/>
  <c r="K79" i="8" a="1"/>
  <c r="K79" i="8" s="1"/>
  <c r="G79" i="8" s="1"/>
  <c r="K78" i="8" a="1"/>
  <c r="K78" i="8" s="1"/>
  <c r="F78" i="8" s="1"/>
  <c r="K77" i="8" a="1"/>
  <c r="K77" i="8" s="1"/>
  <c r="G77" i="8" s="1"/>
  <c r="K76" i="8" a="1"/>
  <c r="K76" i="8" s="1"/>
  <c r="F76" i="8" s="1"/>
  <c r="K75" i="8" a="1"/>
  <c r="K75" i="8" s="1"/>
  <c r="K74" i="8" a="1"/>
  <c r="K74" i="8" s="1"/>
  <c r="K73" i="8" a="1"/>
  <c r="K73" i="8" s="1"/>
  <c r="K72" i="8" a="1"/>
  <c r="K72" i="8" s="1"/>
  <c r="K71" i="8" a="1"/>
  <c r="K71" i="8" s="1"/>
  <c r="K70" i="8" a="1"/>
  <c r="K70" i="8" s="1"/>
  <c r="K69" i="8" a="1"/>
  <c r="K69" i="8" s="1"/>
  <c r="K68" i="8" a="1"/>
  <c r="K68" i="8" s="1"/>
  <c r="H68" i="8" s="1"/>
  <c r="K67" i="8" a="1"/>
  <c r="K67" i="8" s="1"/>
  <c r="G67" i="8" s="1"/>
  <c r="K66" i="8" a="1"/>
  <c r="K66" i="8" s="1"/>
  <c r="F66" i="8" s="1"/>
  <c r="K65" i="8" a="1"/>
  <c r="K65" i="8" s="1"/>
  <c r="E65" i="8" s="1"/>
  <c r="K64" i="8" a="1"/>
  <c r="K64" i="8" s="1"/>
  <c r="K63" i="8" a="1"/>
  <c r="K63" i="8" s="1"/>
  <c r="K62" i="8" a="1"/>
  <c r="K62" i="8" s="1"/>
  <c r="K61" i="8" a="1"/>
  <c r="K61" i="8" s="1"/>
  <c r="K60" i="8" a="1"/>
  <c r="K60" i="8" s="1"/>
  <c r="E60" i="8" s="1"/>
  <c r="K59" i="8" a="1"/>
  <c r="K59" i="8" s="1"/>
  <c r="D59" i="8" s="1"/>
  <c r="K58" i="8" a="1"/>
  <c r="K58" i="8" s="1"/>
  <c r="C58" i="8" s="1"/>
  <c r="K57" i="8" a="1"/>
  <c r="K57" i="8" s="1"/>
  <c r="G57" i="8" s="1"/>
  <c r="K56" i="8" a="1"/>
  <c r="K56" i="8" s="1"/>
  <c r="H56" i="8" s="1"/>
  <c r="K55" i="8" a="1"/>
  <c r="K55" i="8" s="1"/>
  <c r="G55" i="8" s="1"/>
  <c r="K54" i="8" a="1"/>
  <c r="K54" i="8" s="1"/>
  <c r="K53" i="8" a="1"/>
  <c r="K53" i="8" s="1"/>
  <c r="E53" i="8" s="1"/>
  <c r="K52" i="8" a="1"/>
  <c r="K52" i="8" s="1"/>
  <c r="K51" i="8" a="1"/>
  <c r="K51" i="8" s="1"/>
  <c r="K50" i="8" a="1"/>
  <c r="K50" i="8" s="1"/>
  <c r="K49" i="8" a="1"/>
  <c r="K49" i="8" s="1"/>
  <c r="K48" i="8" a="1"/>
  <c r="K48" i="8" s="1"/>
  <c r="F48" i="8" s="1"/>
  <c r="K47" i="8" a="1"/>
  <c r="K47" i="8" s="1"/>
  <c r="E47" i="8" s="1"/>
  <c r="K46" i="8" a="1"/>
  <c r="K46" i="8" s="1"/>
  <c r="D46" i="8" s="1"/>
  <c r="K45" i="8" a="1"/>
  <c r="K45" i="8" s="1"/>
  <c r="K44" i="8" a="1"/>
  <c r="K44" i="8" s="1"/>
  <c r="H44" i="8" s="1"/>
  <c r="K43" i="8" a="1"/>
  <c r="K43" i="8" s="1"/>
  <c r="K42" i="8" a="1"/>
  <c r="K42" i="8" s="1"/>
  <c r="K41" i="8" a="1"/>
  <c r="K41" i="8" s="1"/>
  <c r="K40" i="8" a="1"/>
  <c r="K40" i="8" s="1"/>
  <c r="K39" i="8" a="1"/>
  <c r="K39" i="8" s="1"/>
  <c r="K38" i="8" a="1"/>
  <c r="K38" i="8" s="1"/>
  <c r="K37" i="8" a="1"/>
  <c r="K37" i="8" s="1"/>
  <c r="K36" i="8" a="1"/>
  <c r="K36" i="8" s="1"/>
  <c r="H36" i="8" s="1"/>
  <c r="K35" i="8" a="1"/>
  <c r="K35" i="8" s="1"/>
  <c r="K34" i="8" a="1"/>
  <c r="K34" i="8" s="1"/>
  <c r="K33" i="8" a="1"/>
  <c r="K33" i="8" s="1"/>
  <c r="K32" i="8" a="1"/>
  <c r="K32" i="8" s="1"/>
  <c r="D32" i="8" s="1"/>
  <c r="K31" i="8" a="1"/>
  <c r="K31" i="8" s="1"/>
  <c r="K30" i="8" a="1"/>
  <c r="K30" i="8" s="1"/>
  <c r="K29" i="8" a="1"/>
  <c r="K29" i="8" s="1"/>
  <c r="H29" i="8" s="1"/>
  <c r="K28" i="8" a="1"/>
  <c r="K28" i="8" s="1"/>
  <c r="K27" i="8" a="1"/>
  <c r="K27" i="8" s="1"/>
  <c r="K26" i="8" a="1"/>
  <c r="K26" i="8" s="1"/>
  <c r="D26" i="8" s="1"/>
  <c r="K25" i="8" a="1"/>
  <c r="K25" i="8" s="1"/>
  <c r="K24" i="8" a="1"/>
  <c r="K24" i="8" s="1"/>
  <c r="G24" i="8" s="1"/>
  <c r="K23" i="8" a="1"/>
  <c r="K23" i="8" s="1"/>
  <c r="K22" i="8" a="1"/>
  <c r="K22" i="8" s="1"/>
  <c r="K21" i="8" a="1"/>
  <c r="K21" i="8" s="1"/>
  <c r="K20" i="8" a="1"/>
  <c r="K20" i="8" s="1"/>
  <c r="K19" i="8" a="1"/>
  <c r="K19" i="8" s="1"/>
  <c r="K18" i="8" a="1"/>
  <c r="K18" i="8" s="1"/>
  <c r="K17" i="8" a="1"/>
  <c r="K17" i="8" s="1"/>
  <c r="G17" i="8" s="1"/>
  <c r="K16" i="8" a="1"/>
  <c r="K16" i="8" s="1"/>
  <c r="K15" i="8" a="1"/>
  <c r="K15" i="8" s="1"/>
  <c r="K14" i="8" a="1"/>
  <c r="K14" i="8" s="1"/>
  <c r="K13" i="8" a="1"/>
  <c r="K13" i="8" s="1"/>
  <c r="K12" i="8" a="1"/>
  <c r="K12" i="8" s="1"/>
  <c r="D12" i="8" s="1"/>
  <c r="K11" i="8" a="1"/>
  <c r="K11" i="8" s="1"/>
  <c r="K10" i="8" a="1"/>
  <c r="K10" i="8" s="1"/>
  <c r="K9" i="8" a="1"/>
  <c r="K9" i="8" s="1"/>
  <c r="K8" i="8" a="1"/>
  <c r="K8" i="8" s="1"/>
  <c r="K7" i="8" a="1"/>
  <c r="K7" i="8" s="1"/>
  <c r="A5" i="8"/>
  <c r="K156" i="7" a="1"/>
  <c r="K156" i="7" s="1"/>
  <c r="K155" i="7" a="1"/>
  <c r="K155" i="7" s="1"/>
  <c r="E155" i="7" s="1"/>
  <c r="K154" i="7" a="1"/>
  <c r="K154" i="7" s="1"/>
  <c r="K153" i="7" a="1"/>
  <c r="K153" i="7" s="1"/>
  <c r="K152" i="7" a="1"/>
  <c r="K152" i="7" s="1"/>
  <c r="K151" i="7" a="1"/>
  <c r="K151" i="7" s="1"/>
  <c r="A151" i="7" s="1"/>
  <c r="K150" i="7" a="1"/>
  <c r="K150" i="7" s="1"/>
  <c r="K149" i="7" a="1"/>
  <c r="K149" i="7" s="1"/>
  <c r="I149" i="7" s="1"/>
  <c r="K148" i="7" a="1"/>
  <c r="K148" i="7" s="1"/>
  <c r="H148" i="7" s="1"/>
  <c r="K147" i="7" a="1"/>
  <c r="K147" i="7" s="1"/>
  <c r="K146" i="7" a="1"/>
  <c r="K146" i="7" s="1"/>
  <c r="H146" i="7" s="1"/>
  <c r="K145" i="7" a="1"/>
  <c r="K145" i="7" s="1"/>
  <c r="K144" i="7" a="1"/>
  <c r="K144" i="7" s="1"/>
  <c r="K143" i="7" a="1"/>
  <c r="K143" i="7" s="1"/>
  <c r="E143" i="7" s="1"/>
  <c r="K142" i="7" a="1"/>
  <c r="K142" i="7" s="1"/>
  <c r="K141" i="7" a="1"/>
  <c r="K141" i="7" s="1"/>
  <c r="K140" i="7" a="1"/>
  <c r="K140" i="7" s="1"/>
  <c r="K139" i="7" a="1"/>
  <c r="K139" i="7" s="1"/>
  <c r="K138" i="7" a="1"/>
  <c r="K138" i="7" s="1"/>
  <c r="K137" i="7" a="1"/>
  <c r="K137" i="7" s="1"/>
  <c r="K136" i="7" a="1"/>
  <c r="K136" i="7" s="1"/>
  <c r="K135" i="7" a="1"/>
  <c r="K135" i="7" s="1"/>
  <c r="K134" i="7" a="1"/>
  <c r="K134" i="7" s="1"/>
  <c r="H134" i="7" s="1"/>
  <c r="K133" i="7" a="1"/>
  <c r="K133" i="7" s="1"/>
  <c r="K132" i="7" a="1"/>
  <c r="K132" i="7" s="1"/>
  <c r="K131" i="7" a="1"/>
  <c r="K131" i="7" s="1"/>
  <c r="E131" i="7" s="1"/>
  <c r="K130" i="7" a="1"/>
  <c r="K130" i="7" s="1"/>
  <c r="K129" i="7" a="1"/>
  <c r="K129" i="7" s="1"/>
  <c r="K128" i="7" a="1"/>
  <c r="K128" i="7" s="1"/>
  <c r="K127" i="7" a="1"/>
  <c r="K127" i="7" s="1"/>
  <c r="K126" i="7" a="1"/>
  <c r="K126" i="7" s="1"/>
  <c r="K125" i="7" a="1"/>
  <c r="K125" i="7" s="1"/>
  <c r="K124" i="7" a="1"/>
  <c r="K124" i="7" s="1"/>
  <c r="K123" i="7" a="1"/>
  <c r="K123" i="7" s="1"/>
  <c r="K122" i="7" a="1"/>
  <c r="K122" i="7" s="1"/>
  <c r="H122" i="7" s="1"/>
  <c r="K121" i="7" a="1"/>
  <c r="K121" i="7" s="1"/>
  <c r="K120" i="7" a="1"/>
  <c r="K120" i="7" s="1"/>
  <c r="K119" i="7" a="1"/>
  <c r="K119" i="7" s="1"/>
  <c r="E119" i="7" s="1"/>
  <c r="K118" i="7" a="1"/>
  <c r="K118" i="7" s="1"/>
  <c r="K117" i="7" a="1"/>
  <c r="K117" i="7" s="1"/>
  <c r="K116" i="7" a="1"/>
  <c r="K116" i="7" s="1"/>
  <c r="D116" i="7" s="1"/>
  <c r="K115" i="7" a="1"/>
  <c r="K115" i="7" s="1"/>
  <c r="K114" i="7" a="1"/>
  <c r="K114" i="7" s="1"/>
  <c r="K113" i="7" a="1"/>
  <c r="K113" i="7" s="1"/>
  <c r="K112" i="7" a="1"/>
  <c r="K112" i="7" s="1"/>
  <c r="K111" i="7" a="1"/>
  <c r="K111" i="7" s="1"/>
  <c r="K110" i="7" a="1"/>
  <c r="K110" i="7" s="1"/>
  <c r="H110" i="7" s="1"/>
  <c r="K109" i="7" a="1"/>
  <c r="K109" i="7" s="1"/>
  <c r="K108" i="7" a="1"/>
  <c r="K108" i="7" s="1"/>
  <c r="K107" i="7" a="1"/>
  <c r="K107" i="7" s="1"/>
  <c r="E107" i="7" s="1"/>
  <c r="K106" i="7" a="1"/>
  <c r="K106" i="7" s="1"/>
  <c r="K105" i="7" a="1"/>
  <c r="K105" i="7" s="1"/>
  <c r="K104" i="7" a="1"/>
  <c r="K104" i="7" s="1"/>
  <c r="K103" i="7" a="1"/>
  <c r="K103" i="7" s="1"/>
  <c r="I103" i="7" s="1"/>
  <c r="K102" i="7" a="1"/>
  <c r="K102" i="7" s="1"/>
  <c r="K101" i="7" a="1"/>
  <c r="K101" i="7" s="1"/>
  <c r="K100" i="7" a="1"/>
  <c r="K100" i="7" s="1"/>
  <c r="F100" i="7" s="1"/>
  <c r="K99" i="7" a="1"/>
  <c r="K99" i="7" s="1"/>
  <c r="K98" i="7" a="1"/>
  <c r="K98" i="7" s="1"/>
  <c r="H98" i="7" s="1"/>
  <c r="K97" i="7" a="1"/>
  <c r="K97" i="7" s="1"/>
  <c r="K96" i="7" a="1"/>
  <c r="K96" i="7" s="1"/>
  <c r="K95" i="7" a="1"/>
  <c r="K95" i="7" s="1"/>
  <c r="E95" i="7" s="1"/>
  <c r="K94" i="7" a="1"/>
  <c r="K94" i="7" s="1"/>
  <c r="K93" i="7" a="1"/>
  <c r="K93" i="7" s="1"/>
  <c r="K92" i="7" a="1"/>
  <c r="K92" i="7" s="1"/>
  <c r="K91" i="7" a="1"/>
  <c r="K91" i="7" s="1"/>
  <c r="K90" i="7" a="1"/>
  <c r="K90" i="7" s="1"/>
  <c r="K89" i="7" a="1"/>
  <c r="K89" i="7" s="1"/>
  <c r="K88" i="7" a="1"/>
  <c r="K88" i="7" s="1"/>
  <c r="C88" i="7" s="1"/>
  <c r="K87" i="7" a="1"/>
  <c r="K87" i="7" s="1"/>
  <c r="K86" i="7" a="1"/>
  <c r="K86" i="7" s="1"/>
  <c r="H86" i="7" s="1"/>
  <c r="K85" i="7" a="1"/>
  <c r="K85" i="7" s="1"/>
  <c r="K84" i="7" a="1"/>
  <c r="K84" i="7" s="1"/>
  <c r="K83" i="7" a="1"/>
  <c r="K83" i="7" s="1"/>
  <c r="E83" i="7" s="1"/>
  <c r="K82" i="7" a="1"/>
  <c r="K82" i="7" s="1"/>
  <c r="H82" i="7" s="1"/>
  <c r="K81" i="7" a="1"/>
  <c r="K81" i="7" s="1"/>
  <c r="K80" i="7" a="1"/>
  <c r="K80" i="7" s="1"/>
  <c r="K79" i="7" a="1"/>
  <c r="K79" i="7" s="1"/>
  <c r="K78" i="7" a="1"/>
  <c r="K78" i="7" s="1"/>
  <c r="K77" i="7" a="1"/>
  <c r="K77" i="7" s="1"/>
  <c r="K76" i="7" a="1"/>
  <c r="K76" i="7" s="1"/>
  <c r="I76" i="7" s="1"/>
  <c r="K75" i="7" a="1"/>
  <c r="K75" i="7" s="1"/>
  <c r="K74" i="7" a="1"/>
  <c r="K74" i="7" s="1"/>
  <c r="H74" i="7" s="1"/>
  <c r="K73" i="7" a="1"/>
  <c r="K73" i="7" s="1"/>
  <c r="K72" i="7" a="1"/>
  <c r="K72" i="7" s="1"/>
  <c r="K71" i="7" a="1"/>
  <c r="K71" i="7" s="1"/>
  <c r="E71" i="7" s="1"/>
  <c r="K70" i="7" a="1"/>
  <c r="K70" i="7" s="1"/>
  <c r="I70" i="7" s="1"/>
  <c r="K69" i="7" a="1"/>
  <c r="K69" i="7" s="1"/>
  <c r="K68" i="7" a="1"/>
  <c r="K68" i="7" s="1"/>
  <c r="B68" i="7" s="1"/>
  <c r="K67" i="7" a="1"/>
  <c r="K67" i="7" s="1"/>
  <c r="C67" i="7" s="1"/>
  <c r="K66" i="7" a="1"/>
  <c r="K66" i="7" s="1"/>
  <c r="K65" i="7" a="1"/>
  <c r="K65" i="7" s="1"/>
  <c r="K64" i="7" a="1"/>
  <c r="K64" i="7" s="1"/>
  <c r="K63" i="7" a="1"/>
  <c r="K63" i="7" s="1"/>
  <c r="K62" i="7" a="1"/>
  <c r="K62" i="7" s="1"/>
  <c r="H62" i="7" s="1"/>
  <c r="K61" i="7" a="1"/>
  <c r="K61" i="7" s="1"/>
  <c r="K60" i="7" a="1"/>
  <c r="K60" i="7" s="1"/>
  <c r="K59" i="7" a="1"/>
  <c r="K59" i="7" s="1"/>
  <c r="K58" i="7" a="1"/>
  <c r="K58" i="7" s="1"/>
  <c r="E58" i="7" s="1"/>
  <c r="K57" i="7" a="1"/>
  <c r="K57" i="7" s="1"/>
  <c r="H57" i="7" s="1"/>
  <c r="K56" i="7" a="1"/>
  <c r="K56" i="7" s="1"/>
  <c r="K55" i="7" a="1"/>
  <c r="K55" i="7" s="1"/>
  <c r="K54" i="7" a="1"/>
  <c r="K54" i="7" s="1"/>
  <c r="E54" i="7" s="1"/>
  <c r="K53" i="7" a="1"/>
  <c r="K53" i="7" s="1"/>
  <c r="D53" i="7" s="1"/>
  <c r="K52" i="7" a="1"/>
  <c r="K52" i="7" s="1"/>
  <c r="C52" i="7" s="1"/>
  <c r="K51" i="7" a="1"/>
  <c r="K51" i="7" s="1"/>
  <c r="B51" i="7" s="1"/>
  <c r="K50" i="7" a="1"/>
  <c r="K50" i="7" s="1"/>
  <c r="G50" i="7" s="1"/>
  <c r="K49" i="7" a="1"/>
  <c r="K49" i="7" s="1"/>
  <c r="K48" i="7" a="1"/>
  <c r="K48" i="7" s="1"/>
  <c r="H48" i="7" s="1"/>
  <c r="K47" i="7" a="1"/>
  <c r="K47" i="7" s="1"/>
  <c r="G47" i="7" s="1"/>
  <c r="K46" i="7" a="1"/>
  <c r="K46" i="7" s="1"/>
  <c r="F46" i="7" s="1"/>
  <c r="K45" i="7" a="1"/>
  <c r="K45" i="7" s="1"/>
  <c r="B45" i="7" s="1"/>
  <c r="K44" i="7" a="1"/>
  <c r="K44" i="7" s="1"/>
  <c r="K43" i="7" a="1"/>
  <c r="K43" i="7" s="1"/>
  <c r="K42" i="7" a="1"/>
  <c r="K42" i="7" s="1"/>
  <c r="K41" i="7" a="1"/>
  <c r="K41" i="7" s="1"/>
  <c r="G41" i="7" s="1"/>
  <c r="K40" i="7" a="1"/>
  <c r="K40" i="7" s="1"/>
  <c r="K39" i="7" a="1"/>
  <c r="K39" i="7" s="1"/>
  <c r="K38" i="7" a="1"/>
  <c r="K38" i="7" s="1"/>
  <c r="A38" i="7" s="1"/>
  <c r="K37" i="7" a="1"/>
  <c r="K37" i="7" s="1"/>
  <c r="K36" i="7" a="1"/>
  <c r="K36" i="7" s="1"/>
  <c r="H36" i="7" s="1"/>
  <c r="K35" i="7" a="1"/>
  <c r="K35" i="7" s="1"/>
  <c r="D35" i="7" s="1"/>
  <c r="K34" i="7" a="1"/>
  <c r="K34" i="7" s="1"/>
  <c r="K33" i="7" a="1"/>
  <c r="K33" i="7" s="1"/>
  <c r="H33" i="7" s="1"/>
  <c r="K32" i="7" a="1"/>
  <c r="K32" i="7" s="1"/>
  <c r="G32" i="7" s="1"/>
  <c r="K31" i="7" a="1"/>
  <c r="K31" i="7" s="1"/>
  <c r="K30" i="7" a="1"/>
  <c r="K30" i="7" s="1"/>
  <c r="E30" i="7" s="1"/>
  <c r="K29" i="7" a="1"/>
  <c r="K29" i="7" s="1"/>
  <c r="K28" i="7" a="1"/>
  <c r="K28" i="7" s="1"/>
  <c r="K27" i="7" a="1"/>
  <c r="K27" i="7" s="1"/>
  <c r="K26" i="7" a="1"/>
  <c r="K26" i="7" s="1"/>
  <c r="H26" i="7" s="1"/>
  <c r="K25" i="7" a="1"/>
  <c r="K25" i="7" s="1"/>
  <c r="K24" i="7" a="1"/>
  <c r="K24" i="7" s="1"/>
  <c r="K23" i="7" a="1"/>
  <c r="K23" i="7" s="1"/>
  <c r="K22" i="7" a="1"/>
  <c r="K22" i="7" s="1"/>
  <c r="C22" i="7" s="1"/>
  <c r="K21" i="7" a="1"/>
  <c r="K21" i="7" s="1"/>
  <c r="K20" i="7" a="1"/>
  <c r="K20" i="7" s="1"/>
  <c r="K19" i="7" a="1"/>
  <c r="K19" i="7" s="1"/>
  <c r="A19" i="7" s="1"/>
  <c r="K18" i="7" a="1"/>
  <c r="K18" i="7" s="1"/>
  <c r="H18" i="7" s="1"/>
  <c r="K17" i="7" a="1"/>
  <c r="K17" i="7" s="1"/>
  <c r="K16" i="7" a="1"/>
  <c r="K16" i="7" s="1"/>
  <c r="K15" i="7" a="1"/>
  <c r="K15" i="7" s="1"/>
  <c r="K14" i="7" a="1"/>
  <c r="K14" i="7" s="1"/>
  <c r="H14" i="7" s="1"/>
  <c r="K13" i="7" a="1"/>
  <c r="K13" i="7" s="1"/>
  <c r="K12" i="7" a="1"/>
  <c r="K12" i="7" s="1"/>
  <c r="F12" i="7" s="1"/>
  <c r="K11" i="7" a="1"/>
  <c r="K11" i="7" s="1"/>
  <c r="K10" i="7" a="1"/>
  <c r="K10" i="7" s="1"/>
  <c r="G10" i="7" s="1"/>
  <c r="K9" i="7" a="1"/>
  <c r="K9" i="7" s="1"/>
  <c r="H9" i="7" s="1"/>
  <c r="K8" i="7" a="1"/>
  <c r="K8" i="7" s="1"/>
  <c r="D8" i="7" s="1"/>
  <c r="K7" i="7" a="1"/>
  <c r="K7" i="7" s="1"/>
  <c r="F7" i="7" s="1"/>
  <c r="A5" i="7"/>
  <c r="K156" i="6" a="1"/>
  <c r="K156" i="6" s="1"/>
  <c r="I156" i="6" s="1"/>
  <c r="K155" i="6" a="1"/>
  <c r="K155" i="6" s="1"/>
  <c r="K154" i="6" a="1"/>
  <c r="K154" i="6" s="1"/>
  <c r="H154" i="6" s="1"/>
  <c r="K153" i="6" a="1"/>
  <c r="K153" i="6" s="1"/>
  <c r="I153" i="6" s="1"/>
  <c r="K152" i="6" a="1"/>
  <c r="K152" i="6" s="1"/>
  <c r="K151" i="6" a="1"/>
  <c r="K151" i="6" s="1"/>
  <c r="I151" i="6" s="1"/>
  <c r="K150" i="6" a="1"/>
  <c r="K150" i="6" s="1"/>
  <c r="K149" i="6" a="1"/>
  <c r="K149" i="6" s="1"/>
  <c r="K148" i="6" a="1"/>
  <c r="K148" i="6" s="1"/>
  <c r="I148" i="6" s="1"/>
  <c r="K147" i="6" a="1"/>
  <c r="K147" i="6" s="1"/>
  <c r="K146" i="6" a="1"/>
  <c r="K146" i="6" s="1"/>
  <c r="D146" i="6" s="1"/>
  <c r="K145" i="6" a="1"/>
  <c r="K145" i="6" s="1"/>
  <c r="K144" i="6" a="1"/>
  <c r="K144" i="6" s="1"/>
  <c r="K143" i="6" a="1"/>
  <c r="K143" i="6" s="1"/>
  <c r="K142" i="6" a="1"/>
  <c r="K142" i="6" s="1"/>
  <c r="K141" i="6" a="1"/>
  <c r="K141" i="6" s="1"/>
  <c r="K140" i="6" a="1"/>
  <c r="K140" i="6" s="1"/>
  <c r="K139" i="6" a="1"/>
  <c r="K139" i="6" s="1"/>
  <c r="K138" i="6" a="1"/>
  <c r="K138" i="6" s="1"/>
  <c r="I138" i="6" s="1"/>
  <c r="K137" i="6" a="1"/>
  <c r="K137" i="6" s="1"/>
  <c r="K136" i="6" a="1"/>
  <c r="K136" i="6" s="1"/>
  <c r="H136" i="6" s="1"/>
  <c r="K135" i="6" a="1"/>
  <c r="K135" i="6" s="1"/>
  <c r="K134" i="6" a="1"/>
  <c r="K134" i="6" s="1"/>
  <c r="F134" i="6" s="1"/>
  <c r="K133" i="6" a="1"/>
  <c r="K133" i="6" s="1"/>
  <c r="K132" i="6" a="1"/>
  <c r="K132" i="6" s="1"/>
  <c r="H132" i="6" s="1"/>
  <c r="K131" i="6" a="1"/>
  <c r="K131" i="6" s="1"/>
  <c r="K130" i="6" a="1"/>
  <c r="K130" i="6" s="1"/>
  <c r="K129" i="6" a="1"/>
  <c r="K129" i="6" s="1"/>
  <c r="A129" i="6" s="1"/>
  <c r="K128" i="6" a="1"/>
  <c r="K128" i="6" s="1"/>
  <c r="H128" i="6" s="1"/>
  <c r="K127" i="6" a="1"/>
  <c r="K127" i="6" s="1"/>
  <c r="K126" i="6" a="1"/>
  <c r="K126" i="6" s="1"/>
  <c r="G126" i="6" s="1"/>
  <c r="K125" i="6" a="1"/>
  <c r="K125" i="6" s="1"/>
  <c r="K124" i="6" a="1"/>
  <c r="K124" i="6" s="1"/>
  <c r="K123" i="6" a="1"/>
  <c r="K123" i="6" s="1"/>
  <c r="K122" i="6" a="1"/>
  <c r="K122" i="6" s="1"/>
  <c r="F122" i="6" s="1"/>
  <c r="K121" i="6" a="1"/>
  <c r="K121" i="6" s="1"/>
  <c r="K120" i="6" a="1"/>
  <c r="K120" i="6" s="1"/>
  <c r="H120" i="6" s="1"/>
  <c r="K119" i="6" a="1"/>
  <c r="K119" i="6" s="1"/>
  <c r="K118" i="6" a="1"/>
  <c r="K118" i="6" s="1"/>
  <c r="K117" i="6" a="1"/>
  <c r="K117" i="6" s="1"/>
  <c r="A117" i="6" s="1"/>
  <c r="K116" i="6" a="1"/>
  <c r="K116" i="6" s="1"/>
  <c r="H116" i="6" s="1"/>
  <c r="K115" i="6" a="1"/>
  <c r="K115" i="6" s="1"/>
  <c r="K114" i="6" a="1"/>
  <c r="K114" i="6" s="1"/>
  <c r="K113" i="6" a="1"/>
  <c r="K113" i="6" s="1"/>
  <c r="K112" i="6" a="1"/>
  <c r="K112" i="6" s="1"/>
  <c r="F112" i="6" s="1"/>
  <c r="K111" i="6" a="1"/>
  <c r="K111" i="6" s="1"/>
  <c r="K110" i="6" a="1"/>
  <c r="K110" i="6" s="1"/>
  <c r="F110" i="6" s="1"/>
  <c r="K109" i="6" a="1"/>
  <c r="K109" i="6" s="1"/>
  <c r="K108" i="6" a="1"/>
  <c r="K108" i="6" s="1"/>
  <c r="K107" i="6" a="1"/>
  <c r="K107" i="6" s="1"/>
  <c r="K106" i="6" a="1"/>
  <c r="K106" i="6" s="1"/>
  <c r="K105" i="6" a="1"/>
  <c r="K105" i="6" s="1"/>
  <c r="A105" i="6" s="1"/>
  <c r="K104" i="6" a="1"/>
  <c r="K104" i="6" s="1"/>
  <c r="K103" i="6" a="1"/>
  <c r="K103" i="6" s="1"/>
  <c r="K102" i="6" a="1"/>
  <c r="K102" i="6" s="1"/>
  <c r="K101" i="6" a="1"/>
  <c r="K101" i="6" s="1"/>
  <c r="K100" i="6" a="1"/>
  <c r="K100" i="6" s="1"/>
  <c r="K99" i="6" a="1"/>
  <c r="K99" i="6" s="1"/>
  <c r="K98" i="6" a="1"/>
  <c r="K98" i="6" s="1"/>
  <c r="F98" i="6" s="1"/>
  <c r="K97" i="6" a="1"/>
  <c r="K97" i="6" s="1"/>
  <c r="K96" i="6" a="1"/>
  <c r="K96" i="6" s="1"/>
  <c r="K95" i="6" a="1"/>
  <c r="K95" i="6" s="1"/>
  <c r="K94" i="6" a="1"/>
  <c r="K94" i="6" s="1"/>
  <c r="K93" i="6" a="1"/>
  <c r="K93" i="6" s="1"/>
  <c r="K92" i="6" a="1"/>
  <c r="K92" i="6" s="1"/>
  <c r="K91" i="6" a="1"/>
  <c r="K91" i="6" s="1"/>
  <c r="K90" i="6" a="1"/>
  <c r="K90" i="6" s="1"/>
  <c r="H90" i="6" s="1"/>
  <c r="K89" i="6" a="1"/>
  <c r="K89" i="6" s="1"/>
  <c r="K88" i="6" a="1"/>
  <c r="K88" i="6" s="1"/>
  <c r="K87" i="6" a="1"/>
  <c r="K87" i="6" s="1"/>
  <c r="K86" i="6" a="1"/>
  <c r="K86" i="6" s="1"/>
  <c r="F86" i="6" s="1"/>
  <c r="K85" i="6" a="1"/>
  <c r="K85" i="6" s="1"/>
  <c r="K84" i="6" a="1"/>
  <c r="K84" i="6" s="1"/>
  <c r="C84" i="6" s="1"/>
  <c r="K83" i="6" a="1"/>
  <c r="K83" i="6" s="1"/>
  <c r="K82" i="6" a="1"/>
  <c r="K82" i="6" s="1"/>
  <c r="K81" i="6" a="1"/>
  <c r="K81" i="6" s="1"/>
  <c r="A81" i="6" s="1"/>
  <c r="K80" i="6" a="1"/>
  <c r="K80" i="6" s="1"/>
  <c r="H80" i="6" s="1"/>
  <c r="K79" i="6" a="1"/>
  <c r="K79" i="6" s="1"/>
  <c r="K78" i="6" a="1"/>
  <c r="K78" i="6" s="1"/>
  <c r="K77" i="6" a="1"/>
  <c r="K77" i="6" s="1"/>
  <c r="K76" i="6" a="1"/>
  <c r="K76" i="6" s="1"/>
  <c r="K75" i="6" a="1"/>
  <c r="K75" i="6" s="1"/>
  <c r="K74" i="6" a="1"/>
  <c r="K74" i="6" s="1"/>
  <c r="F74" i="6" s="1"/>
  <c r="K73" i="6" a="1"/>
  <c r="K73" i="6" s="1"/>
  <c r="K72" i="6" a="1"/>
  <c r="K72" i="6" s="1"/>
  <c r="K71" i="6" a="1"/>
  <c r="K71" i="6" s="1"/>
  <c r="K70" i="6" a="1"/>
  <c r="K70" i="6" s="1"/>
  <c r="K69" i="6" a="1"/>
  <c r="K69" i="6" s="1"/>
  <c r="K68" i="6" a="1"/>
  <c r="K68" i="6" s="1"/>
  <c r="H68" i="6" s="1"/>
  <c r="K67" i="6" a="1"/>
  <c r="K67" i="6" s="1"/>
  <c r="K66" i="6" a="1"/>
  <c r="K66" i="6" s="1"/>
  <c r="I66" i="6" s="1"/>
  <c r="K65" i="6" a="1"/>
  <c r="K65" i="6" s="1"/>
  <c r="K64" i="6" a="1"/>
  <c r="K64" i="6" s="1"/>
  <c r="K63" i="6" a="1"/>
  <c r="K63" i="6" s="1"/>
  <c r="K62" i="6" a="1"/>
  <c r="K62" i="6" s="1"/>
  <c r="F62" i="6" s="1"/>
  <c r="K61" i="6" a="1"/>
  <c r="K61" i="6" s="1"/>
  <c r="K60" i="6" a="1"/>
  <c r="K60" i="6" s="1"/>
  <c r="C60" i="6" s="1"/>
  <c r="K59" i="6" a="1"/>
  <c r="K59" i="6" s="1"/>
  <c r="K58" i="6" a="1"/>
  <c r="K58" i="6" s="1"/>
  <c r="K57" i="6" a="1"/>
  <c r="K57" i="6" s="1"/>
  <c r="K56" i="6" a="1"/>
  <c r="K56" i="6" s="1"/>
  <c r="K55" i="6" a="1"/>
  <c r="K55" i="6" s="1"/>
  <c r="K54" i="6" a="1"/>
  <c r="K54" i="6" s="1"/>
  <c r="K53" i="6" a="1"/>
  <c r="K53" i="6" s="1"/>
  <c r="K52" i="6" a="1"/>
  <c r="K52" i="6" s="1"/>
  <c r="G52" i="6" s="1"/>
  <c r="K51" i="6" a="1"/>
  <c r="K51" i="6" s="1"/>
  <c r="K50" i="6" a="1"/>
  <c r="K50" i="6" s="1"/>
  <c r="F50" i="6" s="1"/>
  <c r="K49" i="6" a="1"/>
  <c r="K49" i="6" s="1"/>
  <c r="K48" i="6" a="1"/>
  <c r="K48" i="6" s="1"/>
  <c r="C48" i="6" s="1"/>
  <c r="K47" i="6" a="1"/>
  <c r="K47" i="6" s="1"/>
  <c r="K46" i="6" a="1"/>
  <c r="K46" i="6" s="1"/>
  <c r="K45" i="6" a="1"/>
  <c r="K45" i="6" s="1"/>
  <c r="K44" i="6" a="1"/>
  <c r="K44" i="6" s="1"/>
  <c r="H44" i="6" s="1"/>
  <c r="K43" i="6" a="1"/>
  <c r="K43" i="6" s="1"/>
  <c r="K42" i="6" a="1"/>
  <c r="K42" i="6" s="1"/>
  <c r="K41" i="6" a="1"/>
  <c r="K41" i="6" s="1"/>
  <c r="K40" i="6" a="1"/>
  <c r="K40" i="6" s="1"/>
  <c r="F40" i="6" s="1"/>
  <c r="K39" i="6" a="1"/>
  <c r="K39" i="6" s="1"/>
  <c r="K38" i="6" a="1"/>
  <c r="K38" i="6" s="1"/>
  <c r="F38" i="6" s="1"/>
  <c r="K37" i="6" a="1"/>
  <c r="K37" i="6" s="1"/>
  <c r="K36" i="6" a="1"/>
  <c r="K36" i="6" s="1"/>
  <c r="K35" i="6" a="1"/>
  <c r="K35" i="6" s="1"/>
  <c r="K34" i="6" a="1"/>
  <c r="K34" i="6" s="1"/>
  <c r="K33" i="6" a="1"/>
  <c r="K33" i="6" s="1"/>
  <c r="K32" i="6" a="1"/>
  <c r="K32" i="6" s="1"/>
  <c r="H32" i="6" s="1"/>
  <c r="K31" i="6" a="1"/>
  <c r="K31" i="6" s="1"/>
  <c r="K30" i="6" a="1"/>
  <c r="K30" i="6" s="1"/>
  <c r="K29" i="6" a="1"/>
  <c r="K29" i="6" s="1"/>
  <c r="K28" i="6" a="1"/>
  <c r="K28" i="6" s="1"/>
  <c r="K27" i="6" a="1"/>
  <c r="K27" i="6" s="1"/>
  <c r="K26" i="6" a="1"/>
  <c r="K26" i="6" s="1"/>
  <c r="F26" i="6" s="1"/>
  <c r="K25" i="6" a="1"/>
  <c r="K25" i="6" s="1"/>
  <c r="K24" i="6" a="1"/>
  <c r="K24" i="6" s="1"/>
  <c r="C24" i="6" s="1"/>
  <c r="K23" i="6" a="1"/>
  <c r="K23" i="6" s="1"/>
  <c r="K22" i="6" a="1"/>
  <c r="K22" i="6" s="1"/>
  <c r="K21" i="6" a="1"/>
  <c r="K21" i="6" s="1"/>
  <c r="K20" i="6" a="1"/>
  <c r="K20" i="6" s="1"/>
  <c r="K19" i="6" a="1"/>
  <c r="K19" i="6" s="1"/>
  <c r="K18" i="6" a="1"/>
  <c r="K18" i="6" s="1"/>
  <c r="K17" i="6" a="1"/>
  <c r="K17" i="6" s="1"/>
  <c r="K16" i="6" a="1"/>
  <c r="K16" i="6" s="1"/>
  <c r="K15" i="6" a="1"/>
  <c r="K15" i="6" s="1"/>
  <c r="K14" i="6" a="1"/>
  <c r="K14" i="6" s="1"/>
  <c r="F14" i="6" s="1"/>
  <c r="K13" i="6" a="1"/>
  <c r="K13" i="6" s="1"/>
  <c r="K12" i="6" a="1"/>
  <c r="K12" i="6" s="1"/>
  <c r="C12" i="6" s="1"/>
  <c r="K11" i="6" a="1"/>
  <c r="K11" i="6" s="1"/>
  <c r="K10" i="6" a="1"/>
  <c r="K10" i="6" s="1"/>
  <c r="K9" i="6" a="1"/>
  <c r="K9" i="6" s="1"/>
  <c r="K8" i="6" a="1"/>
  <c r="K8" i="6" s="1"/>
  <c r="H8" i="6" s="1"/>
  <c r="K7" i="6" a="1"/>
  <c r="K7" i="6" s="1"/>
  <c r="A5" i="6"/>
  <c r="K256" i="5" a="1"/>
  <c r="K256" i="5" s="1"/>
  <c r="K255" i="5" a="1"/>
  <c r="K255" i="5" s="1"/>
  <c r="I255" i="5" s="1"/>
  <c r="K254" i="5" a="1"/>
  <c r="K254" i="5" s="1"/>
  <c r="K253" i="5" a="1"/>
  <c r="K253" i="5" s="1"/>
  <c r="K252" i="5" a="1"/>
  <c r="K252" i="5" s="1"/>
  <c r="K251" i="5" a="1"/>
  <c r="K251" i="5" s="1"/>
  <c r="K250" i="5" a="1"/>
  <c r="K250" i="5" s="1"/>
  <c r="I250" i="5" s="1"/>
  <c r="K249" i="5" a="1"/>
  <c r="K249" i="5" s="1"/>
  <c r="K248" i="5" a="1"/>
  <c r="K248" i="5" s="1"/>
  <c r="G248" i="5" s="1"/>
  <c r="K247" i="5" a="1"/>
  <c r="K247" i="5" s="1"/>
  <c r="F247" i="5" s="1"/>
  <c r="K246" i="5" a="1"/>
  <c r="K246" i="5" s="1"/>
  <c r="K245" i="5" a="1"/>
  <c r="K245" i="5" s="1"/>
  <c r="K244" i="5" a="1"/>
  <c r="K244" i="5" s="1"/>
  <c r="C244" i="5" s="1"/>
  <c r="K243" i="5" a="1"/>
  <c r="K243" i="5" s="1"/>
  <c r="B243" i="5" s="1"/>
  <c r="K242" i="5" a="1"/>
  <c r="K242" i="5" s="1"/>
  <c r="I242" i="5" s="1"/>
  <c r="K241" i="5" a="1"/>
  <c r="K241" i="5" s="1"/>
  <c r="K240" i="5" a="1"/>
  <c r="K240" i="5" s="1"/>
  <c r="G240" i="5" s="1"/>
  <c r="K239" i="5" a="1"/>
  <c r="K239" i="5" s="1"/>
  <c r="F239" i="5" s="1"/>
  <c r="K238" i="5" a="1"/>
  <c r="K238" i="5" s="1"/>
  <c r="I238" i="5" s="1"/>
  <c r="K237" i="5" a="1"/>
  <c r="K237" i="5" s="1"/>
  <c r="K236" i="5" a="1"/>
  <c r="K236" i="5" s="1"/>
  <c r="G236" i="5" s="1"/>
  <c r="K235" i="5" a="1"/>
  <c r="K235" i="5" s="1"/>
  <c r="F235" i="5" s="1"/>
  <c r="K234" i="5" a="1"/>
  <c r="K234" i="5" s="1"/>
  <c r="K233" i="5" a="1"/>
  <c r="K233" i="5" s="1"/>
  <c r="H233" i="5" s="1"/>
  <c r="K232" i="5" a="1"/>
  <c r="K232" i="5" s="1"/>
  <c r="I232" i="5" s="1"/>
  <c r="K231" i="5" a="1"/>
  <c r="K231" i="5" s="1"/>
  <c r="K230" i="5" a="1"/>
  <c r="K230" i="5" s="1"/>
  <c r="I230" i="5" s="1"/>
  <c r="K229" i="5" a="1"/>
  <c r="K229" i="5" s="1"/>
  <c r="I229" i="5" s="1"/>
  <c r="K228" i="5" a="1"/>
  <c r="K228" i="5" s="1"/>
  <c r="K227" i="5" a="1"/>
  <c r="K227" i="5" s="1"/>
  <c r="K226" i="5" a="1"/>
  <c r="K226" i="5" s="1"/>
  <c r="K225" i="5" a="1"/>
  <c r="K225" i="5" s="1"/>
  <c r="K224" i="5" a="1"/>
  <c r="K224" i="5" s="1"/>
  <c r="B224" i="5" s="1"/>
  <c r="K223" i="5" a="1"/>
  <c r="K223" i="5" s="1"/>
  <c r="K222" i="5" a="1"/>
  <c r="K222" i="5" s="1"/>
  <c r="K221" i="5" a="1"/>
  <c r="K221" i="5" s="1"/>
  <c r="K220" i="5" a="1"/>
  <c r="K220" i="5" s="1"/>
  <c r="F220" i="5" s="1"/>
  <c r="K219" i="5" a="1"/>
  <c r="K219" i="5" s="1"/>
  <c r="K218" i="5" a="1"/>
  <c r="K218" i="5" s="1"/>
  <c r="K217" i="5" a="1"/>
  <c r="K217" i="5" s="1"/>
  <c r="K216" i="5" a="1"/>
  <c r="K216" i="5" s="1"/>
  <c r="K215" i="5" a="1"/>
  <c r="K215" i="5" s="1"/>
  <c r="K214" i="5" a="1"/>
  <c r="K214" i="5" s="1"/>
  <c r="K213" i="5" a="1"/>
  <c r="K213" i="5" s="1"/>
  <c r="K212" i="5" a="1"/>
  <c r="K212" i="5" s="1"/>
  <c r="K211" i="5" a="1"/>
  <c r="K211" i="5" s="1"/>
  <c r="G211" i="5" s="1"/>
  <c r="K210" i="5" a="1"/>
  <c r="K210" i="5" s="1"/>
  <c r="K209" i="5" a="1"/>
  <c r="K209" i="5" s="1"/>
  <c r="K208" i="5" a="1"/>
  <c r="K208" i="5" s="1"/>
  <c r="K207" i="5" a="1"/>
  <c r="K207" i="5" s="1"/>
  <c r="K206" i="5" a="1"/>
  <c r="K206" i="5" s="1"/>
  <c r="K205" i="5" a="1"/>
  <c r="K205" i="5" s="1"/>
  <c r="K204" i="5" a="1"/>
  <c r="K204" i="5" s="1"/>
  <c r="K203" i="5" a="1"/>
  <c r="K203" i="5" s="1"/>
  <c r="K202" i="5" a="1"/>
  <c r="K202" i="5" s="1"/>
  <c r="K201" i="5" a="1"/>
  <c r="K201" i="5" s="1"/>
  <c r="K200" i="5" a="1"/>
  <c r="K200" i="5" s="1"/>
  <c r="K199" i="5" a="1"/>
  <c r="K199" i="5" s="1"/>
  <c r="G199" i="5" s="1"/>
  <c r="K198" i="5" a="1"/>
  <c r="K198" i="5" s="1"/>
  <c r="K197" i="5" a="1"/>
  <c r="K197" i="5" s="1"/>
  <c r="E197" i="5" s="1"/>
  <c r="K196" i="5" a="1"/>
  <c r="K196" i="5" s="1"/>
  <c r="K195" i="5" a="1"/>
  <c r="K195" i="5" s="1"/>
  <c r="K194" i="5" a="1"/>
  <c r="K194" i="5" s="1"/>
  <c r="K193" i="5" a="1"/>
  <c r="K193" i="5" s="1"/>
  <c r="K192" i="5" a="1"/>
  <c r="K192" i="5" s="1"/>
  <c r="K191" i="5" a="1"/>
  <c r="K191" i="5" s="1"/>
  <c r="K190" i="5" a="1"/>
  <c r="K190" i="5" s="1"/>
  <c r="K189" i="5" a="1"/>
  <c r="K189" i="5" s="1"/>
  <c r="K188" i="5" a="1"/>
  <c r="K188" i="5" s="1"/>
  <c r="K187" i="5" a="1"/>
  <c r="K187" i="5" s="1"/>
  <c r="G187" i="5" s="1"/>
  <c r="K186" i="5" a="1"/>
  <c r="K186" i="5" s="1"/>
  <c r="K185" i="5" a="1"/>
  <c r="K185" i="5" s="1"/>
  <c r="K184" i="5" a="1"/>
  <c r="K184" i="5" s="1"/>
  <c r="K183" i="5" a="1"/>
  <c r="K183" i="5" s="1"/>
  <c r="K182" i="5" a="1"/>
  <c r="K182" i="5" s="1"/>
  <c r="B182" i="5" s="1"/>
  <c r="K181" i="5" a="1"/>
  <c r="K181" i="5" s="1"/>
  <c r="K180" i="5" a="1"/>
  <c r="K180" i="5" s="1"/>
  <c r="K179" i="5" a="1"/>
  <c r="K179" i="5" s="1"/>
  <c r="I179" i="5" s="1"/>
  <c r="K178" i="5" a="1"/>
  <c r="K178" i="5" s="1"/>
  <c r="K177" i="5" a="1"/>
  <c r="K177" i="5" s="1"/>
  <c r="K176" i="5" a="1"/>
  <c r="K176" i="5" s="1"/>
  <c r="K175" i="5" a="1"/>
  <c r="K175" i="5" s="1"/>
  <c r="G175" i="5" s="1"/>
  <c r="K174" i="5" a="1"/>
  <c r="K174" i="5" s="1"/>
  <c r="K173" i="5" a="1"/>
  <c r="K173" i="5" s="1"/>
  <c r="K172" i="5" a="1"/>
  <c r="K172" i="5" s="1"/>
  <c r="K171" i="5" a="1"/>
  <c r="K171" i="5" s="1"/>
  <c r="K170" i="5" a="1"/>
  <c r="K170" i="5" s="1"/>
  <c r="K169" i="5" a="1"/>
  <c r="K169" i="5" s="1"/>
  <c r="K168" i="5" a="1"/>
  <c r="K168" i="5" s="1"/>
  <c r="K167" i="5" a="1"/>
  <c r="K167" i="5" s="1"/>
  <c r="K166" i="5" a="1"/>
  <c r="K166" i="5" s="1"/>
  <c r="K165" i="5" a="1"/>
  <c r="K165" i="5" s="1"/>
  <c r="K164" i="5" a="1"/>
  <c r="K164" i="5" s="1"/>
  <c r="K163" i="5" a="1"/>
  <c r="K163" i="5" s="1"/>
  <c r="G163" i="5" s="1"/>
  <c r="K162" i="5" a="1"/>
  <c r="K162" i="5" s="1"/>
  <c r="K161" i="5" a="1"/>
  <c r="K161" i="5" s="1"/>
  <c r="K160" i="5" a="1"/>
  <c r="K160" i="5" s="1"/>
  <c r="K159" i="5" a="1"/>
  <c r="K159" i="5" s="1"/>
  <c r="K158" i="5" a="1"/>
  <c r="K158" i="5" s="1"/>
  <c r="K157" i="5" a="1"/>
  <c r="K157" i="5" s="1"/>
  <c r="K156" i="5" a="1"/>
  <c r="K156" i="5" s="1"/>
  <c r="K155" i="5" a="1"/>
  <c r="K155" i="5" s="1"/>
  <c r="K154" i="5" a="1"/>
  <c r="K154" i="5" s="1"/>
  <c r="K153" i="5" a="1"/>
  <c r="K153" i="5" s="1"/>
  <c r="K152" i="5" a="1"/>
  <c r="K152" i="5" s="1"/>
  <c r="K151" i="5" a="1"/>
  <c r="K151" i="5" s="1"/>
  <c r="G151" i="5" s="1"/>
  <c r="K150" i="5" a="1"/>
  <c r="K150" i="5" s="1"/>
  <c r="K149" i="5" a="1"/>
  <c r="K149" i="5" s="1"/>
  <c r="E149" i="5" s="1"/>
  <c r="K148" i="5" a="1"/>
  <c r="K148" i="5" s="1"/>
  <c r="K147" i="5" a="1"/>
  <c r="K147" i="5" s="1"/>
  <c r="K146" i="5" a="1"/>
  <c r="K146" i="5" s="1"/>
  <c r="K145" i="5" a="1"/>
  <c r="K145" i="5" s="1"/>
  <c r="K144" i="5" a="1"/>
  <c r="K144" i="5" s="1"/>
  <c r="K143" i="5" a="1"/>
  <c r="K143" i="5" s="1"/>
  <c r="K142" i="5" a="1"/>
  <c r="K142" i="5" s="1"/>
  <c r="K141" i="5" a="1"/>
  <c r="K141" i="5" s="1"/>
  <c r="K140" i="5" a="1"/>
  <c r="K140" i="5" s="1"/>
  <c r="K139" i="5" a="1"/>
  <c r="K139" i="5" s="1"/>
  <c r="G139" i="5" s="1"/>
  <c r="K138" i="5" a="1"/>
  <c r="K138" i="5" s="1"/>
  <c r="K137" i="5" a="1"/>
  <c r="K137" i="5" s="1"/>
  <c r="K136" i="5" a="1"/>
  <c r="K136" i="5" s="1"/>
  <c r="K135" i="5" a="1"/>
  <c r="K135" i="5" s="1"/>
  <c r="K134" i="5" a="1"/>
  <c r="K134" i="5" s="1"/>
  <c r="K133" i="5" a="1"/>
  <c r="K133" i="5" s="1"/>
  <c r="K132" i="5" a="1"/>
  <c r="K132" i="5" s="1"/>
  <c r="C132" i="5" s="1"/>
  <c r="K131" i="5" a="1"/>
  <c r="K131" i="5" s="1"/>
  <c r="K130" i="5" a="1"/>
  <c r="K130" i="5" s="1"/>
  <c r="A130" i="5" s="1"/>
  <c r="K129" i="5" a="1"/>
  <c r="K129" i="5" s="1"/>
  <c r="K128" i="5" a="1"/>
  <c r="K128" i="5" s="1"/>
  <c r="K127" i="5" a="1"/>
  <c r="K127" i="5" s="1"/>
  <c r="K126" i="5" a="1"/>
  <c r="K126" i="5" s="1"/>
  <c r="I126" i="5" s="1"/>
  <c r="K125" i="5" a="1"/>
  <c r="K125" i="5" s="1"/>
  <c r="K124" i="5" a="1"/>
  <c r="K124" i="5" s="1"/>
  <c r="G124" i="5" s="1"/>
  <c r="K123" i="5" a="1"/>
  <c r="K123" i="5" s="1"/>
  <c r="F123" i="5" s="1"/>
  <c r="K122" i="5" a="1"/>
  <c r="K122" i="5" s="1"/>
  <c r="K121" i="5" a="1"/>
  <c r="K121" i="5" s="1"/>
  <c r="K120" i="5" a="1"/>
  <c r="K120" i="5" s="1"/>
  <c r="C120" i="5" s="1"/>
  <c r="K119" i="5" a="1"/>
  <c r="K119" i="5" s="1"/>
  <c r="I119" i="5" s="1"/>
  <c r="K118" i="5" a="1"/>
  <c r="K118" i="5" s="1"/>
  <c r="A118" i="5" s="1"/>
  <c r="K117" i="5" a="1"/>
  <c r="K117" i="5" s="1"/>
  <c r="K116" i="5" a="1"/>
  <c r="K116" i="5" s="1"/>
  <c r="K115" i="5" a="1"/>
  <c r="K115" i="5" s="1"/>
  <c r="K114" i="5" a="1"/>
  <c r="K114" i="5" s="1"/>
  <c r="K113" i="5" a="1"/>
  <c r="K113" i="5" s="1"/>
  <c r="K112" i="5" a="1"/>
  <c r="K112" i="5" s="1"/>
  <c r="G112" i="5" s="1"/>
  <c r="K111" i="5" a="1"/>
  <c r="K111" i="5" s="1"/>
  <c r="F111" i="5" s="1"/>
  <c r="K110" i="5" a="1"/>
  <c r="K110" i="5" s="1"/>
  <c r="K109" i="5" a="1"/>
  <c r="K109" i="5" s="1"/>
  <c r="A109" i="5" s="1"/>
  <c r="K108" i="5" a="1"/>
  <c r="K108" i="5" s="1"/>
  <c r="C108" i="5" s="1"/>
  <c r="K107" i="5" a="1"/>
  <c r="K107" i="5" s="1"/>
  <c r="B107" i="5" s="1"/>
  <c r="K106" i="5" a="1"/>
  <c r="K106" i="5" s="1"/>
  <c r="K105" i="5" a="1"/>
  <c r="K105" i="5" s="1"/>
  <c r="K104" i="5" a="1"/>
  <c r="K104" i="5" s="1"/>
  <c r="K103" i="5" a="1"/>
  <c r="K103" i="5" s="1"/>
  <c r="K102" i="5" a="1"/>
  <c r="K102" i="5" s="1"/>
  <c r="K101" i="5" a="1"/>
  <c r="K101" i="5" s="1"/>
  <c r="K100" i="5" a="1"/>
  <c r="K100" i="5" s="1"/>
  <c r="G100" i="5" s="1"/>
  <c r="K99" i="5" a="1"/>
  <c r="K99" i="5" s="1"/>
  <c r="F99" i="5" s="1"/>
  <c r="K98" i="5" a="1"/>
  <c r="K98" i="5" s="1"/>
  <c r="K97" i="5" a="1"/>
  <c r="K97" i="5" s="1"/>
  <c r="K96" i="5" a="1"/>
  <c r="K96" i="5" s="1"/>
  <c r="K95" i="5" a="1"/>
  <c r="K95" i="5" s="1"/>
  <c r="B95" i="5" s="1"/>
  <c r="K94" i="5" a="1"/>
  <c r="K94" i="5" s="1"/>
  <c r="K93" i="5" a="1"/>
  <c r="K93" i="5" s="1"/>
  <c r="K92" i="5" a="1"/>
  <c r="K92" i="5" s="1"/>
  <c r="K91" i="5" a="1"/>
  <c r="K91" i="5" s="1"/>
  <c r="K90" i="5" a="1"/>
  <c r="K90" i="5" s="1"/>
  <c r="K89" i="5" a="1"/>
  <c r="K89" i="5" s="1"/>
  <c r="K88" i="5" a="1"/>
  <c r="K88" i="5" s="1"/>
  <c r="G88" i="5" s="1"/>
  <c r="K87" i="5" a="1"/>
  <c r="K87" i="5" s="1"/>
  <c r="F87" i="5" s="1"/>
  <c r="K86" i="5" a="1"/>
  <c r="K86" i="5" s="1"/>
  <c r="K85" i="5" a="1"/>
  <c r="K85" i="5" s="1"/>
  <c r="K84" i="5" a="1"/>
  <c r="K84" i="5" s="1"/>
  <c r="H84" i="5" s="1"/>
  <c r="K83" i="5" a="1"/>
  <c r="K83" i="5" s="1"/>
  <c r="G83" i="5" s="1"/>
  <c r="K82" i="5" a="1"/>
  <c r="K82" i="5" s="1"/>
  <c r="K81" i="5" a="1"/>
  <c r="K81" i="5" s="1"/>
  <c r="E81" i="5" s="1"/>
  <c r="K80" i="5" a="1"/>
  <c r="K80" i="5" s="1"/>
  <c r="D80" i="5" s="1"/>
  <c r="K79" i="5" a="1"/>
  <c r="K79" i="5" s="1"/>
  <c r="C79" i="5" s="1"/>
  <c r="K78" i="5" a="1"/>
  <c r="K78" i="5" s="1"/>
  <c r="I78" i="5" s="1"/>
  <c r="K77" i="5" a="1"/>
  <c r="K77" i="5" s="1"/>
  <c r="K76" i="5" a="1"/>
  <c r="K76" i="5" s="1"/>
  <c r="G76" i="5" s="1"/>
  <c r="K75" i="5" a="1"/>
  <c r="K75" i="5" s="1"/>
  <c r="F75" i="5" s="1"/>
  <c r="K74" i="5" a="1"/>
  <c r="K74" i="5" s="1"/>
  <c r="E74" i="5" s="1"/>
  <c r="K73" i="5" a="1"/>
  <c r="K73" i="5" s="1"/>
  <c r="H73" i="5" s="1"/>
  <c r="K72" i="5" a="1"/>
  <c r="K72" i="5" s="1"/>
  <c r="H72" i="5" s="1"/>
  <c r="K71" i="5" a="1"/>
  <c r="K71" i="5" s="1"/>
  <c r="G71" i="5" s="1"/>
  <c r="K70" i="5" a="1"/>
  <c r="K70" i="5" s="1"/>
  <c r="K69" i="5" a="1"/>
  <c r="K69" i="5" s="1"/>
  <c r="E69" i="5" s="1"/>
  <c r="K68" i="5" a="1"/>
  <c r="K68" i="5" s="1"/>
  <c r="H68" i="5" s="1"/>
  <c r="K67" i="5" a="1"/>
  <c r="K67" i="5" s="1"/>
  <c r="G67" i="5" s="1"/>
  <c r="K66" i="5" a="1"/>
  <c r="K66" i="5" s="1"/>
  <c r="I66" i="5" s="1"/>
  <c r="K65" i="5" a="1"/>
  <c r="K65" i="5" s="1"/>
  <c r="K64" i="5" a="1"/>
  <c r="K64" i="5" s="1"/>
  <c r="K63" i="5" a="1"/>
  <c r="K63" i="5" s="1"/>
  <c r="F63" i="5" s="1"/>
  <c r="K62" i="5" a="1"/>
  <c r="K62" i="5" s="1"/>
  <c r="K61" i="5" a="1"/>
  <c r="K61" i="5" s="1"/>
  <c r="H61" i="5" s="1"/>
  <c r="K60" i="5" a="1"/>
  <c r="K60" i="5" s="1"/>
  <c r="H60" i="5" s="1"/>
  <c r="K59" i="5" a="1"/>
  <c r="K59" i="5" s="1"/>
  <c r="G59" i="5" s="1"/>
  <c r="K58" i="5" a="1"/>
  <c r="K58" i="5" s="1"/>
  <c r="K57" i="5" a="1"/>
  <c r="K57" i="5" s="1"/>
  <c r="E57" i="5" s="1"/>
  <c r="K56" i="5" a="1"/>
  <c r="K56" i="5" s="1"/>
  <c r="H56" i="5" s="1"/>
  <c r="K55" i="5" a="1"/>
  <c r="K55" i="5" s="1"/>
  <c r="G55" i="5" s="1"/>
  <c r="K54" i="5" a="1"/>
  <c r="K54" i="5" s="1"/>
  <c r="K53" i="5" a="1"/>
  <c r="K53" i="5" s="1"/>
  <c r="K52" i="5" a="1"/>
  <c r="K52" i="5" s="1"/>
  <c r="K51" i="5" a="1"/>
  <c r="K51" i="5" s="1"/>
  <c r="K50" i="5" a="1"/>
  <c r="K50" i="5" s="1"/>
  <c r="B50" i="5" s="1"/>
  <c r="K49" i="5" a="1"/>
  <c r="K49" i="5" s="1"/>
  <c r="K48" i="5" a="1"/>
  <c r="K48" i="5" s="1"/>
  <c r="H48" i="5" s="1"/>
  <c r="K47" i="5" a="1"/>
  <c r="K47" i="5" s="1"/>
  <c r="K46" i="5" a="1"/>
  <c r="K46" i="5" s="1"/>
  <c r="K45" i="5" a="1"/>
  <c r="K45" i="5" s="1"/>
  <c r="K44" i="5" a="1"/>
  <c r="K44" i="5" s="1"/>
  <c r="H44" i="5" s="1"/>
  <c r="K43" i="5" a="1"/>
  <c r="K43" i="5" s="1"/>
  <c r="K42" i="5" a="1"/>
  <c r="K42" i="5" s="1"/>
  <c r="K41" i="5" a="1"/>
  <c r="K41" i="5" s="1"/>
  <c r="G41" i="5" s="1"/>
  <c r="K40" i="5" a="1"/>
  <c r="K40" i="5" s="1"/>
  <c r="K39" i="5" a="1"/>
  <c r="K39" i="5" s="1"/>
  <c r="E39" i="5" s="1"/>
  <c r="K38" i="5" a="1"/>
  <c r="K38" i="5" s="1"/>
  <c r="H38" i="5" s="1"/>
  <c r="K37" i="5" a="1"/>
  <c r="K37" i="5" s="1"/>
  <c r="K36" i="5" a="1"/>
  <c r="K36" i="5" s="1"/>
  <c r="E36" i="5" s="1"/>
  <c r="K35" i="5" a="1"/>
  <c r="K35" i="5" s="1"/>
  <c r="K34" i="5" a="1"/>
  <c r="K34" i="5" s="1"/>
  <c r="E34" i="5" s="1"/>
  <c r="K33" i="5" a="1"/>
  <c r="K33" i="5" s="1"/>
  <c r="D33" i="5" s="1"/>
  <c r="K32" i="5" a="1"/>
  <c r="K32" i="5" s="1"/>
  <c r="D32" i="5" s="1"/>
  <c r="K31" i="5" a="1"/>
  <c r="K31" i="5" s="1"/>
  <c r="A31" i="5" s="1"/>
  <c r="K30" i="5" a="1"/>
  <c r="K30" i="5" s="1"/>
  <c r="K29" i="5" a="1"/>
  <c r="K29" i="5" s="1"/>
  <c r="K28" i="5" a="1"/>
  <c r="K28" i="5" s="1"/>
  <c r="G28" i="5" s="1"/>
  <c r="K27" i="5" a="1"/>
  <c r="K27" i="5" s="1"/>
  <c r="H27" i="5" s="1"/>
  <c r="K26" i="5" a="1"/>
  <c r="K26" i="5" s="1"/>
  <c r="K25" i="5" a="1"/>
  <c r="K25" i="5" s="1"/>
  <c r="K24" i="5" a="1"/>
  <c r="K24" i="5" s="1"/>
  <c r="F24" i="5" s="1"/>
  <c r="K23" i="5" a="1"/>
  <c r="K23" i="5" s="1"/>
  <c r="K22" i="5" a="1"/>
  <c r="K22" i="5" s="1"/>
  <c r="D22" i="5" s="1"/>
  <c r="K21" i="5" a="1"/>
  <c r="K21" i="5" s="1"/>
  <c r="E21" i="5" s="1"/>
  <c r="K20" i="5" a="1"/>
  <c r="K20" i="5" s="1"/>
  <c r="E20" i="5" s="1"/>
  <c r="K19" i="5" a="1"/>
  <c r="K19" i="5" s="1"/>
  <c r="K18" i="5" a="1"/>
  <c r="K18" i="5" s="1"/>
  <c r="K17" i="5" a="1"/>
  <c r="K17" i="5" s="1"/>
  <c r="K16" i="5" a="1"/>
  <c r="K16" i="5" s="1"/>
  <c r="K15" i="5" a="1"/>
  <c r="K15" i="5" s="1"/>
  <c r="G15" i="5" s="1"/>
  <c r="K14" i="5" a="1"/>
  <c r="K14" i="5" s="1"/>
  <c r="G14" i="5" s="1"/>
  <c r="K13" i="5" a="1"/>
  <c r="K13" i="5" s="1"/>
  <c r="K12" i="5" a="1"/>
  <c r="K12" i="5" s="1"/>
  <c r="H12" i="5" s="1"/>
  <c r="K11" i="5" a="1"/>
  <c r="K11" i="5" s="1"/>
  <c r="K10" i="5" a="1"/>
  <c r="K10" i="5" s="1"/>
  <c r="K9" i="5" a="1"/>
  <c r="K9" i="5" s="1"/>
  <c r="G9" i="5" s="1"/>
  <c r="K8" i="5" a="1"/>
  <c r="K8" i="5" s="1"/>
  <c r="E8" i="5" s="1"/>
  <c r="K7" i="5" a="1"/>
  <c r="K7" i="5" s="1"/>
  <c r="A5" i="5"/>
  <c r="K206" i="4" a="1"/>
  <c r="K206" i="4" s="1"/>
  <c r="K205" i="4" a="1"/>
  <c r="K205" i="4" s="1"/>
  <c r="K204" i="4" a="1"/>
  <c r="K204" i="4" s="1"/>
  <c r="I204" i="4" s="1"/>
  <c r="K203" i="4" a="1"/>
  <c r="K203" i="4" s="1"/>
  <c r="H203" i="4" s="1"/>
  <c r="K202" i="4" a="1"/>
  <c r="K202" i="4" s="1"/>
  <c r="I202" i="4" s="1"/>
  <c r="K201" i="4" a="1"/>
  <c r="K201" i="4" s="1"/>
  <c r="G201" i="4" s="1"/>
  <c r="K200" i="4" a="1"/>
  <c r="K200" i="4" s="1"/>
  <c r="K199" i="4" a="1"/>
  <c r="K199" i="4" s="1"/>
  <c r="H199" i="4" s="1"/>
  <c r="K198" i="4" a="1"/>
  <c r="K198" i="4" s="1"/>
  <c r="K197" i="4" a="1"/>
  <c r="K197" i="4" s="1"/>
  <c r="F197" i="4" s="1"/>
  <c r="K196" i="4" a="1"/>
  <c r="K196" i="4" s="1"/>
  <c r="K195" i="4" a="1"/>
  <c r="K195" i="4" s="1"/>
  <c r="F195" i="4" s="1"/>
  <c r="K194" i="4" a="1"/>
  <c r="K194" i="4" s="1"/>
  <c r="K193" i="4" a="1"/>
  <c r="K193" i="4" s="1"/>
  <c r="K192" i="4" a="1"/>
  <c r="K192" i="4" s="1"/>
  <c r="I192" i="4" s="1"/>
  <c r="K191" i="4" a="1"/>
  <c r="K191" i="4" s="1"/>
  <c r="K190" i="4" a="1"/>
  <c r="K190" i="4" s="1"/>
  <c r="K189" i="4" a="1"/>
  <c r="K189" i="4" s="1"/>
  <c r="I189" i="4" s="1"/>
  <c r="K188" i="4" a="1"/>
  <c r="K188" i="4" s="1"/>
  <c r="K187" i="4" a="1"/>
  <c r="K187" i="4" s="1"/>
  <c r="K186" i="4" a="1"/>
  <c r="K186" i="4" s="1"/>
  <c r="K185" i="4" a="1"/>
  <c r="K185" i="4" s="1"/>
  <c r="K184" i="4" a="1"/>
  <c r="K184" i="4" s="1"/>
  <c r="G184" i="4" s="1"/>
  <c r="K183" i="4" a="1"/>
  <c r="K183" i="4" s="1"/>
  <c r="A183" i="4" s="1"/>
  <c r="K182" i="4" a="1"/>
  <c r="K182" i="4" s="1"/>
  <c r="K181" i="4" a="1"/>
  <c r="K181" i="4" s="1"/>
  <c r="K180" i="4" a="1"/>
  <c r="K180" i="4" s="1"/>
  <c r="I180" i="4" s="1"/>
  <c r="K179" i="4" a="1"/>
  <c r="K179" i="4" s="1"/>
  <c r="K178" i="4" a="1"/>
  <c r="K178" i="4" s="1"/>
  <c r="H178" i="4" s="1"/>
  <c r="K177" i="4" a="1"/>
  <c r="K177" i="4" s="1"/>
  <c r="I177" i="4" s="1"/>
  <c r="K176" i="4" a="1"/>
  <c r="K176" i="4" s="1"/>
  <c r="K175" i="4" a="1"/>
  <c r="K175" i="4" s="1"/>
  <c r="K174" i="4" a="1"/>
  <c r="K174" i="4" s="1"/>
  <c r="G174" i="4" s="1"/>
  <c r="K173" i="4" a="1"/>
  <c r="K173" i="4" s="1"/>
  <c r="F173" i="4" s="1"/>
  <c r="K172" i="4" a="1"/>
  <c r="K172" i="4" s="1"/>
  <c r="C172" i="4" s="1"/>
  <c r="K171" i="4" a="1"/>
  <c r="K171" i="4" s="1"/>
  <c r="H171" i="4" s="1"/>
  <c r="K170" i="4" a="1"/>
  <c r="K170" i="4" s="1"/>
  <c r="K169" i="4" a="1"/>
  <c r="K169" i="4" s="1"/>
  <c r="K168" i="4" a="1"/>
  <c r="K168" i="4" s="1"/>
  <c r="I168" i="4" s="1"/>
  <c r="K167" i="4" a="1"/>
  <c r="K167" i="4" s="1"/>
  <c r="H167" i="4" s="1"/>
  <c r="K166" i="4" a="1"/>
  <c r="K166" i="4" s="1"/>
  <c r="I166" i="4" s="1"/>
  <c r="K165" i="4" a="1"/>
  <c r="K165" i="4" s="1"/>
  <c r="K164" i="4" a="1"/>
  <c r="K164" i="4" s="1"/>
  <c r="K163" i="4" a="1"/>
  <c r="K163" i="4" s="1"/>
  <c r="K162" i="4" a="1"/>
  <c r="K162" i="4" s="1"/>
  <c r="K161" i="4" a="1"/>
  <c r="K161" i="4" s="1"/>
  <c r="K160" i="4" a="1"/>
  <c r="K160" i="4" s="1"/>
  <c r="H160" i="4" s="1"/>
  <c r="K159" i="4" a="1"/>
  <c r="K159" i="4" s="1"/>
  <c r="K158" i="4" a="1"/>
  <c r="K158" i="4" s="1"/>
  <c r="K157" i="4" a="1"/>
  <c r="K157" i="4" s="1"/>
  <c r="K156" i="4" a="1"/>
  <c r="K156" i="4" s="1"/>
  <c r="I156" i="4" s="1"/>
  <c r="K155" i="4" a="1"/>
  <c r="K155" i="4" s="1"/>
  <c r="G155" i="4" s="1"/>
  <c r="K154" i="4" a="1"/>
  <c r="K154" i="4" s="1"/>
  <c r="G154" i="4" s="1"/>
  <c r="K153" i="4" a="1"/>
  <c r="K153" i="4" s="1"/>
  <c r="I153" i="4" s="1"/>
  <c r="K152" i="4" a="1"/>
  <c r="K152" i="4" s="1"/>
  <c r="K151" i="4" a="1"/>
  <c r="K151" i="4" s="1"/>
  <c r="K150" i="4" a="1"/>
  <c r="K150" i="4" s="1"/>
  <c r="E150" i="4" s="1"/>
  <c r="K149" i="4" a="1"/>
  <c r="K149" i="4" s="1"/>
  <c r="E149" i="4" s="1"/>
  <c r="K148" i="4" a="1"/>
  <c r="K148" i="4" s="1"/>
  <c r="K147" i="4" a="1"/>
  <c r="K147" i="4" s="1"/>
  <c r="K146" i="4" a="1"/>
  <c r="K146" i="4" s="1"/>
  <c r="K145" i="4" a="1"/>
  <c r="K145" i="4" s="1"/>
  <c r="K144" i="4" a="1"/>
  <c r="K144" i="4" s="1"/>
  <c r="K143" i="4" a="1"/>
  <c r="K143" i="4" s="1"/>
  <c r="I143" i="4" s="1"/>
  <c r="K142" i="4" a="1"/>
  <c r="K142" i="4" s="1"/>
  <c r="K141" i="4" a="1"/>
  <c r="K141" i="4" s="1"/>
  <c r="E141" i="4" s="1"/>
  <c r="K140" i="4" a="1"/>
  <c r="K140" i="4" s="1"/>
  <c r="F140" i="4" s="1"/>
  <c r="K139" i="4" a="1"/>
  <c r="K139" i="4" s="1"/>
  <c r="E139" i="4" s="1"/>
  <c r="K138" i="4" a="1"/>
  <c r="K138" i="4" s="1"/>
  <c r="K137" i="4" a="1"/>
  <c r="K137" i="4" s="1"/>
  <c r="C137" i="4" s="1"/>
  <c r="K136" i="4" a="1"/>
  <c r="K136" i="4" s="1"/>
  <c r="H136" i="4" s="1"/>
  <c r="K135" i="4" a="1"/>
  <c r="K135" i="4" s="1"/>
  <c r="K134" i="4" a="1"/>
  <c r="K134" i="4" s="1"/>
  <c r="K133" i="4" a="1"/>
  <c r="K133" i="4" s="1"/>
  <c r="K132" i="4" a="1"/>
  <c r="K132" i="4" s="1"/>
  <c r="K131" i="4" a="1"/>
  <c r="K131" i="4" s="1"/>
  <c r="K130" i="4" a="1"/>
  <c r="K130" i="4" s="1"/>
  <c r="K129" i="4" a="1"/>
  <c r="K129" i="4" s="1"/>
  <c r="K128" i="4" a="1"/>
  <c r="K128" i="4" s="1"/>
  <c r="F128" i="4" s="1"/>
  <c r="K127" i="4" a="1"/>
  <c r="K127" i="4" s="1"/>
  <c r="E127" i="4" s="1"/>
  <c r="K126" i="4" a="1"/>
  <c r="K126" i="4" s="1"/>
  <c r="C126" i="4" s="1"/>
  <c r="K125" i="4" a="1"/>
  <c r="K125" i="4" s="1"/>
  <c r="C125" i="4" s="1"/>
  <c r="K124" i="4" a="1"/>
  <c r="K124" i="4" s="1"/>
  <c r="K123" i="4" a="1"/>
  <c r="K123" i="4" s="1"/>
  <c r="E123" i="4" s="1"/>
  <c r="K122" i="4" a="1"/>
  <c r="K122" i="4" s="1"/>
  <c r="K121" i="4" a="1"/>
  <c r="K121" i="4" s="1"/>
  <c r="K120" i="4" a="1"/>
  <c r="K120" i="4" s="1"/>
  <c r="K119" i="4" a="1"/>
  <c r="K119" i="4" s="1"/>
  <c r="K118" i="4" a="1"/>
  <c r="K118" i="4" s="1"/>
  <c r="G118" i="4" s="1"/>
  <c r="K117" i="4" a="1"/>
  <c r="K117" i="4" s="1"/>
  <c r="K116" i="4" a="1"/>
  <c r="K116" i="4" s="1"/>
  <c r="F116" i="4" s="1"/>
  <c r="K115" i="4" a="1"/>
  <c r="K115" i="4" s="1"/>
  <c r="E115" i="4" s="1"/>
  <c r="K114" i="4" a="1"/>
  <c r="K114" i="4" s="1"/>
  <c r="K113" i="4" a="1"/>
  <c r="K113" i="4" s="1"/>
  <c r="C113" i="4" s="1"/>
  <c r="K112" i="4" a="1"/>
  <c r="K112" i="4" s="1"/>
  <c r="K111" i="4" a="1"/>
  <c r="K111" i="4" s="1"/>
  <c r="I111" i="4" s="1"/>
  <c r="K110" i="4" a="1"/>
  <c r="K110" i="4" s="1"/>
  <c r="K109" i="4" a="1"/>
  <c r="K109" i="4" s="1"/>
  <c r="K108" i="4" a="1"/>
  <c r="K108" i="4" s="1"/>
  <c r="K107" i="4" a="1"/>
  <c r="K107" i="4" s="1"/>
  <c r="K106" i="4" a="1"/>
  <c r="K106" i="4" s="1"/>
  <c r="K105" i="4" a="1"/>
  <c r="K105" i="4" s="1"/>
  <c r="K104" i="4" a="1"/>
  <c r="K104" i="4" s="1"/>
  <c r="F104" i="4" s="1"/>
  <c r="K103" i="4" a="1"/>
  <c r="K103" i="4" s="1"/>
  <c r="E103" i="4" s="1"/>
  <c r="K102" i="4" a="1"/>
  <c r="K102" i="4" s="1"/>
  <c r="B102" i="4" s="1"/>
  <c r="K101" i="4" a="1"/>
  <c r="K101" i="4" s="1"/>
  <c r="C101" i="4" s="1"/>
  <c r="K100" i="4" a="1"/>
  <c r="K100" i="4" s="1"/>
  <c r="K99" i="4" a="1"/>
  <c r="K99" i="4" s="1"/>
  <c r="K98" i="4" a="1"/>
  <c r="K98" i="4" s="1"/>
  <c r="K97" i="4" a="1"/>
  <c r="K97" i="4" s="1"/>
  <c r="K96" i="4" a="1"/>
  <c r="K96" i="4" s="1"/>
  <c r="K95" i="4" a="1"/>
  <c r="K95" i="4" s="1"/>
  <c r="K94" i="4" a="1"/>
  <c r="K94" i="4" s="1"/>
  <c r="G94" i="4" s="1"/>
  <c r="K93" i="4" a="1"/>
  <c r="K93" i="4" s="1"/>
  <c r="K92" i="4" a="1"/>
  <c r="K92" i="4" s="1"/>
  <c r="F92" i="4" s="1"/>
  <c r="K91" i="4" a="1"/>
  <c r="K91" i="4" s="1"/>
  <c r="E91" i="4" s="1"/>
  <c r="K90" i="4" a="1"/>
  <c r="K90" i="4" s="1"/>
  <c r="K89" i="4" a="1"/>
  <c r="K89" i="4" s="1"/>
  <c r="C89" i="4" s="1"/>
  <c r="K88" i="4" a="1"/>
  <c r="K88" i="4" s="1"/>
  <c r="K87" i="4" a="1"/>
  <c r="K87" i="4" s="1"/>
  <c r="K86" i="4" a="1"/>
  <c r="K86" i="4" s="1"/>
  <c r="K85" i="4" a="1"/>
  <c r="K85" i="4" s="1"/>
  <c r="K84" i="4" a="1"/>
  <c r="K84" i="4" s="1"/>
  <c r="K83" i="4" a="1"/>
  <c r="K83" i="4" s="1"/>
  <c r="G83" i="4" s="1"/>
  <c r="K82" i="4" a="1"/>
  <c r="K82" i="4" s="1"/>
  <c r="K81" i="4" a="1"/>
  <c r="K81" i="4" s="1"/>
  <c r="K80" i="4" a="1"/>
  <c r="K80" i="4" s="1"/>
  <c r="F80" i="4" s="1"/>
  <c r="K79" i="4" a="1"/>
  <c r="K79" i="4" s="1"/>
  <c r="E79" i="4" s="1"/>
  <c r="K78" i="4" a="1"/>
  <c r="K78" i="4" s="1"/>
  <c r="K77" i="4" a="1"/>
  <c r="K77" i="4" s="1"/>
  <c r="C77" i="4" s="1"/>
  <c r="K76" i="4" a="1"/>
  <c r="K76" i="4" s="1"/>
  <c r="I76" i="4" s="1"/>
  <c r="K75" i="4" a="1"/>
  <c r="K75" i="4" s="1"/>
  <c r="K74" i="4" a="1"/>
  <c r="K74" i="4" s="1"/>
  <c r="K73" i="4" a="1"/>
  <c r="K73" i="4" s="1"/>
  <c r="K72" i="4" a="1"/>
  <c r="K72" i="4" s="1"/>
  <c r="I72" i="4" s="1"/>
  <c r="K71" i="4" a="1"/>
  <c r="K71" i="4" s="1"/>
  <c r="K70" i="4" a="1"/>
  <c r="K70" i="4" s="1"/>
  <c r="K69" i="4" a="1"/>
  <c r="K69" i="4" s="1"/>
  <c r="K68" i="4" a="1"/>
  <c r="K68" i="4" s="1"/>
  <c r="F68" i="4" s="1"/>
  <c r="K67" i="4" a="1"/>
  <c r="K67" i="4" s="1"/>
  <c r="D67" i="4" s="1"/>
  <c r="K66" i="4" a="1"/>
  <c r="K66" i="4" s="1"/>
  <c r="B66" i="4" s="1"/>
  <c r="K65" i="4" a="1"/>
  <c r="K65" i="4" s="1"/>
  <c r="C65" i="4" s="1"/>
  <c r="K64" i="4" a="1"/>
  <c r="K64" i="4" s="1"/>
  <c r="K63" i="4" a="1"/>
  <c r="K63" i="4" s="1"/>
  <c r="K62" i="4" a="1"/>
  <c r="K62" i="4" s="1"/>
  <c r="K61" i="4" a="1"/>
  <c r="K61" i="4" s="1"/>
  <c r="K60" i="4" a="1"/>
  <c r="K60" i="4" s="1"/>
  <c r="I60" i="4" s="1"/>
  <c r="K59" i="4" a="1"/>
  <c r="K59" i="4" s="1"/>
  <c r="K58" i="4" a="1"/>
  <c r="K58" i="4" s="1"/>
  <c r="K57" i="4" a="1"/>
  <c r="K57" i="4" s="1"/>
  <c r="K56" i="4" a="1"/>
  <c r="K56" i="4" s="1"/>
  <c r="G56" i="4" s="1"/>
  <c r="K55" i="4" a="1"/>
  <c r="K55" i="4" s="1"/>
  <c r="F55" i="4" s="1"/>
  <c r="K54" i="4" a="1"/>
  <c r="K54" i="4" s="1"/>
  <c r="K53" i="4" a="1"/>
  <c r="K53" i="4" s="1"/>
  <c r="B53" i="4" s="1"/>
  <c r="K52" i="4" a="1"/>
  <c r="K52" i="4" s="1"/>
  <c r="K51" i="4" a="1"/>
  <c r="K51" i="4" s="1"/>
  <c r="K50" i="4" a="1"/>
  <c r="K50" i="4" s="1"/>
  <c r="A50" i="4" s="1"/>
  <c r="K49" i="4" a="1"/>
  <c r="K49" i="4" s="1"/>
  <c r="K48" i="4" a="1"/>
  <c r="K48" i="4" s="1"/>
  <c r="K47" i="4" a="1"/>
  <c r="K47" i="4" s="1"/>
  <c r="K46" i="4" a="1"/>
  <c r="K46" i="4" s="1"/>
  <c r="H46" i="4" s="1"/>
  <c r="K45" i="4" a="1"/>
  <c r="K45" i="4" s="1"/>
  <c r="G45" i="4" s="1"/>
  <c r="K44" i="4" a="1"/>
  <c r="K44" i="4" s="1"/>
  <c r="G44" i="4" s="1"/>
  <c r="K43" i="4" a="1"/>
  <c r="K43" i="4" s="1"/>
  <c r="H43" i="4" s="1"/>
  <c r="K42" i="4" a="1"/>
  <c r="K42" i="4" s="1"/>
  <c r="K41" i="4" a="1"/>
  <c r="K41" i="4" s="1"/>
  <c r="E41" i="4" s="1"/>
  <c r="K40" i="4" a="1"/>
  <c r="K40" i="4" s="1"/>
  <c r="D40" i="4" s="1"/>
  <c r="K39" i="4" a="1"/>
  <c r="K39" i="4" s="1"/>
  <c r="K38" i="4" a="1"/>
  <c r="K38" i="4" s="1"/>
  <c r="F38" i="4" s="1"/>
  <c r="K37" i="4" a="1"/>
  <c r="K37" i="4" s="1"/>
  <c r="K36" i="4" a="1"/>
  <c r="K36" i="4" s="1"/>
  <c r="K35" i="4" a="1"/>
  <c r="K35" i="4" s="1"/>
  <c r="K34" i="4" a="1"/>
  <c r="K34" i="4" s="1"/>
  <c r="H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8" i="4" a="1"/>
  <c r="K28" i="4" s="1"/>
  <c r="K27" i="4" a="1"/>
  <c r="K27" i="4" s="1"/>
  <c r="K26" i="4" a="1"/>
  <c r="K26" i="4" s="1"/>
  <c r="K25" i="4" a="1"/>
  <c r="K25" i="4" s="1"/>
  <c r="K24" i="4" a="1"/>
  <c r="K24" i="4" s="1"/>
  <c r="K23" i="4" a="1"/>
  <c r="K23" i="4" s="1"/>
  <c r="K22" i="4" a="1"/>
  <c r="K22" i="4" s="1"/>
  <c r="K21" i="4" a="1"/>
  <c r="K21" i="4" s="1"/>
  <c r="K20" i="4" a="1"/>
  <c r="K20" i="4" s="1"/>
  <c r="K19" i="4" a="1"/>
  <c r="K19" i="4" s="1"/>
  <c r="K18" i="4" a="1"/>
  <c r="K18" i="4" s="1"/>
  <c r="K17" i="4" a="1"/>
  <c r="K17" i="4" s="1"/>
  <c r="C17" i="4" s="1"/>
  <c r="K16" i="4" a="1"/>
  <c r="K16" i="4" s="1"/>
  <c r="K15" i="4" a="1"/>
  <c r="K15" i="4" s="1"/>
  <c r="K14" i="4" a="1"/>
  <c r="K14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K8" i="4" a="1"/>
  <c r="K8" i="4" s="1"/>
  <c r="K7" i="4" a="1"/>
  <c r="K7" i="4" s="1"/>
  <c r="A5" i="4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H6" i="3"/>
  <c r="H5" i="3"/>
  <c r="B5" i="3"/>
  <c r="H4" i="3"/>
  <c r="E4" i="3"/>
  <c r="B4" i="3"/>
  <c r="H3" i="3"/>
  <c r="E3" i="3"/>
  <c r="B3" i="3"/>
  <c r="I15" i="9"/>
  <c r="I9" i="9"/>
  <c r="I543" i="8"/>
  <c r="L8" i="1"/>
  <c r="J8" i="1"/>
  <c r="H8" i="1"/>
  <c r="F8" i="1"/>
  <c r="D8" i="1"/>
  <c r="B8" i="1"/>
  <c r="H118" i="4" l="1"/>
  <c r="I530" i="8"/>
  <c r="I41" i="5"/>
  <c r="I529" i="8"/>
  <c r="I405" i="8"/>
  <c r="I365" i="8"/>
  <c r="I322" i="8"/>
  <c r="I129" i="8"/>
  <c r="I86" i="8"/>
  <c r="I69" i="8"/>
  <c r="I61" i="8"/>
  <c r="I51" i="8"/>
  <c r="I13" i="8"/>
  <c r="I52" i="5"/>
  <c r="I40" i="5"/>
  <c r="I14" i="5"/>
  <c r="I555" i="8"/>
  <c r="I546" i="8"/>
  <c r="I501" i="8"/>
  <c r="I151" i="8"/>
  <c r="G617" i="8"/>
  <c r="I28" i="5"/>
  <c r="I538" i="8"/>
  <c r="I517" i="8"/>
  <c r="I480" i="8"/>
  <c r="I468" i="8"/>
  <c r="I117" i="8"/>
  <c r="I105" i="8"/>
  <c r="I50" i="8"/>
  <c r="I32" i="8"/>
  <c r="I21" i="8"/>
  <c r="H309" i="8"/>
  <c r="I27" i="5"/>
  <c r="I527" i="8"/>
  <c r="I516" i="8"/>
  <c r="I489" i="8"/>
  <c r="I373" i="8"/>
  <c r="I351" i="8"/>
  <c r="I243" i="8"/>
  <c r="I75" i="8"/>
  <c r="I61" i="5"/>
  <c r="I457" i="8"/>
  <c r="I413" i="8"/>
  <c r="I328" i="8"/>
  <c r="I253" i="8"/>
  <c r="I217" i="8"/>
  <c r="I148" i="8"/>
  <c r="I93" i="8"/>
  <c r="I74" i="8"/>
  <c r="I49" i="8"/>
  <c r="I11" i="8"/>
  <c r="I48" i="5"/>
  <c r="I477" i="8"/>
  <c r="I372" i="8"/>
  <c r="I216" i="8"/>
  <c r="I192" i="8"/>
  <c r="I181" i="8"/>
  <c r="I147" i="8"/>
  <c r="I136" i="8"/>
  <c r="I73" i="8"/>
  <c r="I40" i="8"/>
  <c r="I10" i="7"/>
  <c r="I16" i="5"/>
  <c r="I550" i="8"/>
  <c r="I465" i="8"/>
  <c r="I455" i="8"/>
  <c r="I411" i="8"/>
  <c r="I390" i="8"/>
  <c r="I379" i="8"/>
  <c r="I180" i="8"/>
  <c r="C396" i="8"/>
  <c r="I46" i="5"/>
  <c r="I513" i="8"/>
  <c r="I507" i="8"/>
  <c r="I496" i="8"/>
  <c r="I410" i="8"/>
  <c r="I315" i="8"/>
  <c r="I112" i="8"/>
  <c r="I64" i="8"/>
  <c r="B123" i="4"/>
  <c r="I57" i="5"/>
  <c r="I15" i="5"/>
  <c r="I559" i="8"/>
  <c r="I495" i="8"/>
  <c r="I453" i="8"/>
  <c r="I432" i="8"/>
  <c r="I123" i="8"/>
  <c r="I111" i="8"/>
  <c r="I37" i="8"/>
  <c r="I20" i="6"/>
  <c r="I532" i="8"/>
  <c r="I505" i="8"/>
  <c r="I408" i="8"/>
  <c r="I357" i="8"/>
  <c r="I229" i="8"/>
  <c r="I155" i="8"/>
  <c r="I144" i="8"/>
  <c r="I122" i="8"/>
  <c r="I110" i="8"/>
  <c r="I62" i="8"/>
  <c r="I21" i="5"/>
  <c r="I504" i="8"/>
  <c r="I493" i="8"/>
  <c r="I483" i="8"/>
  <c r="I396" i="8"/>
  <c r="I386" i="8"/>
  <c r="I205" i="8"/>
  <c r="I143" i="8"/>
  <c r="I88" i="8"/>
  <c r="I25" i="8"/>
  <c r="I14" i="8"/>
  <c r="I31" i="7"/>
  <c r="I520" i="8"/>
  <c r="I98" i="8"/>
  <c r="I385" i="8"/>
  <c r="I492" i="8"/>
  <c r="C53" i="4"/>
  <c r="C39" i="5"/>
  <c r="I19" i="7"/>
  <c r="H617" i="8"/>
  <c r="I31" i="5"/>
  <c r="I556" i="8"/>
  <c r="B824" i="8"/>
  <c r="I471" i="8"/>
  <c r="H482" i="8"/>
  <c r="I343" i="8"/>
  <c r="I204" i="8"/>
  <c r="F793" i="8"/>
  <c r="I944" i="8"/>
  <c r="I1006" i="8"/>
  <c r="I983" i="8"/>
  <c r="I102" i="5"/>
  <c r="I114" i="5"/>
  <c r="I763" i="8"/>
  <c r="I741" i="8"/>
  <c r="A148" i="8"/>
  <c r="E980" i="8"/>
  <c r="E381" i="8"/>
  <c r="F381" i="8"/>
  <c r="B739" i="8"/>
  <c r="I484" i="8"/>
  <c r="I193" i="8"/>
  <c r="A891" i="8"/>
  <c r="F56" i="4"/>
  <c r="C361" i="8"/>
  <c r="D602" i="8"/>
  <c r="B891" i="8"/>
  <c r="I80" i="6"/>
  <c r="E315" i="8"/>
  <c r="G789" i="8"/>
  <c r="C891" i="8"/>
  <c r="I440" i="8"/>
  <c r="B149" i="4"/>
  <c r="E56" i="4"/>
  <c r="G9" i="7"/>
  <c r="F733" i="8"/>
  <c r="E944" i="8"/>
  <c r="E955" i="8"/>
  <c r="I53" i="8"/>
  <c r="E117" i="6"/>
  <c r="E31" i="5"/>
  <c r="D44" i="6"/>
  <c r="E491" i="8"/>
  <c r="H594" i="8"/>
  <c r="E645" i="8"/>
  <c r="H771" i="8"/>
  <c r="I87" i="8"/>
  <c r="I44" i="6"/>
  <c r="H45" i="7"/>
  <c r="I434" i="8"/>
  <c r="D120" i="6"/>
  <c r="H606" i="8"/>
  <c r="I397" i="8"/>
  <c r="I26" i="5"/>
  <c r="F149" i="4"/>
  <c r="C817" i="8"/>
  <c r="I149" i="4"/>
  <c r="D80" i="6"/>
  <c r="I639" i="8"/>
  <c r="I775" i="8"/>
  <c r="I817" i="8"/>
  <c r="C697" i="8"/>
  <c r="E787" i="8"/>
  <c r="E852" i="8"/>
  <c r="E24" i="8"/>
  <c r="G787" i="8"/>
  <c r="B78" i="4"/>
  <c r="G78" i="4"/>
  <c r="I65" i="7"/>
  <c r="D65" i="7"/>
  <c r="D745" i="8"/>
  <c r="G745" i="8"/>
  <c r="E745" i="8"/>
  <c r="H96" i="6"/>
  <c r="F96" i="6"/>
  <c r="D96" i="6"/>
  <c r="G26" i="4"/>
  <c r="A26" i="4"/>
  <c r="E93" i="4"/>
  <c r="H93" i="4"/>
  <c r="I93" i="4"/>
  <c r="G93" i="4"/>
  <c r="B110" i="5"/>
  <c r="E110" i="5"/>
  <c r="H846" i="8"/>
  <c r="G846" i="8"/>
  <c r="F846" i="8"/>
  <c r="G71" i="4"/>
  <c r="I71" i="4"/>
  <c r="H71" i="4"/>
  <c r="H91" i="7"/>
  <c r="C91" i="7"/>
  <c r="E99" i="8"/>
  <c r="G99" i="8"/>
  <c r="F99" i="8"/>
  <c r="C99" i="8"/>
  <c r="F106" i="4"/>
  <c r="G106" i="4"/>
  <c r="G191" i="4"/>
  <c r="I191" i="4"/>
  <c r="E113" i="5"/>
  <c r="H113" i="5"/>
  <c r="A113" i="5"/>
  <c r="A57" i="6"/>
  <c r="E57" i="6"/>
  <c r="F159" i="4"/>
  <c r="E159" i="4"/>
  <c r="I102" i="6"/>
  <c r="G102" i="6"/>
  <c r="G45" i="8"/>
  <c r="D45" i="8"/>
  <c r="C45" i="8"/>
  <c r="B45" i="8"/>
  <c r="B895" i="8"/>
  <c r="C895" i="8"/>
  <c r="D9" i="4"/>
  <c r="G9" i="4"/>
  <c r="F9" i="4"/>
  <c r="B9" i="4"/>
  <c r="G28" i="6"/>
  <c r="H28" i="6"/>
  <c r="H155" i="4"/>
  <c r="B39" i="5"/>
  <c r="D48" i="5"/>
  <c r="E105" i="6"/>
  <c r="G46" i="7"/>
  <c r="F206" i="8"/>
  <c r="C337" i="8"/>
  <c r="E363" i="8"/>
  <c r="H416" i="8"/>
  <c r="H590" i="8"/>
  <c r="C653" i="8"/>
  <c r="C685" i="8"/>
  <c r="G695" i="8"/>
  <c r="B800" i="8"/>
  <c r="D829" i="8"/>
  <c r="I340" i="8"/>
  <c r="I29" i="4"/>
  <c r="I423" i="8"/>
  <c r="I76" i="8"/>
  <c r="I141" i="8"/>
  <c r="C123" i="4"/>
  <c r="H149" i="4"/>
  <c r="G39" i="5"/>
  <c r="H12" i="6"/>
  <c r="H148" i="8"/>
  <c r="G434" i="8"/>
  <c r="D821" i="8"/>
  <c r="A40" i="4"/>
  <c r="D116" i="6"/>
  <c r="I99" i="8"/>
  <c r="B40" i="4"/>
  <c r="I116" i="6"/>
  <c r="F602" i="8"/>
  <c r="E647" i="8"/>
  <c r="D697" i="8"/>
  <c r="B738" i="8"/>
  <c r="D891" i="8"/>
  <c r="C40" i="4"/>
  <c r="G66" i="4"/>
  <c r="F150" i="4"/>
  <c r="I233" i="5"/>
  <c r="E81" i="6"/>
  <c r="A594" i="8"/>
  <c r="H932" i="8"/>
  <c r="I26" i="8"/>
  <c r="I45" i="8"/>
  <c r="I420" i="8"/>
  <c r="I124" i="8"/>
  <c r="I134" i="8"/>
  <c r="G40" i="4"/>
  <c r="C63" i="5"/>
  <c r="E224" i="5"/>
  <c r="C156" i="6"/>
  <c r="H51" i="7"/>
  <c r="C70" i="7"/>
  <c r="H143" i="8"/>
  <c r="B250" i="8"/>
  <c r="D342" i="8"/>
  <c r="C711" i="8"/>
  <c r="H12" i="9"/>
  <c r="E40" i="4"/>
  <c r="I57" i="8"/>
  <c r="I81" i="8"/>
  <c r="I316" i="8"/>
  <c r="I14" i="9"/>
  <c r="H40" i="4"/>
  <c r="I128" i="6"/>
  <c r="F156" i="6"/>
  <c r="A172" i="8"/>
  <c r="H250" i="8"/>
  <c r="H342" i="8"/>
  <c r="E711" i="8"/>
  <c r="G797" i="8"/>
  <c r="D817" i="8"/>
  <c r="A856" i="8"/>
  <c r="E894" i="8"/>
  <c r="I903" i="8"/>
  <c r="A512" i="8"/>
  <c r="A867" i="8"/>
  <c r="A26" i="7"/>
  <c r="E225" i="8"/>
  <c r="A653" i="8"/>
  <c r="A673" i="8"/>
  <c r="A695" i="8"/>
  <c r="H751" i="8"/>
  <c r="B867" i="8"/>
  <c r="B890" i="8"/>
  <c r="H52" i="4"/>
  <c r="E52" i="4"/>
  <c r="B52" i="4"/>
  <c r="D21" i="4"/>
  <c r="G21" i="4"/>
  <c r="B21" i="4"/>
  <c r="F21" i="4"/>
  <c r="E21" i="4"/>
  <c r="H75" i="4"/>
  <c r="F75" i="4"/>
  <c r="E147" i="4"/>
  <c r="H147" i="4"/>
  <c r="G147" i="4"/>
  <c r="F147" i="4"/>
  <c r="D147" i="4"/>
  <c r="B147" i="4"/>
  <c r="G112" i="4"/>
  <c r="D112" i="4"/>
  <c r="B126" i="4"/>
  <c r="F126" i="4"/>
  <c r="E126" i="4"/>
  <c r="C159" i="4"/>
  <c r="G523" i="8"/>
  <c r="A523" i="8"/>
  <c r="I772" i="8"/>
  <c r="F772" i="8"/>
  <c r="I114" i="6"/>
  <c r="H114" i="6"/>
  <c r="G114" i="6"/>
  <c r="B114" i="6"/>
  <c r="I880" i="8"/>
  <c r="E880" i="8"/>
  <c r="H764" i="8"/>
  <c r="I764" i="8"/>
  <c r="A869" i="8"/>
  <c r="B869" i="8"/>
  <c r="I17" i="9"/>
  <c r="H17" i="9"/>
  <c r="C85" i="9"/>
  <c r="I85" i="9"/>
  <c r="H85" i="9"/>
  <c r="E85" i="9"/>
  <c r="D159" i="4"/>
  <c r="I159" i="4"/>
  <c r="H159" i="4"/>
  <c r="B159" i="4"/>
  <c r="B174" i="4"/>
  <c r="F174" i="4"/>
  <c r="D174" i="4"/>
  <c r="C174" i="4"/>
  <c r="H183" i="4"/>
  <c r="D183" i="4"/>
  <c r="F20" i="7"/>
  <c r="G20" i="7"/>
  <c r="D618" i="8"/>
  <c r="B618" i="8"/>
  <c r="C40" i="5"/>
  <c r="A40" i="5"/>
  <c r="G656" i="8"/>
  <c r="B656" i="8"/>
  <c r="G786" i="8"/>
  <c r="H786" i="8"/>
  <c r="D786" i="8"/>
  <c r="B786" i="8"/>
  <c r="I942" i="8"/>
  <c r="C942" i="8"/>
  <c r="H99" i="4"/>
  <c r="B99" i="4"/>
  <c r="G131" i="4"/>
  <c r="I131" i="4"/>
  <c r="H131" i="4"/>
  <c r="A185" i="4"/>
  <c r="H185" i="4"/>
  <c r="F185" i="4"/>
  <c r="D185" i="4"/>
  <c r="C185" i="4"/>
  <c r="H527" i="8"/>
  <c r="F527" i="8"/>
  <c r="E527" i="8"/>
  <c r="H678" i="8"/>
  <c r="D678" i="8"/>
  <c r="B678" i="8"/>
  <c r="D853" i="8"/>
  <c r="G853" i="8"/>
  <c r="E862" i="8"/>
  <c r="A862" i="8"/>
  <c r="G921" i="8"/>
  <c r="C921" i="8"/>
  <c r="F976" i="8"/>
  <c r="G976" i="8"/>
  <c r="F58" i="4"/>
  <c r="I58" i="4"/>
  <c r="E117" i="4"/>
  <c r="G117" i="4"/>
  <c r="D123" i="4"/>
  <c r="I123" i="4"/>
  <c r="F123" i="4"/>
  <c r="A123" i="4"/>
  <c r="A93" i="6"/>
  <c r="E93" i="6"/>
  <c r="B710" i="8"/>
  <c r="F710" i="8"/>
  <c r="I885" i="8"/>
  <c r="H885" i="8"/>
  <c r="F885" i="8"/>
  <c r="A977" i="8"/>
  <c r="F977" i="8"/>
  <c r="C977" i="8"/>
  <c r="B977" i="8"/>
  <c r="G1000" i="8"/>
  <c r="H1000" i="8"/>
  <c r="E1000" i="8"/>
  <c r="C187" i="4"/>
  <c r="H187" i="4"/>
  <c r="F187" i="4"/>
  <c r="I143" i="5"/>
  <c r="G143" i="5"/>
  <c r="D933" i="8"/>
  <c r="H933" i="8"/>
  <c r="C933" i="8"/>
  <c r="A1001" i="8"/>
  <c r="C1001" i="8"/>
  <c r="B1001" i="8"/>
  <c r="E162" i="4"/>
  <c r="D162" i="4"/>
  <c r="G171" i="4"/>
  <c r="B171" i="4"/>
  <c r="D196" i="4"/>
  <c r="B196" i="4"/>
  <c r="I234" i="5"/>
  <c r="A234" i="5"/>
  <c r="F352" i="8"/>
  <c r="D352" i="8"/>
  <c r="H489" i="8"/>
  <c r="D489" i="8"/>
  <c r="E740" i="8"/>
  <c r="F740" i="8"/>
  <c r="D740" i="8"/>
  <c r="C758" i="8"/>
  <c r="B758" i="8"/>
  <c r="I758" i="8"/>
  <c r="H758" i="8"/>
  <c r="G758" i="8"/>
  <c r="F758" i="8"/>
  <c r="D758" i="8"/>
  <c r="I875" i="8"/>
  <c r="H875" i="8"/>
  <c r="B990" i="8"/>
  <c r="D990" i="8"/>
  <c r="A111" i="4"/>
  <c r="F118" i="4"/>
  <c r="I118" i="4"/>
  <c r="E63" i="8"/>
  <c r="G63" i="8"/>
  <c r="F63" i="8"/>
  <c r="C63" i="8"/>
  <c r="F94" i="4"/>
  <c r="I94" i="4"/>
  <c r="H94" i="4"/>
  <c r="I172" i="4"/>
  <c r="G172" i="4"/>
  <c r="F190" i="4"/>
  <c r="I190" i="4"/>
  <c r="G190" i="4"/>
  <c r="G37" i="5"/>
  <c r="F37" i="5"/>
  <c r="G46" i="5"/>
  <c r="F46" i="5"/>
  <c r="H18" i="6"/>
  <c r="B18" i="6"/>
  <c r="F76" i="6"/>
  <c r="E76" i="6"/>
  <c r="B34" i="7"/>
  <c r="G34" i="7"/>
  <c r="F34" i="7"/>
  <c r="D34" i="7"/>
  <c r="A34" i="7"/>
  <c r="I34" i="7"/>
  <c r="H34" i="7"/>
  <c r="G847" i="8"/>
  <c r="H847" i="8"/>
  <c r="A29" i="4"/>
  <c r="H29" i="4"/>
  <c r="G126" i="4"/>
  <c r="E125" i="5"/>
  <c r="H125" i="5"/>
  <c r="C237" i="5"/>
  <c r="H237" i="5"/>
  <c r="D164" i="8"/>
  <c r="E164" i="8"/>
  <c r="B164" i="8"/>
  <c r="D78" i="4"/>
  <c r="E91" i="7"/>
  <c r="D250" i="8"/>
  <c r="A320" i="8"/>
  <c r="B420" i="8"/>
  <c r="E494" i="8"/>
  <c r="A890" i="8"/>
  <c r="H947" i="8"/>
  <c r="I472" i="8"/>
  <c r="I100" i="8"/>
  <c r="I33" i="5"/>
  <c r="E78" i="4"/>
  <c r="F189" i="4"/>
  <c r="B66" i="6"/>
  <c r="D68" i="7"/>
  <c r="F91" i="7"/>
  <c r="F250" i="8"/>
  <c r="F320" i="8"/>
  <c r="A343" i="8"/>
  <c r="D420" i="8"/>
  <c r="A443" i="8"/>
  <c r="G494" i="8"/>
  <c r="C673" i="8"/>
  <c r="H725" i="8"/>
  <c r="I63" i="8"/>
  <c r="D66" i="4"/>
  <c r="F78" i="4"/>
  <c r="D150" i="4"/>
  <c r="F22" i="5"/>
  <c r="D8" i="6"/>
  <c r="G66" i="6"/>
  <c r="H30" i="7"/>
  <c r="G68" i="7"/>
  <c r="I91" i="7"/>
  <c r="G12" i="8"/>
  <c r="D76" i="8"/>
  <c r="G250" i="8"/>
  <c r="H266" i="8"/>
  <c r="H320" i="8"/>
  <c r="C343" i="8"/>
  <c r="G420" i="8"/>
  <c r="C443" i="8"/>
  <c r="H494" i="8"/>
  <c r="F640" i="8"/>
  <c r="E649" i="8"/>
  <c r="E673" i="8"/>
  <c r="I725" i="8"/>
  <c r="D755" i="8"/>
  <c r="A790" i="8"/>
  <c r="I821" i="8"/>
  <c r="I829" i="8"/>
  <c r="I867" i="8"/>
  <c r="C890" i="8"/>
  <c r="F894" i="8"/>
  <c r="D910" i="8"/>
  <c r="D109" i="5"/>
  <c r="H66" i="6"/>
  <c r="F755" i="8"/>
  <c r="I798" i="8"/>
  <c r="C20" i="9"/>
  <c r="F52" i="6"/>
  <c r="A24" i="8"/>
  <c r="D152" i="8"/>
  <c r="B369" i="8"/>
  <c r="C514" i="8"/>
  <c r="G755" i="8"/>
  <c r="G779" i="8"/>
  <c r="G807" i="8"/>
  <c r="H958" i="8"/>
  <c r="I252" i="8"/>
  <c r="I525" i="8"/>
  <c r="I37" i="5"/>
  <c r="F28" i="6"/>
  <c r="H52" i="6"/>
  <c r="B102" i="6"/>
  <c r="D132" i="6"/>
  <c r="E9" i="7"/>
  <c r="E45" i="7"/>
  <c r="F88" i="7"/>
  <c r="D24" i="8"/>
  <c r="A45" i="8"/>
  <c r="E152" i="8"/>
  <c r="H160" i="8"/>
  <c r="C201" i="8"/>
  <c r="D228" i="8"/>
  <c r="B340" i="8"/>
  <c r="B362" i="8"/>
  <c r="D369" i="8"/>
  <c r="E455" i="8"/>
  <c r="D514" i="8"/>
  <c r="D590" i="8"/>
  <c r="C719" i="8"/>
  <c r="H741" i="8"/>
  <c r="H755" i="8"/>
  <c r="D792" i="8"/>
  <c r="F799" i="8"/>
  <c r="H807" i="8"/>
  <c r="B817" i="8"/>
  <c r="A843" i="8"/>
  <c r="A855" i="8"/>
  <c r="F316" i="8"/>
  <c r="G659" i="8"/>
  <c r="A767" i="8"/>
  <c r="C843" i="8"/>
  <c r="I959" i="8"/>
  <c r="F440" i="8"/>
  <c r="C203" i="8"/>
  <c r="A775" i="8"/>
  <c r="H970" i="8"/>
  <c r="F33" i="5"/>
  <c r="A48" i="6"/>
  <c r="A457" i="8"/>
  <c r="C738" i="8"/>
  <c r="C775" i="8"/>
  <c r="A914" i="8"/>
  <c r="E932" i="8"/>
  <c r="H995" i="8"/>
  <c r="G33" i="5"/>
  <c r="H48" i="6"/>
  <c r="A91" i="7"/>
  <c r="A81" i="8"/>
  <c r="A325" i="8"/>
  <c r="F342" i="8"/>
  <c r="A424" i="8"/>
  <c r="H457" i="8"/>
  <c r="A500" i="8"/>
  <c r="G593" i="8"/>
  <c r="B731" i="8"/>
  <c r="H775" i="8"/>
  <c r="D846" i="8"/>
  <c r="F932" i="8"/>
  <c r="D939" i="8"/>
  <c r="H63" i="4"/>
  <c r="C63" i="4"/>
  <c r="B63" i="4"/>
  <c r="A63" i="4"/>
  <c r="I63" i="4"/>
  <c r="G63" i="4"/>
  <c r="F63" i="4"/>
  <c r="E63" i="4"/>
  <c r="D63" i="4"/>
  <c r="I64" i="4"/>
  <c r="E64" i="4"/>
  <c r="D64" i="4"/>
  <c r="C64" i="4"/>
  <c r="B64" i="4"/>
  <c r="A64" i="4"/>
  <c r="H64" i="4"/>
  <c r="G64" i="4"/>
  <c r="G119" i="4"/>
  <c r="I119" i="4"/>
  <c r="H119" i="4"/>
  <c r="I124" i="4"/>
  <c r="E124" i="4"/>
  <c r="D124" i="4"/>
  <c r="C124" i="4"/>
  <c r="B124" i="4"/>
  <c r="A124" i="4"/>
  <c r="H124" i="4"/>
  <c r="G124" i="4"/>
  <c r="B138" i="4"/>
  <c r="G138" i="4"/>
  <c r="F138" i="4"/>
  <c r="E138" i="4"/>
  <c r="D138" i="4"/>
  <c r="C138" i="4"/>
  <c r="B114" i="4"/>
  <c r="E114" i="4"/>
  <c r="F114" i="4"/>
  <c r="D114" i="4"/>
  <c r="C114" i="4"/>
  <c r="G114" i="4"/>
  <c r="H27" i="4"/>
  <c r="G27" i="4"/>
  <c r="F27" i="4"/>
  <c r="E27" i="4"/>
  <c r="D27" i="4"/>
  <c r="C27" i="4"/>
  <c r="B27" i="4"/>
  <c r="H51" i="4"/>
  <c r="G51" i="4"/>
  <c r="F51" i="4"/>
  <c r="D51" i="4"/>
  <c r="C51" i="4"/>
  <c r="B51" i="4"/>
  <c r="A51" i="4"/>
  <c r="E57" i="4"/>
  <c r="H57" i="4"/>
  <c r="I57" i="4"/>
  <c r="G57" i="4"/>
  <c r="F57" i="4"/>
  <c r="H87" i="4"/>
  <c r="I87" i="4"/>
  <c r="G87" i="4"/>
  <c r="F87" i="4"/>
  <c r="E87" i="4"/>
  <c r="D87" i="4"/>
  <c r="C87" i="4"/>
  <c r="B87" i="4"/>
  <c r="A87" i="4"/>
  <c r="A161" i="4"/>
  <c r="I161" i="4"/>
  <c r="F161" i="4"/>
  <c r="E161" i="4"/>
  <c r="C161" i="4"/>
  <c r="B161" i="4"/>
  <c r="H161" i="4"/>
  <c r="D161" i="4"/>
  <c r="E10" i="4"/>
  <c r="H10" i="4"/>
  <c r="G10" i="4"/>
  <c r="F10" i="4"/>
  <c r="C10" i="4"/>
  <c r="G107" i="4"/>
  <c r="H107" i="4"/>
  <c r="I107" i="4"/>
  <c r="H28" i="4"/>
  <c r="E28" i="4"/>
  <c r="A28" i="4"/>
  <c r="G28" i="4"/>
  <c r="D28" i="4"/>
  <c r="F28" i="4"/>
  <c r="F42" i="4"/>
  <c r="G42" i="4"/>
  <c r="E42" i="4"/>
  <c r="D42" i="4"/>
  <c r="C42" i="4"/>
  <c r="I88" i="4"/>
  <c r="B88" i="4"/>
  <c r="A88" i="4"/>
  <c r="H88" i="4"/>
  <c r="G88" i="4"/>
  <c r="E88" i="4"/>
  <c r="D88" i="4"/>
  <c r="C88" i="4"/>
  <c r="I100" i="4"/>
  <c r="H100" i="4"/>
  <c r="G100" i="4"/>
  <c r="E100" i="4"/>
  <c r="D100" i="4"/>
  <c r="C100" i="4"/>
  <c r="B100" i="4"/>
  <c r="A100" i="4"/>
  <c r="H39" i="4"/>
  <c r="G39" i="4"/>
  <c r="F39" i="4"/>
  <c r="D39" i="4"/>
  <c r="C39" i="4"/>
  <c r="B39" i="4"/>
  <c r="A39" i="4"/>
  <c r="B90" i="4"/>
  <c r="E90" i="4"/>
  <c r="D90" i="4"/>
  <c r="C90" i="4"/>
  <c r="G90" i="4"/>
  <c r="F90" i="4"/>
  <c r="F142" i="4"/>
  <c r="I142" i="4"/>
  <c r="H142" i="4"/>
  <c r="G142" i="4"/>
  <c r="F30" i="4"/>
  <c r="E30" i="4"/>
  <c r="D30" i="4"/>
  <c r="C30" i="4"/>
  <c r="H30" i="4"/>
  <c r="G30" i="4"/>
  <c r="I59" i="4"/>
  <c r="H59" i="4"/>
  <c r="E69" i="4"/>
  <c r="I69" i="4"/>
  <c r="H69" i="4"/>
  <c r="G69" i="4"/>
  <c r="F69" i="4"/>
  <c r="E81" i="4"/>
  <c r="I81" i="4"/>
  <c r="H81" i="4"/>
  <c r="G81" i="4"/>
  <c r="F81" i="4"/>
  <c r="G95" i="4"/>
  <c r="I95" i="4"/>
  <c r="H95" i="4"/>
  <c r="B135" i="4"/>
  <c r="H135" i="4"/>
  <c r="F135" i="4"/>
  <c r="E135" i="4"/>
  <c r="D135" i="4"/>
  <c r="C135" i="4"/>
  <c r="A135" i="4"/>
  <c r="I135" i="4"/>
  <c r="G135" i="4"/>
  <c r="F148" i="4"/>
  <c r="A148" i="4"/>
  <c r="G148" i="4"/>
  <c r="I148" i="4"/>
  <c r="H148" i="4"/>
  <c r="E148" i="4"/>
  <c r="D148" i="4"/>
  <c r="C148" i="4"/>
  <c r="B148" i="4"/>
  <c r="F31" i="4"/>
  <c r="H31" i="4"/>
  <c r="G31" i="4"/>
  <c r="E31" i="4"/>
  <c r="D31" i="4"/>
  <c r="H16" i="4"/>
  <c r="E16" i="4"/>
  <c r="D16" i="4"/>
  <c r="B16" i="4"/>
  <c r="A16" i="4"/>
  <c r="H32" i="4"/>
  <c r="E32" i="4"/>
  <c r="F70" i="4"/>
  <c r="I70" i="4"/>
  <c r="H70" i="4"/>
  <c r="G70" i="4"/>
  <c r="F82" i="4"/>
  <c r="G82" i="4"/>
  <c r="I82" i="4"/>
  <c r="H82" i="4"/>
  <c r="B54" i="4"/>
  <c r="G54" i="4"/>
  <c r="F54" i="4"/>
  <c r="D54" i="4"/>
  <c r="E54" i="4"/>
  <c r="C54" i="4"/>
  <c r="E105" i="4"/>
  <c r="H105" i="4"/>
  <c r="G105" i="4"/>
  <c r="F105" i="4"/>
  <c r="I105" i="4"/>
  <c r="E129" i="4"/>
  <c r="H129" i="4"/>
  <c r="I129" i="4"/>
  <c r="G129" i="4"/>
  <c r="F129" i="4"/>
  <c r="E165" i="4"/>
  <c r="F165" i="4"/>
  <c r="I165" i="4"/>
  <c r="H165" i="4"/>
  <c r="G165" i="4"/>
  <c r="F130" i="4"/>
  <c r="I130" i="4"/>
  <c r="H130" i="4"/>
  <c r="G130" i="4"/>
  <c r="I34" i="4"/>
  <c r="D53" i="4"/>
  <c r="E67" i="4"/>
  <c r="C75" i="4"/>
  <c r="E76" i="4"/>
  <c r="E102" i="4"/>
  <c r="A112" i="4"/>
  <c r="G141" i="4"/>
  <c r="I147" i="4"/>
  <c r="F153" i="4"/>
  <c r="D160" i="4"/>
  <c r="E199" i="4"/>
  <c r="E12" i="5"/>
  <c r="B20" i="5"/>
  <c r="C24" i="5"/>
  <c r="H24" i="5"/>
  <c r="G24" i="5"/>
  <c r="E24" i="5"/>
  <c r="D24" i="5"/>
  <c r="D65" i="5"/>
  <c r="A65" i="5"/>
  <c r="H65" i="5"/>
  <c r="E65" i="5"/>
  <c r="B122" i="5"/>
  <c r="E122" i="5"/>
  <c r="I131" i="5"/>
  <c r="B131" i="5"/>
  <c r="G131" i="5"/>
  <c r="D131" i="5"/>
  <c r="E173" i="5"/>
  <c r="H173" i="5"/>
  <c r="A173" i="5"/>
  <c r="F227" i="5"/>
  <c r="C227" i="5"/>
  <c r="I227" i="5"/>
  <c r="H227" i="5"/>
  <c r="G227" i="5"/>
  <c r="H245" i="5"/>
  <c r="I245" i="5"/>
  <c r="D245" i="5"/>
  <c r="C72" i="6"/>
  <c r="B72" i="6"/>
  <c r="D72" i="6"/>
  <c r="A72" i="6"/>
  <c r="H72" i="6"/>
  <c r="F72" i="6"/>
  <c r="I9" i="4"/>
  <c r="D75" i="4"/>
  <c r="G76" i="4"/>
  <c r="F102" i="4"/>
  <c r="B112" i="4"/>
  <c r="H141" i="4"/>
  <c r="H153" i="4"/>
  <c r="G160" i="4"/>
  <c r="C173" i="4"/>
  <c r="G177" i="4"/>
  <c r="G195" i="4"/>
  <c r="A195" i="4"/>
  <c r="I195" i="4"/>
  <c r="H195" i="4"/>
  <c r="E195" i="4"/>
  <c r="D195" i="4"/>
  <c r="C195" i="4"/>
  <c r="H36" i="5"/>
  <c r="D36" i="5"/>
  <c r="C36" i="5"/>
  <c r="B36" i="5"/>
  <c r="H85" i="5"/>
  <c r="A85" i="5"/>
  <c r="I85" i="5"/>
  <c r="F85" i="5"/>
  <c r="D85" i="5"/>
  <c r="H97" i="5"/>
  <c r="I97" i="5"/>
  <c r="F97" i="5"/>
  <c r="D97" i="5"/>
  <c r="A97" i="5"/>
  <c r="B206" i="5"/>
  <c r="E206" i="5"/>
  <c r="A246" i="5"/>
  <c r="E246" i="5"/>
  <c r="I42" i="6"/>
  <c r="H42" i="6"/>
  <c r="G42" i="6"/>
  <c r="B42" i="6"/>
  <c r="H92" i="6"/>
  <c r="I92" i="6"/>
  <c r="D92" i="6"/>
  <c r="A149" i="6"/>
  <c r="G149" i="6"/>
  <c r="E149" i="6"/>
  <c r="I149" i="6"/>
  <c r="D149" i="6"/>
  <c r="C149" i="6"/>
  <c r="B149" i="6"/>
  <c r="I39" i="4"/>
  <c r="I32" i="4"/>
  <c r="I51" i="4"/>
  <c r="A52" i="4"/>
  <c r="E75" i="4"/>
  <c r="H76" i="4"/>
  <c r="A99" i="4"/>
  <c r="G102" i="4"/>
  <c r="C112" i="4"/>
  <c r="I141" i="4"/>
  <c r="C199" i="4"/>
  <c r="G199" i="4"/>
  <c r="F199" i="4"/>
  <c r="D199" i="4"/>
  <c r="C12" i="5"/>
  <c r="G12" i="5"/>
  <c r="F12" i="5"/>
  <c r="D12" i="5"/>
  <c r="G20" i="5"/>
  <c r="H20" i="5"/>
  <c r="F20" i="5"/>
  <c r="D20" i="5"/>
  <c r="C20" i="5"/>
  <c r="A20" i="5"/>
  <c r="B31" i="5"/>
  <c r="G31" i="5"/>
  <c r="D31" i="5"/>
  <c r="C31" i="5"/>
  <c r="B98" i="5"/>
  <c r="E98" i="5"/>
  <c r="E185" i="5"/>
  <c r="H185" i="5"/>
  <c r="A185" i="5"/>
  <c r="I218" i="5"/>
  <c r="G218" i="5"/>
  <c r="C218" i="5"/>
  <c r="G16" i="6"/>
  <c r="E16" i="6"/>
  <c r="H16" i="6"/>
  <c r="F16" i="6"/>
  <c r="A33" i="6"/>
  <c r="E33" i="6"/>
  <c r="I150" i="6"/>
  <c r="D150" i="6"/>
  <c r="H150" i="6"/>
  <c r="F150" i="6"/>
  <c r="E150" i="6"/>
  <c r="E153" i="4"/>
  <c r="G153" i="4"/>
  <c r="F160" i="4"/>
  <c r="E160" i="4"/>
  <c r="C160" i="4"/>
  <c r="B160" i="4"/>
  <c r="I160" i="4"/>
  <c r="A173" i="4"/>
  <c r="I173" i="4"/>
  <c r="H173" i="4"/>
  <c r="E173" i="4"/>
  <c r="D173" i="4"/>
  <c r="B173" i="4"/>
  <c r="E177" i="4"/>
  <c r="H177" i="4"/>
  <c r="F177" i="4"/>
  <c r="E26" i="5"/>
  <c r="H26" i="5"/>
  <c r="G26" i="5"/>
  <c r="F26" i="5"/>
  <c r="H41" i="5"/>
  <c r="E41" i="5"/>
  <c r="F58" i="5"/>
  <c r="A58" i="5"/>
  <c r="G100" i="6"/>
  <c r="F100" i="6"/>
  <c r="H100" i="6"/>
  <c r="E100" i="6"/>
  <c r="H43" i="7"/>
  <c r="A43" i="7"/>
  <c r="I43" i="7"/>
  <c r="F43" i="7"/>
  <c r="E43" i="7"/>
  <c r="C43" i="7"/>
  <c r="E44" i="4"/>
  <c r="I16" i="4"/>
  <c r="I44" i="4"/>
  <c r="D29" i="4"/>
  <c r="G34" i="4"/>
  <c r="F44" i="4"/>
  <c r="C52" i="4"/>
  <c r="G75" i="4"/>
  <c r="H83" i="4"/>
  <c r="C99" i="4"/>
  <c r="H106" i="4"/>
  <c r="B111" i="4"/>
  <c r="E112" i="4"/>
  <c r="G123" i="4"/>
  <c r="A136" i="4"/>
  <c r="A149" i="4"/>
  <c r="D149" i="4"/>
  <c r="C149" i="4"/>
  <c r="E171" i="4"/>
  <c r="G183" i="4"/>
  <c r="I183" i="4"/>
  <c r="F183" i="4"/>
  <c r="E183" i="4"/>
  <c r="C183" i="4"/>
  <c r="B183" i="4"/>
  <c r="C8" i="5"/>
  <c r="A21" i="5"/>
  <c r="H32" i="5"/>
  <c r="B32" i="5"/>
  <c r="G32" i="5"/>
  <c r="F32" i="5"/>
  <c r="E32" i="5"/>
  <c r="D77" i="5"/>
  <c r="H77" i="5"/>
  <c r="E77" i="5"/>
  <c r="A77" i="5"/>
  <c r="B134" i="5"/>
  <c r="E134" i="5"/>
  <c r="E209" i="5"/>
  <c r="H209" i="5"/>
  <c r="A209" i="5"/>
  <c r="G231" i="5"/>
  <c r="H231" i="5"/>
  <c r="C249" i="5"/>
  <c r="H249" i="5"/>
  <c r="F249" i="5"/>
  <c r="D249" i="5"/>
  <c r="A249" i="5"/>
  <c r="C108" i="6"/>
  <c r="B108" i="6"/>
  <c r="H108" i="6"/>
  <c r="A108" i="6"/>
  <c r="F108" i="6"/>
  <c r="D108" i="6"/>
  <c r="D140" i="6"/>
  <c r="E140" i="6"/>
  <c r="G29" i="4"/>
  <c r="H44" i="4"/>
  <c r="D52" i="4"/>
  <c r="C66" i="4"/>
  <c r="I75" i="4"/>
  <c r="I83" i="4"/>
  <c r="D99" i="4"/>
  <c r="I106" i="4"/>
  <c r="C111" i="4"/>
  <c r="F117" i="4"/>
  <c r="H123" i="4"/>
  <c r="B136" i="4"/>
  <c r="A147" i="4"/>
  <c r="C150" i="4"/>
  <c r="H196" i="4"/>
  <c r="C196" i="4"/>
  <c r="A196" i="4"/>
  <c r="I196" i="4"/>
  <c r="G196" i="4"/>
  <c r="E196" i="4"/>
  <c r="E201" i="4"/>
  <c r="F201" i="4"/>
  <c r="I201" i="4"/>
  <c r="H201" i="4"/>
  <c r="E14" i="5"/>
  <c r="F14" i="5"/>
  <c r="H14" i="5"/>
  <c r="E50" i="5"/>
  <c r="G50" i="5"/>
  <c r="F50" i="5"/>
  <c r="D89" i="5"/>
  <c r="H89" i="5"/>
  <c r="E89" i="5"/>
  <c r="A89" i="5"/>
  <c r="I155" i="5"/>
  <c r="G155" i="5"/>
  <c r="D155" i="5"/>
  <c r="B155" i="5"/>
  <c r="G221" i="5"/>
  <c r="C221" i="5"/>
  <c r="A9" i="6"/>
  <c r="E9" i="6"/>
  <c r="C36" i="6"/>
  <c r="B36" i="6"/>
  <c r="H36" i="6"/>
  <c r="F36" i="6"/>
  <c r="D36" i="6"/>
  <c r="A36" i="6"/>
  <c r="E99" i="4"/>
  <c r="D111" i="4"/>
  <c r="I112" i="4"/>
  <c r="H112" i="4"/>
  <c r="D136" i="4"/>
  <c r="F154" i="4"/>
  <c r="I154" i="4"/>
  <c r="H154" i="4"/>
  <c r="F178" i="4"/>
  <c r="I178" i="4"/>
  <c r="G178" i="4"/>
  <c r="C184" i="4"/>
  <c r="G8" i="5"/>
  <c r="D8" i="5"/>
  <c r="B8" i="5"/>
  <c r="A8" i="5"/>
  <c r="H8" i="5"/>
  <c r="F8" i="5"/>
  <c r="H21" i="5"/>
  <c r="G21" i="5"/>
  <c r="D21" i="5"/>
  <c r="C21" i="5"/>
  <c r="B21" i="5"/>
  <c r="F27" i="5"/>
  <c r="G27" i="5"/>
  <c r="D101" i="5"/>
  <c r="H101" i="5"/>
  <c r="E101" i="5"/>
  <c r="A101" i="5"/>
  <c r="I167" i="5"/>
  <c r="G167" i="5"/>
  <c r="D167" i="5"/>
  <c r="B167" i="5"/>
  <c r="A45" i="6"/>
  <c r="E45" i="6"/>
  <c r="G124" i="6"/>
  <c r="H124" i="6"/>
  <c r="F124" i="6"/>
  <c r="E124" i="6"/>
  <c r="E9" i="4"/>
  <c r="G52" i="4"/>
  <c r="G58" i="4"/>
  <c r="E66" i="4"/>
  <c r="C78" i="4"/>
  <c r="F93" i="4"/>
  <c r="F99" i="4"/>
  <c r="F111" i="4"/>
  <c r="H117" i="4"/>
  <c r="D126" i="4"/>
  <c r="E136" i="4"/>
  <c r="C147" i="4"/>
  <c r="F171" i="4"/>
  <c r="D171" i="4"/>
  <c r="C171" i="4"/>
  <c r="A171" i="4"/>
  <c r="I171" i="4"/>
  <c r="G179" i="4"/>
  <c r="I179" i="4"/>
  <c r="H179" i="4"/>
  <c r="C197" i="4"/>
  <c r="F202" i="4"/>
  <c r="H202" i="4"/>
  <c r="G202" i="4"/>
  <c r="C9" i="5"/>
  <c r="F15" i="5"/>
  <c r="H15" i="5"/>
  <c r="H28" i="5"/>
  <c r="H45" i="5"/>
  <c r="E45" i="5"/>
  <c r="B45" i="5"/>
  <c r="A45" i="5"/>
  <c r="B52" i="5"/>
  <c r="H52" i="5"/>
  <c r="G52" i="5"/>
  <c r="D52" i="5"/>
  <c r="C52" i="5"/>
  <c r="I70" i="5"/>
  <c r="F70" i="5"/>
  <c r="A70" i="5"/>
  <c r="E137" i="5"/>
  <c r="H137" i="5"/>
  <c r="A137" i="5"/>
  <c r="B146" i="5"/>
  <c r="E146" i="5"/>
  <c r="H58" i="4"/>
  <c r="F66" i="4"/>
  <c r="A76" i="4"/>
  <c r="G99" i="4"/>
  <c r="G111" i="4"/>
  <c r="I117" i="4"/>
  <c r="G136" i="4"/>
  <c r="F166" i="4"/>
  <c r="H166" i="4"/>
  <c r="G166" i="4"/>
  <c r="H184" i="4"/>
  <c r="I184" i="4"/>
  <c r="E184" i="4"/>
  <c r="D184" i="4"/>
  <c r="B184" i="4"/>
  <c r="A184" i="4"/>
  <c r="G16" i="5"/>
  <c r="H16" i="5"/>
  <c r="E62" i="5"/>
  <c r="B62" i="5"/>
  <c r="B158" i="5"/>
  <c r="E158" i="5"/>
  <c r="I191" i="5"/>
  <c r="G191" i="5"/>
  <c r="D191" i="5"/>
  <c r="B191" i="5"/>
  <c r="G241" i="5"/>
  <c r="H241" i="5"/>
  <c r="E241" i="5"/>
  <c r="G253" i="5"/>
  <c r="H253" i="5"/>
  <c r="E253" i="5"/>
  <c r="H20" i="6"/>
  <c r="D20" i="6"/>
  <c r="I78" i="6"/>
  <c r="H78" i="6"/>
  <c r="G78" i="6"/>
  <c r="B78" i="6"/>
  <c r="H79" i="7"/>
  <c r="A79" i="7"/>
  <c r="I79" i="7"/>
  <c r="F79" i="7"/>
  <c r="E79" i="7"/>
  <c r="C79" i="7"/>
  <c r="B76" i="4"/>
  <c r="I99" i="4"/>
  <c r="B150" i="4"/>
  <c r="G150" i="4"/>
  <c r="I155" i="4"/>
  <c r="A197" i="4"/>
  <c r="H197" i="4"/>
  <c r="E197" i="4"/>
  <c r="D197" i="4"/>
  <c r="B197" i="4"/>
  <c r="G203" i="4"/>
  <c r="I203" i="4"/>
  <c r="E9" i="5"/>
  <c r="D9" i="5"/>
  <c r="B9" i="5"/>
  <c r="A9" i="5"/>
  <c r="A22" i="5"/>
  <c r="E22" i="5"/>
  <c r="C22" i="5"/>
  <c r="B22" i="5"/>
  <c r="H22" i="5"/>
  <c r="B170" i="5"/>
  <c r="E170" i="5"/>
  <c r="C213" i="5"/>
  <c r="F213" i="5"/>
  <c r="E213" i="5"/>
  <c r="B213" i="5"/>
  <c r="A213" i="5"/>
  <c r="I213" i="5"/>
  <c r="H213" i="5"/>
  <c r="G213" i="5"/>
  <c r="A21" i="6"/>
  <c r="E21" i="6"/>
  <c r="I54" i="6"/>
  <c r="B54" i="6"/>
  <c r="H54" i="6"/>
  <c r="G54" i="6"/>
  <c r="A69" i="6"/>
  <c r="E69" i="6"/>
  <c r="G88" i="6"/>
  <c r="E88" i="6"/>
  <c r="H88" i="6"/>
  <c r="F88" i="6"/>
  <c r="A75" i="4"/>
  <c r="C76" i="4"/>
  <c r="C102" i="4"/>
  <c r="H111" i="4"/>
  <c r="E111" i="4"/>
  <c r="I136" i="4"/>
  <c r="C136" i="4"/>
  <c r="G167" i="4"/>
  <c r="I167" i="4"/>
  <c r="I82" i="5"/>
  <c r="F82" i="5"/>
  <c r="A82" i="5"/>
  <c r="I94" i="5"/>
  <c r="F94" i="5"/>
  <c r="A94" i="5"/>
  <c r="I203" i="5"/>
  <c r="G203" i="5"/>
  <c r="D203" i="5"/>
  <c r="B203" i="5"/>
  <c r="C225" i="5"/>
  <c r="I225" i="5"/>
  <c r="H225" i="5"/>
  <c r="E225" i="5"/>
  <c r="D225" i="5"/>
  <c r="B225" i="5"/>
  <c r="A225" i="5"/>
  <c r="I30" i="6"/>
  <c r="H30" i="6"/>
  <c r="G30" i="6"/>
  <c r="B30" i="6"/>
  <c r="H104" i="6"/>
  <c r="I104" i="6"/>
  <c r="D104" i="6"/>
  <c r="B75" i="4"/>
  <c r="D76" i="4"/>
  <c r="D102" i="4"/>
  <c r="F141" i="4"/>
  <c r="G143" i="4"/>
  <c r="H143" i="4"/>
  <c r="A160" i="4"/>
  <c r="B162" i="4"/>
  <c r="G162" i="4"/>
  <c r="F162" i="4"/>
  <c r="C162" i="4"/>
  <c r="F172" i="4"/>
  <c r="H172" i="4"/>
  <c r="E172" i="4"/>
  <c r="D172" i="4"/>
  <c r="B172" i="4"/>
  <c r="A172" i="4"/>
  <c r="E189" i="4"/>
  <c r="H189" i="4"/>
  <c r="G189" i="4"/>
  <c r="B195" i="4"/>
  <c r="B64" i="5"/>
  <c r="I64" i="5"/>
  <c r="H64" i="5"/>
  <c r="G64" i="5"/>
  <c r="D64" i="5"/>
  <c r="C64" i="5"/>
  <c r="I106" i="5"/>
  <c r="F106" i="5"/>
  <c r="A106" i="5"/>
  <c r="A121" i="5"/>
  <c r="D121" i="5"/>
  <c r="I121" i="5"/>
  <c r="F121" i="5"/>
  <c r="E161" i="5"/>
  <c r="H161" i="5"/>
  <c r="A161" i="5"/>
  <c r="B194" i="5"/>
  <c r="E194" i="5"/>
  <c r="D226" i="5"/>
  <c r="C226" i="5"/>
  <c r="H56" i="6"/>
  <c r="I56" i="6"/>
  <c r="D56" i="6"/>
  <c r="G64" i="6"/>
  <c r="H64" i="6"/>
  <c r="F64" i="6"/>
  <c r="E64" i="6"/>
  <c r="D40" i="5"/>
  <c r="D73" i="5"/>
  <c r="A12" i="6"/>
  <c r="H55" i="7"/>
  <c r="F55" i="7"/>
  <c r="E55" i="7"/>
  <c r="C55" i="7"/>
  <c r="A55" i="7"/>
  <c r="H64" i="7"/>
  <c r="I64" i="7"/>
  <c r="F64" i="7"/>
  <c r="C64" i="7"/>
  <c r="I77" i="7"/>
  <c r="D77" i="7"/>
  <c r="H40" i="8"/>
  <c r="D40" i="8"/>
  <c r="F64" i="8"/>
  <c r="H64" i="8"/>
  <c r="D64" i="8"/>
  <c r="D74" i="8"/>
  <c r="H74" i="8"/>
  <c r="G74" i="8"/>
  <c r="F74" i="8"/>
  <c r="E74" i="8"/>
  <c r="B74" i="8"/>
  <c r="A224" i="8"/>
  <c r="D224" i="8"/>
  <c r="B224" i="8"/>
  <c r="F40" i="5"/>
  <c r="E73" i="5"/>
  <c r="B12" i="6"/>
  <c r="E40" i="6"/>
  <c r="D68" i="6"/>
  <c r="G136" i="6"/>
  <c r="E136" i="6"/>
  <c r="D136" i="6"/>
  <c r="H148" i="6"/>
  <c r="D148" i="6"/>
  <c r="C148" i="6"/>
  <c r="F151" i="6"/>
  <c r="H151" i="6"/>
  <c r="G151" i="6"/>
  <c r="B10" i="7"/>
  <c r="H10" i="7"/>
  <c r="E10" i="7"/>
  <c r="D10" i="7"/>
  <c r="C10" i="7"/>
  <c r="A10" i="7"/>
  <c r="H31" i="7"/>
  <c r="F31" i="7"/>
  <c r="E31" i="7"/>
  <c r="C31" i="7"/>
  <c r="A31" i="7"/>
  <c r="H42" i="7"/>
  <c r="B42" i="7"/>
  <c r="B56" i="7"/>
  <c r="G56" i="7"/>
  <c r="D56" i="7"/>
  <c r="H11" i="8"/>
  <c r="F11" i="8"/>
  <c r="C11" i="8"/>
  <c r="C21" i="8"/>
  <c r="H21" i="8"/>
  <c r="E21" i="8"/>
  <c r="D21" i="8"/>
  <c r="E75" i="8"/>
  <c r="C75" i="8"/>
  <c r="H75" i="8"/>
  <c r="G75" i="8"/>
  <c r="F75" i="8"/>
  <c r="D110" i="8"/>
  <c r="G110" i="8"/>
  <c r="F110" i="8"/>
  <c r="E110" i="8"/>
  <c r="B110" i="8"/>
  <c r="H110" i="8"/>
  <c r="G159" i="4"/>
  <c r="E174" i="4"/>
  <c r="E185" i="4"/>
  <c r="G40" i="5"/>
  <c r="C60" i="5"/>
  <c r="F73" i="5"/>
  <c r="A197" i="5"/>
  <c r="B220" i="5"/>
  <c r="D233" i="5"/>
  <c r="D12" i="6"/>
  <c r="A60" i="6"/>
  <c r="I68" i="6"/>
  <c r="A84" i="6"/>
  <c r="A120" i="6"/>
  <c r="B132" i="6"/>
  <c r="H19" i="7"/>
  <c r="C19" i="7"/>
  <c r="F19" i="7"/>
  <c r="E19" i="7"/>
  <c r="A35" i="7"/>
  <c r="G35" i="7"/>
  <c r="I49" i="7"/>
  <c r="F49" i="7"/>
  <c r="B70" i="7"/>
  <c r="D70" i="7"/>
  <c r="A70" i="7"/>
  <c r="H70" i="7"/>
  <c r="G70" i="7"/>
  <c r="F70" i="7"/>
  <c r="E70" i="7"/>
  <c r="H100" i="7"/>
  <c r="I100" i="7"/>
  <c r="C100" i="7"/>
  <c r="B152" i="7"/>
  <c r="G152" i="7"/>
  <c r="D152" i="7"/>
  <c r="C49" i="8"/>
  <c r="H49" i="8"/>
  <c r="G49" i="8"/>
  <c r="F49" i="8"/>
  <c r="E49" i="8"/>
  <c r="D49" i="8"/>
  <c r="B49" i="8"/>
  <c r="A49" i="8"/>
  <c r="E111" i="8"/>
  <c r="H111" i="8"/>
  <c r="G111" i="8"/>
  <c r="C111" i="8"/>
  <c r="D122" i="8"/>
  <c r="F122" i="8"/>
  <c r="H122" i="8"/>
  <c r="G122" i="8"/>
  <c r="E122" i="8"/>
  <c r="B122" i="8"/>
  <c r="F150" i="8"/>
  <c r="B150" i="8"/>
  <c r="H150" i="8"/>
  <c r="H191" i="4"/>
  <c r="H40" i="5"/>
  <c r="C48" i="5"/>
  <c r="I73" i="5"/>
  <c r="H197" i="5"/>
  <c r="G220" i="5"/>
  <c r="D237" i="5"/>
  <c r="F12" i="6"/>
  <c r="G40" i="6"/>
  <c r="H40" i="6"/>
  <c r="B60" i="6"/>
  <c r="B84" i="6"/>
  <c r="B92" i="7"/>
  <c r="G92" i="7"/>
  <c r="D92" i="7"/>
  <c r="I101" i="7"/>
  <c r="D101" i="7"/>
  <c r="H112" i="7"/>
  <c r="I112" i="7"/>
  <c r="F112" i="7"/>
  <c r="C112" i="7"/>
  <c r="D50" i="8"/>
  <c r="H50" i="8"/>
  <c r="G50" i="8"/>
  <c r="F50" i="8"/>
  <c r="E50" i="8"/>
  <c r="B50" i="8"/>
  <c r="G93" i="8"/>
  <c r="D93" i="8"/>
  <c r="C93" i="8"/>
  <c r="B93" i="8"/>
  <c r="A93" i="8"/>
  <c r="H93" i="8"/>
  <c r="F112" i="8"/>
  <c r="D112" i="8"/>
  <c r="E123" i="8"/>
  <c r="G123" i="8"/>
  <c r="C123" i="8"/>
  <c r="H123" i="8"/>
  <c r="C190" i="8"/>
  <c r="H190" i="8"/>
  <c r="F190" i="8"/>
  <c r="B190" i="8"/>
  <c r="G190" i="8"/>
  <c r="D190" i="8"/>
  <c r="B66" i="5"/>
  <c r="B119" i="5"/>
  <c r="B179" i="5"/>
  <c r="D60" i="6"/>
  <c r="D84" i="6"/>
  <c r="F120" i="6"/>
  <c r="I126" i="6"/>
  <c r="B126" i="6"/>
  <c r="H126" i="6"/>
  <c r="F132" i="6"/>
  <c r="B138" i="6"/>
  <c r="G44" i="7"/>
  <c r="D44" i="7"/>
  <c r="B80" i="7"/>
  <c r="G80" i="7"/>
  <c r="D80" i="7"/>
  <c r="H88" i="7"/>
  <c r="I88" i="7"/>
  <c r="E51" i="8"/>
  <c r="H51" i="8"/>
  <c r="G51" i="8"/>
  <c r="F51" i="8"/>
  <c r="C51" i="8"/>
  <c r="G101" i="8"/>
  <c r="E101" i="8"/>
  <c r="E48" i="5"/>
  <c r="A61" i="5"/>
  <c r="F66" i="5"/>
  <c r="B71" i="5"/>
  <c r="B83" i="5"/>
  <c r="D119" i="5"/>
  <c r="D179" i="5"/>
  <c r="F60" i="6"/>
  <c r="F84" i="6"/>
  <c r="G90" i="6"/>
  <c r="G138" i="6"/>
  <c r="H146" i="6"/>
  <c r="I146" i="6"/>
  <c r="A8" i="7"/>
  <c r="I37" i="7"/>
  <c r="F37" i="7"/>
  <c r="C37" i="7"/>
  <c r="B58" i="7"/>
  <c r="F58" i="7"/>
  <c r="D58" i="7"/>
  <c r="C58" i="7"/>
  <c r="A58" i="7"/>
  <c r="I58" i="7"/>
  <c r="H58" i="7"/>
  <c r="G58" i="7"/>
  <c r="I89" i="7"/>
  <c r="D89" i="7"/>
  <c r="I113" i="7"/>
  <c r="D113" i="7"/>
  <c r="H124" i="7"/>
  <c r="I124" i="7"/>
  <c r="F124" i="7"/>
  <c r="C124" i="7"/>
  <c r="G13" i="8"/>
  <c r="H13" i="8"/>
  <c r="E13" i="8"/>
  <c r="D13" i="8"/>
  <c r="B13" i="8"/>
  <c r="E33" i="8"/>
  <c r="D33" i="8"/>
  <c r="C33" i="8"/>
  <c r="B33" i="8"/>
  <c r="A33" i="8"/>
  <c r="C61" i="8"/>
  <c r="A61" i="8"/>
  <c r="H61" i="8"/>
  <c r="G61" i="8"/>
  <c r="F61" i="8"/>
  <c r="E61" i="8"/>
  <c r="D61" i="8"/>
  <c r="B61" i="8"/>
  <c r="D61" i="5"/>
  <c r="G119" i="5"/>
  <c r="G179" i="5"/>
  <c r="G18" i="6"/>
  <c r="E28" i="6"/>
  <c r="D32" i="6"/>
  <c r="E52" i="6"/>
  <c r="H60" i="6"/>
  <c r="H84" i="6"/>
  <c r="B96" i="6"/>
  <c r="C120" i="6"/>
  <c r="B120" i="6"/>
  <c r="D128" i="6"/>
  <c r="C132" i="6"/>
  <c r="A132" i="6"/>
  <c r="H138" i="6"/>
  <c r="B147" i="6"/>
  <c r="F147" i="6"/>
  <c r="G154" i="6"/>
  <c r="H21" i="7"/>
  <c r="E21" i="7"/>
  <c r="F28" i="7"/>
  <c r="C28" i="7"/>
  <c r="H67" i="7"/>
  <c r="E67" i="7"/>
  <c r="A67" i="7"/>
  <c r="I67" i="7"/>
  <c r="F67" i="7"/>
  <c r="G82" i="7"/>
  <c r="H103" i="7"/>
  <c r="F103" i="7"/>
  <c r="E103" i="7"/>
  <c r="C103" i="7"/>
  <c r="A103" i="7"/>
  <c r="I125" i="7"/>
  <c r="D125" i="7"/>
  <c r="H136" i="7"/>
  <c r="F136" i="7"/>
  <c r="C136" i="7"/>
  <c r="I136" i="7"/>
  <c r="A14" i="8"/>
  <c r="F14" i="8"/>
  <c r="C14" i="8"/>
  <c r="B34" i="8"/>
  <c r="E34" i="8"/>
  <c r="D62" i="8"/>
  <c r="G62" i="8"/>
  <c r="F62" i="8"/>
  <c r="E62" i="8"/>
  <c r="B62" i="8"/>
  <c r="H62" i="8"/>
  <c r="D86" i="8"/>
  <c r="H86" i="8"/>
  <c r="G86" i="8"/>
  <c r="F86" i="8"/>
  <c r="E86" i="8"/>
  <c r="B86" i="8"/>
  <c r="G125" i="8"/>
  <c r="E125" i="8"/>
  <c r="F136" i="8"/>
  <c r="H136" i="8"/>
  <c r="B136" i="8"/>
  <c r="A136" i="8"/>
  <c r="A24" i="6"/>
  <c r="I32" i="6"/>
  <c r="I90" i="6"/>
  <c r="B90" i="6"/>
  <c r="A148" i="6"/>
  <c r="F8" i="7"/>
  <c r="G8" i="7"/>
  <c r="A22" i="7"/>
  <c r="G38" i="7"/>
  <c r="D38" i="7"/>
  <c r="B104" i="7"/>
  <c r="G104" i="7"/>
  <c r="D104" i="7"/>
  <c r="A115" i="7"/>
  <c r="C115" i="7"/>
  <c r="I115" i="7"/>
  <c r="F115" i="7"/>
  <c r="E115" i="7"/>
  <c r="I137" i="7"/>
  <c r="D137" i="7"/>
  <c r="H69" i="8"/>
  <c r="C69" i="8"/>
  <c r="B69" i="8"/>
  <c r="A69" i="8"/>
  <c r="D69" i="8"/>
  <c r="A159" i="4"/>
  <c r="D187" i="4"/>
  <c r="H33" i="5"/>
  <c r="D37" i="5"/>
  <c r="B46" i="5"/>
  <c r="C72" i="5"/>
  <c r="C84" i="5"/>
  <c r="F109" i="5"/>
  <c r="E234" i="5"/>
  <c r="B24" i="6"/>
  <c r="E112" i="6"/>
  <c r="B148" i="6"/>
  <c r="I154" i="6"/>
  <c r="D154" i="6"/>
  <c r="G29" i="7"/>
  <c r="D29" i="7"/>
  <c r="A29" i="7"/>
  <c r="E39" i="7"/>
  <c r="H39" i="7"/>
  <c r="H52" i="7"/>
  <c r="F52" i="7"/>
  <c r="I52" i="7"/>
  <c r="B82" i="7"/>
  <c r="A82" i="7"/>
  <c r="I82" i="7"/>
  <c r="F82" i="7"/>
  <c r="E82" i="7"/>
  <c r="D82" i="7"/>
  <c r="C82" i="7"/>
  <c r="A127" i="7"/>
  <c r="I127" i="7"/>
  <c r="F127" i="7"/>
  <c r="E127" i="7"/>
  <c r="C127" i="7"/>
  <c r="C25" i="8"/>
  <c r="H25" i="8"/>
  <c r="G25" i="8"/>
  <c r="F25" i="8"/>
  <c r="E25" i="8"/>
  <c r="D25" i="8"/>
  <c r="B25" i="8"/>
  <c r="A25" i="8"/>
  <c r="D98" i="8"/>
  <c r="G98" i="8"/>
  <c r="F98" i="8"/>
  <c r="E98" i="8"/>
  <c r="B98" i="8"/>
  <c r="H98" i="8"/>
  <c r="G105" i="8"/>
  <c r="D105" i="8"/>
  <c r="C105" i="8"/>
  <c r="B105" i="8"/>
  <c r="A105" i="8"/>
  <c r="H105" i="8"/>
  <c r="H138" i="8"/>
  <c r="G138" i="8"/>
  <c r="B138" i="8"/>
  <c r="E187" i="4"/>
  <c r="E37" i="5"/>
  <c r="C46" i="5"/>
  <c r="I109" i="5"/>
  <c r="D24" i="6"/>
  <c r="B48" i="6"/>
  <c r="E129" i="6"/>
  <c r="E148" i="6"/>
  <c r="B22" i="7"/>
  <c r="D22" i="7"/>
  <c r="H22" i="7"/>
  <c r="G22" i="7"/>
  <c r="F22" i="7"/>
  <c r="E22" i="7"/>
  <c r="H40" i="7"/>
  <c r="C40" i="7"/>
  <c r="I40" i="7"/>
  <c r="F40" i="7"/>
  <c r="B116" i="7"/>
  <c r="G116" i="7"/>
  <c r="B128" i="7"/>
  <c r="G128" i="7"/>
  <c r="D128" i="7"/>
  <c r="A139" i="7"/>
  <c r="I139" i="7"/>
  <c r="F139" i="7"/>
  <c r="E139" i="7"/>
  <c r="C139" i="7"/>
  <c r="C37" i="8"/>
  <c r="H37" i="8"/>
  <c r="G37" i="8"/>
  <c r="F37" i="8"/>
  <c r="E37" i="8"/>
  <c r="D37" i="8"/>
  <c r="B37" i="8"/>
  <c r="A37" i="8"/>
  <c r="F88" i="8"/>
  <c r="H88" i="8"/>
  <c r="D88" i="8"/>
  <c r="G117" i="8"/>
  <c r="C117" i="8"/>
  <c r="H117" i="8"/>
  <c r="D117" i="8"/>
  <c r="B117" i="8"/>
  <c r="A117" i="8"/>
  <c r="B143" i="5"/>
  <c r="A149" i="5"/>
  <c r="F24" i="6"/>
  <c r="D48" i="6"/>
  <c r="G76" i="6"/>
  <c r="H76" i="6"/>
  <c r="C96" i="6"/>
  <c r="A96" i="6"/>
  <c r="G112" i="6"/>
  <c r="H112" i="6"/>
  <c r="F148" i="6"/>
  <c r="A41" i="7"/>
  <c r="B46" i="7"/>
  <c r="I46" i="7"/>
  <c r="H46" i="7"/>
  <c r="E46" i="7"/>
  <c r="D46" i="7"/>
  <c r="C46" i="7"/>
  <c r="A46" i="7"/>
  <c r="H76" i="7"/>
  <c r="F76" i="7"/>
  <c r="C76" i="7"/>
  <c r="B140" i="7"/>
  <c r="G140" i="7"/>
  <c r="D140" i="7"/>
  <c r="D162" i="8"/>
  <c r="C162" i="8"/>
  <c r="B162" i="8"/>
  <c r="H162" i="8"/>
  <c r="B185" i="4"/>
  <c r="G187" i="4"/>
  <c r="H190" i="4"/>
  <c r="A73" i="5"/>
  <c r="A125" i="5"/>
  <c r="D143" i="5"/>
  <c r="H149" i="5"/>
  <c r="E182" i="5"/>
  <c r="H24" i="6"/>
  <c r="F48" i="6"/>
  <c r="H102" i="6"/>
  <c r="F136" i="6"/>
  <c r="G148" i="6"/>
  <c r="A151" i="6"/>
  <c r="A156" i="6"/>
  <c r="F10" i="7"/>
  <c r="D41" i="7"/>
  <c r="D47" i="7"/>
  <c r="I55" i="7"/>
  <c r="C73" i="8"/>
  <c r="F73" i="8"/>
  <c r="E73" i="8"/>
  <c r="D73" i="8"/>
  <c r="B73" i="8"/>
  <c r="A73" i="8"/>
  <c r="H73" i="8"/>
  <c r="G73" i="8"/>
  <c r="D140" i="8"/>
  <c r="B140" i="8"/>
  <c r="A140" i="8"/>
  <c r="C178" i="8"/>
  <c r="H178" i="8"/>
  <c r="G178" i="8"/>
  <c r="B178" i="8"/>
  <c r="F178" i="8"/>
  <c r="D178" i="8"/>
  <c r="H24" i="8"/>
  <c r="C26" i="8"/>
  <c r="A32" i="8"/>
  <c r="D48" i="8"/>
  <c r="B57" i="8"/>
  <c r="A129" i="8"/>
  <c r="E132" i="8"/>
  <c r="D154" i="8"/>
  <c r="D166" i="8"/>
  <c r="A177" i="8"/>
  <c r="E189" i="8"/>
  <c r="C189" i="8"/>
  <c r="H194" i="8"/>
  <c r="F194" i="8"/>
  <c r="B202" i="8"/>
  <c r="C214" i="8"/>
  <c r="D214" i="8"/>
  <c r="B214" i="8"/>
  <c r="G214" i="8"/>
  <c r="G302" i="8"/>
  <c r="H302" i="8"/>
  <c r="F402" i="8"/>
  <c r="C402" i="8"/>
  <c r="A402" i="8"/>
  <c r="H501" i="8"/>
  <c r="D501" i="8"/>
  <c r="C501" i="8"/>
  <c r="B501" i="8"/>
  <c r="A501" i="8"/>
  <c r="G501" i="8"/>
  <c r="F501" i="8"/>
  <c r="E501" i="8"/>
  <c r="F518" i="8"/>
  <c r="H518" i="8"/>
  <c r="G518" i="8"/>
  <c r="E518" i="8"/>
  <c r="B518" i="8"/>
  <c r="E34" i="7"/>
  <c r="C151" i="7"/>
  <c r="E26" i="8"/>
  <c r="G32" i="8"/>
  <c r="E48" i="8"/>
  <c r="C57" i="8"/>
  <c r="C87" i="8"/>
  <c r="B129" i="8"/>
  <c r="F132" i="8"/>
  <c r="A151" i="8"/>
  <c r="F154" i="8"/>
  <c r="G166" i="8"/>
  <c r="F172" i="8"/>
  <c r="C177" i="8"/>
  <c r="F202" i="8"/>
  <c r="G215" i="8"/>
  <c r="E276" i="8"/>
  <c r="H276" i="8"/>
  <c r="F276" i="8"/>
  <c r="B286" i="8"/>
  <c r="H360" i="8"/>
  <c r="F360" i="8"/>
  <c r="B360" i="8"/>
  <c r="A384" i="8"/>
  <c r="E384" i="8"/>
  <c r="B502" i="8"/>
  <c r="D502" i="8"/>
  <c r="C502" i="8"/>
  <c r="F554" i="8"/>
  <c r="H554" i="8"/>
  <c r="G554" i="8"/>
  <c r="D554" i="8"/>
  <c r="C148" i="7"/>
  <c r="E151" i="7"/>
  <c r="A12" i="8"/>
  <c r="H26" i="8"/>
  <c r="H32" i="8"/>
  <c r="D57" i="8"/>
  <c r="F87" i="8"/>
  <c r="C129" i="8"/>
  <c r="G132" i="8"/>
  <c r="A143" i="8"/>
  <c r="G147" i="8"/>
  <c r="G151" i="8"/>
  <c r="G154" i="8"/>
  <c r="A160" i="8"/>
  <c r="H182" i="8"/>
  <c r="F182" i="8"/>
  <c r="C238" i="8"/>
  <c r="H238" i="8"/>
  <c r="G238" i="8"/>
  <c r="F238" i="8"/>
  <c r="D238" i="8"/>
  <c r="E252" i="8"/>
  <c r="D252" i="8"/>
  <c r="H252" i="8"/>
  <c r="A260" i="8"/>
  <c r="D260" i="8"/>
  <c r="B260" i="8"/>
  <c r="B385" i="8"/>
  <c r="G385" i="8"/>
  <c r="F385" i="8"/>
  <c r="D385" i="8"/>
  <c r="C385" i="8"/>
  <c r="A385" i="8"/>
  <c r="G544" i="8"/>
  <c r="H544" i="8"/>
  <c r="F148" i="7"/>
  <c r="F151" i="7"/>
  <c r="H57" i="8"/>
  <c r="G87" i="8"/>
  <c r="D124" i="8"/>
  <c r="D129" i="8"/>
  <c r="H132" i="8"/>
  <c r="C143" i="8"/>
  <c r="H147" i="8"/>
  <c r="H154" i="8"/>
  <c r="B160" i="8"/>
  <c r="C166" i="8"/>
  <c r="F166" i="8"/>
  <c r="G177" i="8"/>
  <c r="E177" i="8"/>
  <c r="C202" i="8"/>
  <c r="G202" i="8"/>
  <c r="D202" i="8"/>
  <c r="E216" i="8"/>
  <c r="H216" i="8"/>
  <c r="F216" i="8"/>
  <c r="D216" i="8"/>
  <c r="A248" i="8"/>
  <c r="D248" i="8"/>
  <c r="B248" i="8"/>
  <c r="G278" i="8"/>
  <c r="H278" i="8"/>
  <c r="C286" i="8"/>
  <c r="H286" i="8"/>
  <c r="G286" i="8"/>
  <c r="D286" i="8"/>
  <c r="H314" i="8"/>
  <c r="G314" i="8"/>
  <c r="F314" i="8"/>
  <c r="D314" i="8"/>
  <c r="B314" i="8"/>
  <c r="A314" i="8"/>
  <c r="F328" i="8"/>
  <c r="H328" i="8"/>
  <c r="D328" i="8"/>
  <c r="B426" i="8"/>
  <c r="C426" i="8"/>
  <c r="H453" i="8"/>
  <c r="F453" i="8"/>
  <c r="D453" i="8"/>
  <c r="B453" i="8"/>
  <c r="A453" i="8"/>
  <c r="H460" i="8"/>
  <c r="D460" i="8"/>
  <c r="D480" i="8"/>
  <c r="H480" i="8"/>
  <c r="G480" i="8"/>
  <c r="F480" i="8"/>
  <c r="E480" i="8"/>
  <c r="C480" i="8"/>
  <c r="D504" i="8"/>
  <c r="C504" i="8"/>
  <c r="H504" i="8"/>
  <c r="G504" i="8"/>
  <c r="F504" i="8"/>
  <c r="E504" i="8"/>
  <c r="H513" i="8"/>
  <c r="E513" i="8"/>
  <c r="D513" i="8"/>
  <c r="C513" i="8"/>
  <c r="B513" i="8"/>
  <c r="A513" i="8"/>
  <c r="G513" i="8"/>
  <c r="F513" i="8"/>
  <c r="F566" i="8"/>
  <c r="H566" i="8"/>
  <c r="G566" i="8"/>
  <c r="D566" i="8"/>
  <c r="A595" i="8"/>
  <c r="B595" i="8"/>
  <c r="I148" i="7"/>
  <c r="I151" i="7"/>
  <c r="H87" i="8"/>
  <c r="H129" i="8"/>
  <c r="A141" i="8"/>
  <c r="E240" i="8"/>
  <c r="H240" i="8"/>
  <c r="F240" i="8"/>
  <c r="D240" i="8"/>
  <c r="F253" i="8"/>
  <c r="G253" i="8"/>
  <c r="E253" i="8"/>
  <c r="B262" i="8"/>
  <c r="H344" i="8"/>
  <c r="F344" i="8"/>
  <c r="D344" i="8"/>
  <c r="F377" i="8"/>
  <c r="G377" i="8"/>
  <c r="D377" i="8"/>
  <c r="F444" i="8"/>
  <c r="G444" i="8"/>
  <c r="F454" i="8"/>
  <c r="E454" i="8"/>
  <c r="D454" i="8"/>
  <c r="C454" i="8"/>
  <c r="B454" i="8"/>
  <c r="A454" i="8"/>
  <c r="H454" i="8"/>
  <c r="G454" i="8"/>
  <c r="E505" i="8"/>
  <c r="G505" i="8"/>
  <c r="F505" i="8"/>
  <c r="D505" i="8"/>
  <c r="A505" i="8"/>
  <c r="C141" i="8"/>
  <c r="E191" i="8"/>
  <c r="G191" i="8"/>
  <c r="C191" i="8"/>
  <c r="F217" i="8"/>
  <c r="E217" i="8"/>
  <c r="E288" i="8"/>
  <c r="H288" i="8"/>
  <c r="F288" i="8"/>
  <c r="D288" i="8"/>
  <c r="A296" i="8"/>
  <c r="B296" i="8"/>
  <c r="F506" i="8"/>
  <c r="H506" i="8"/>
  <c r="G506" i="8"/>
  <c r="E506" i="8"/>
  <c r="B506" i="8"/>
  <c r="F578" i="8"/>
  <c r="D578" i="8"/>
  <c r="H578" i="8"/>
  <c r="G578" i="8"/>
  <c r="H45" i="8"/>
  <c r="H63" i="8"/>
  <c r="H76" i="8"/>
  <c r="B81" i="8"/>
  <c r="H99" i="8"/>
  <c r="B134" i="8"/>
  <c r="E141" i="8"/>
  <c r="D144" i="8"/>
  <c r="F148" i="8"/>
  <c r="H152" i="8"/>
  <c r="C155" i="8"/>
  <c r="F164" i="8"/>
  <c r="H174" i="8"/>
  <c r="D174" i="8"/>
  <c r="G254" i="8"/>
  <c r="H254" i="8"/>
  <c r="C262" i="8"/>
  <c r="H262" i="8"/>
  <c r="G262" i="8"/>
  <c r="D262" i="8"/>
  <c r="H322" i="8"/>
  <c r="C322" i="8"/>
  <c r="B322" i="8"/>
  <c r="F322" i="8"/>
  <c r="F346" i="8"/>
  <c r="H346" i="8"/>
  <c r="A149" i="7"/>
  <c r="H9" i="8"/>
  <c r="F9" i="8"/>
  <c r="C81" i="8"/>
  <c r="C134" i="8"/>
  <c r="F141" i="8"/>
  <c r="E144" i="8"/>
  <c r="E192" i="8"/>
  <c r="D192" i="8"/>
  <c r="H192" i="8"/>
  <c r="B200" i="8"/>
  <c r="E204" i="8"/>
  <c r="F204" i="8"/>
  <c r="D204" i="8"/>
  <c r="A212" i="8"/>
  <c r="B212" i="8"/>
  <c r="F226" i="8"/>
  <c r="H290" i="8"/>
  <c r="C298" i="8"/>
  <c r="H298" i="8"/>
  <c r="G298" i="8"/>
  <c r="F298" i="8"/>
  <c r="D298" i="8"/>
  <c r="B298" i="8"/>
  <c r="H308" i="8"/>
  <c r="G308" i="8"/>
  <c r="E308" i="8"/>
  <c r="B308" i="8"/>
  <c r="H332" i="8"/>
  <c r="F332" i="8"/>
  <c r="D332" i="8"/>
  <c r="B332" i="8"/>
  <c r="C370" i="8"/>
  <c r="F370" i="8"/>
  <c r="D370" i="8"/>
  <c r="A408" i="8"/>
  <c r="E408" i="8"/>
  <c r="D408" i="8"/>
  <c r="C408" i="8"/>
  <c r="B408" i="8"/>
  <c r="H408" i="8"/>
  <c r="G408" i="8"/>
  <c r="F408" i="8"/>
  <c r="F430" i="8"/>
  <c r="G430" i="8"/>
  <c r="D490" i="8"/>
  <c r="C490" i="8"/>
  <c r="C538" i="8"/>
  <c r="H538" i="8"/>
  <c r="F538" i="8"/>
  <c r="A538" i="8"/>
  <c r="B644" i="8"/>
  <c r="F644" i="8"/>
  <c r="D644" i="8"/>
  <c r="D149" i="7"/>
  <c r="C24" i="8"/>
  <c r="D81" i="8"/>
  <c r="G134" i="8"/>
  <c r="F144" i="8"/>
  <c r="A175" i="8"/>
  <c r="D200" i="8"/>
  <c r="E264" i="8"/>
  <c r="H264" i="8"/>
  <c r="F264" i="8"/>
  <c r="D264" i="8"/>
  <c r="A272" i="8"/>
  <c r="B272" i="8"/>
  <c r="G409" i="8"/>
  <c r="H409" i="8"/>
  <c r="A409" i="8"/>
  <c r="H465" i="8"/>
  <c r="D465" i="8"/>
  <c r="C465" i="8"/>
  <c r="B465" i="8"/>
  <c r="A465" i="8"/>
  <c r="G465" i="8"/>
  <c r="F465" i="8"/>
  <c r="E465" i="8"/>
  <c r="H530" i="8"/>
  <c r="A530" i="8"/>
  <c r="F530" i="8"/>
  <c r="C530" i="8"/>
  <c r="D550" i="8"/>
  <c r="C550" i="8"/>
  <c r="G149" i="7"/>
  <c r="E77" i="8"/>
  <c r="H81" i="8"/>
  <c r="D100" i="8"/>
  <c r="A132" i="8"/>
  <c r="H134" i="8"/>
  <c r="C165" i="8"/>
  <c r="F205" i="8"/>
  <c r="E205" i="8"/>
  <c r="C226" i="8"/>
  <c r="D226" i="8"/>
  <c r="B226" i="8"/>
  <c r="G226" i="8"/>
  <c r="H334" i="8"/>
  <c r="F334" i="8"/>
  <c r="D334" i="8"/>
  <c r="C334" i="8"/>
  <c r="E392" i="8"/>
  <c r="H392" i="8"/>
  <c r="G392" i="8"/>
  <c r="A392" i="8"/>
  <c r="H432" i="8"/>
  <c r="G432" i="8"/>
  <c r="F432" i="8"/>
  <c r="D432" i="8"/>
  <c r="C432" i="8"/>
  <c r="B432" i="8"/>
  <c r="G466" i="8"/>
  <c r="F466" i="8"/>
  <c r="E466" i="8"/>
  <c r="D466" i="8"/>
  <c r="C466" i="8"/>
  <c r="B466" i="8"/>
  <c r="A466" i="8"/>
  <c r="G475" i="8"/>
  <c r="A475" i="8"/>
  <c r="G499" i="8"/>
  <c r="A499" i="8"/>
  <c r="B516" i="8"/>
  <c r="D516" i="8"/>
  <c r="C516" i="8"/>
  <c r="H516" i="8"/>
  <c r="G516" i="8"/>
  <c r="F516" i="8"/>
  <c r="E516" i="8"/>
  <c r="G531" i="8"/>
  <c r="A531" i="8"/>
  <c r="C132" i="8"/>
  <c r="H180" i="8"/>
  <c r="D180" i="8"/>
  <c r="F193" i="8"/>
  <c r="G193" i="8"/>
  <c r="F214" i="8"/>
  <c r="E227" i="8"/>
  <c r="G227" i="8"/>
  <c r="C274" i="8"/>
  <c r="H274" i="8"/>
  <c r="G274" i="8"/>
  <c r="F274" i="8"/>
  <c r="D274" i="8"/>
  <c r="B274" i="8"/>
  <c r="E300" i="8"/>
  <c r="H300" i="8"/>
  <c r="F300" i="8"/>
  <c r="H318" i="8"/>
  <c r="F318" i="8"/>
  <c r="D492" i="8"/>
  <c r="H492" i="8"/>
  <c r="G492" i="8"/>
  <c r="F492" i="8"/>
  <c r="E492" i="8"/>
  <c r="C492" i="8"/>
  <c r="A532" i="8"/>
  <c r="F532" i="8"/>
  <c r="D532" i="8"/>
  <c r="C532" i="8"/>
  <c r="B532" i="8"/>
  <c r="H12" i="7"/>
  <c r="C34" i="7"/>
  <c r="F24" i="8"/>
  <c r="A26" i="8"/>
  <c r="A57" i="8"/>
  <c r="E89" i="8"/>
  <c r="E113" i="8"/>
  <c r="D132" i="8"/>
  <c r="D142" i="8"/>
  <c r="B166" i="8"/>
  <c r="F176" i="8"/>
  <c r="E176" i="8"/>
  <c r="G181" i="8"/>
  <c r="A188" i="8"/>
  <c r="D188" i="8"/>
  <c r="H214" i="8"/>
  <c r="A236" i="8"/>
  <c r="B236" i="8"/>
  <c r="A284" i="8"/>
  <c r="D284" i="8"/>
  <c r="B284" i="8"/>
  <c r="H336" i="8"/>
  <c r="F336" i="8"/>
  <c r="E336" i="8"/>
  <c r="B336" i="8"/>
  <c r="A382" i="8"/>
  <c r="G382" i="8"/>
  <c r="D382" i="8"/>
  <c r="B382" i="8"/>
  <c r="H394" i="8"/>
  <c r="G394" i="8"/>
  <c r="D394" i="8"/>
  <c r="B394" i="8"/>
  <c r="A394" i="8"/>
  <c r="H412" i="8"/>
  <c r="G412" i="8"/>
  <c r="D412" i="8"/>
  <c r="B468" i="8"/>
  <c r="H468" i="8"/>
  <c r="G468" i="8"/>
  <c r="F468" i="8"/>
  <c r="E468" i="8"/>
  <c r="D468" i="8"/>
  <c r="C468" i="8"/>
  <c r="H477" i="8"/>
  <c r="G477" i="8"/>
  <c r="F477" i="8"/>
  <c r="E477" i="8"/>
  <c r="D477" i="8"/>
  <c r="C477" i="8"/>
  <c r="B477" i="8"/>
  <c r="A477" i="8"/>
  <c r="E493" i="8"/>
  <c r="G493" i="8"/>
  <c r="F493" i="8"/>
  <c r="D493" i="8"/>
  <c r="A493" i="8"/>
  <c r="G511" i="8"/>
  <c r="A511" i="8"/>
  <c r="D563" i="8"/>
  <c r="E563" i="8"/>
  <c r="B315" i="8"/>
  <c r="H338" i="8"/>
  <c r="G349" i="8"/>
  <c r="B396" i="8"/>
  <c r="F420" i="8"/>
  <c r="B443" i="8"/>
  <c r="G481" i="8"/>
  <c r="C489" i="8"/>
  <c r="H542" i="8"/>
  <c r="A584" i="8"/>
  <c r="B584" i="8"/>
  <c r="F616" i="8"/>
  <c r="H642" i="8"/>
  <c r="B642" i="8"/>
  <c r="F706" i="8"/>
  <c r="B706" i="8"/>
  <c r="H820" i="8"/>
  <c r="F820" i="8"/>
  <c r="C820" i="8"/>
  <c r="B820" i="8"/>
  <c r="G988" i="8"/>
  <c r="I988" i="8"/>
  <c r="H988" i="8"/>
  <c r="E988" i="8"/>
  <c r="B988" i="8"/>
  <c r="A988" i="8"/>
  <c r="I57" i="9"/>
  <c r="D57" i="9"/>
  <c r="B96" i="9"/>
  <c r="H96" i="9"/>
  <c r="G96" i="9"/>
  <c r="D96" i="9"/>
  <c r="I602" i="8"/>
  <c r="E602" i="8"/>
  <c r="B602" i="8"/>
  <c r="I690" i="8"/>
  <c r="H690" i="8"/>
  <c r="D690" i="8"/>
  <c r="B690" i="8"/>
  <c r="H754" i="8"/>
  <c r="E754" i="8"/>
  <c r="D754" i="8"/>
  <c r="C754" i="8"/>
  <c r="I776" i="8"/>
  <c r="H776" i="8"/>
  <c r="F776" i="8"/>
  <c r="B776" i="8"/>
  <c r="A776" i="8"/>
  <c r="G909" i="8"/>
  <c r="H909" i="8"/>
  <c r="C909" i="8"/>
  <c r="A989" i="8"/>
  <c r="I989" i="8"/>
  <c r="C989" i="8"/>
  <c r="B989" i="8"/>
  <c r="H80" i="9"/>
  <c r="I80" i="9"/>
  <c r="C80" i="9"/>
  <c r="H315" i="8"/>
  <c r="B320" i="8"/>
  <c r="D393" i="8"/>
  <c r="D396" i="8"/>
  <c r="C405" i="8"/>
  <c r="H420" i="8"/>
  <c r="E443" i="8"/>
  <c r="D457" i="8"/>
  <c r="F467" i="8"/>
  <c r="E489" i="8"/>
  <c r="B494" i="8"/>
  <c r="A548" i="8"/>
  <c r="C553" i="8"/>
  <c r="F598" i="8"/>
  <c r="I609" i="8"/>
  <c r="G609" i="8"/>
  <c r="E609" i="8"/>
  <c r="D616" i="8"/>
  <c r="B616" i="8"/>
  <c r="G616" i="8"/>
  <c r="H650" i="8"/>
  <c r="A708" i="8"/>
  <c r="H708" i="8"/>
  <c r="D708" i="8"/>
  <c r="C708" i="8"/>
  <c r="B708" i="8"/>
  <c r="I814" i="8"/>
  <c r="F814" i="8"/>
  <c r="D814" i="8"/>
  <c r="B814" i="8"/>
  <c r="B883" i="8"/>
  <c r="H883" i="8"/>
  <c r="G883" i="8"/>
  <c r="F883" i="8"/>
  <c r="E883" i="8"/>
  <c r="D883" i="8"/>
  <c r="C883" i="8"/>
  <c r="A883" i="8"/>
  <c r="I941" i="8"/>
  <c r="E941" i="8"/>
  <c r="C941" i="8"/>
  <c r="A59" i="9"/>
  <c r="H59" i="9"/>
  <c r="G59" i="9"/>
  <c r="F59" i="9"/>
  <c r="E59" i="9"/>
  <c r="C59" i="9"/>
  <c r="I69" i="9"/>
  <c r="D69" i="9"/>
  <c r="I81" i="9"/>
  <c r="D81" i="9"/>
  <c r="C339" i="8"/>
  <c r="E396" i="8"/>
  <c r="D405" i="8"/>
  <c r="G443" i="8"/>
  <c r="F457" i="8"/>
  <c r="G470" i="8"/>
  <c r="B482" i="8"/>
  <c r="A487" i="8"/>
  <c r="F489" i="8"/>
  <c r="C527" i="8"/>
  <c r="B541" i="8"/>
  <c r="C543" i="8"/>
  <c r="G548" i="8"/>
  <c r="F553" i="8"/>
  <c r="B604" i="8"/>
  <c r="H682" i="8"/>
  <c r="E682" i="8"/>
  <c r="B682" i="8"/>
  <c r="E806" i="8"/>
  <c r="H806" i="8"/>
  <c r="G806" i="8"/>
  <c r="F806" i="8"/>
  <c r="D806" i="8"/>
  <c r="B806" i="8"/>
  <c r="C316" i="8"/>
  <c r="G320" i="8"/>
  <c r="E351" i="8"/>
  <c r="D362" i="8"/>
  <c r="B381" i="8"/>
  <c r="F396" i="8"/>
  <c r="C434" i="8"/>
  <c r="B440" i="8"/>
  <c r="H443" i="8"/>
  <c r="H451" i="8"/>
  <c r="B455" i="8"/>
  <c r="H470" i="8"/>
  <c r="G489" i="8"/>
  <c r="C541" i="8"/>
  <c r="H543" i="8"/>
  <c r="B572" i="8"/>
  <c r="C598" i="8"/>
  <c r="D598" i="8"/>
  <c r="H638" i="8"/>
  <c r="F638" i="8"/>
  <c r="I658" i="8"/>
  <c r="H658" i="8"/>
  <c r="F658" i="8"/>
  <c r="D658" i="8"/>
  <c r="B658" i="8"/>
  <c r="I765" i="8"/>
  <c r="G765" i="8"/>
  <c r="E765" i="8"/>
  <c r="C765" i="8"/>
  <c r="B765" i="8"/>
  <c r="A765" i="8"/>
  <c r="F816" i="8"/>
  <c r="H816" i="8"/>
  <c r="D816" i="8"/>
  <c r="C816" i="8"/>
  <c r="C830" i="8"/>
  <c r="H830" i="8"/>
  <c r="F830" i="8"/>
  <c r="E830" i="8"/>
  <c r="D842" i="8"/>
  <c r="H842" i="8"/>
  <c r="E842" i="8"/>
  <c r="C842" i="8"/>
  <c r="B842" i="8"/>
  <c r="G868" i="8"/>
  <c r="H868" i="8"/>
  <c r="A868" i="8"/>
  <c r="I868" i="8"/>
  <c r="E927" i="8"/>
  <c r="H927" i="8"/>
  <c r="G927" i="8"/>
  <c r="F927" i="8"/>
  <c r="D927" i="8"/>
  <c r="C927" i="8"/>
  <c r="B927" i="8"/>
  <c r="B966" i="8"/>
  <c r="D966" i="8"/>
  <c r="C966" i="8"/>
  <c r="H362" i="8"/>
  <c r="G396" i="8"/>
  <c r="A525" i="8"/>
  <c r="H604" i="8"/>
  <c r="G604" i="8"/>
  <c r="I611" i="8"/>
  <c r="C611" i="8"/>
  <c r="B611" i="8"/>
  <c r="H652" i="8"/>
  <c r="B652" i="8"/>
  <c r="H684" i="8"/>
  <c r="G684" i="8"/>
  <c r="F684" i="8"/>
  <c r="D684" i="8"/>
  <c r="C684" i="8"/>
  <c r="D694" i="8"/>
  <c r="H694" i="8"/>
  <c r="F694" i="8"/>
  <c r="B694" i="8"/>
  <c r="D919" i="8"/>
  <c r="H919" i="8"/>
  <c r="G919" i="8"/>
  <c r="F919" i="8"/>
  <c r="E919" i="8"/>
  <c r="C919" i="8"/>
  <c r="A919" i="8"/>
  <c r="F928" i="8"/>
  <c r="H928" i="8"/>
  <c r="G928" i="8"/>
  <c r="B928" i="8"/>
  <c r="I928" i="8"/>
  <c r="C61" i="9"/>
  <c r="B61" i="9"/>
  <c r="H61" i="9"/>
  <c r="E61" i="9"/>
  <c r="F455" i="8"/>
  <c r="A517" i="8"/>
  <c r="B525" i="8"/>
  <c r="A542" i="8"/>
  <c r="H832" i="8"/>
  <c r="E832" i="8"/>
  <c r="D832" i="8"/>
  <c r="A73" i="9"/>
  <c r="B73" i="9"/>
  <c r="I73" i="9"/>
  <c r="H73" i="9"/>
  <c r="G73" i="9"/>
  <c r="E73" i="9"/>
  <c r="D73" i="9"/>
  <c r="C73" i="9"/>
  <c r="G203" i="8"/>
  <c r="F228" i="8"/>
  <c r="C325" i="8"/>
  <c r="D340" i="8"/>
  <c r="E343" i="8"/>
  <c r="B348" i="8"/>
  <c r="C397" i="8"/>
  <c r="A452" i="8"/>
  <c r="G455" i="8"/>
  <c r="F471" i="8"/>
  <c r="C483" i="8"/>
  <c r="A488" i="8"/>
  <c r="D517" i="8"/>
  <c r="C525" i="8"/>
  <c r="C542" i="8"/>
  <c r="G594" i="8"/>
  <c r="C594" i="8"/>
  <c r="D606" i="8"/>
  <c r="H612" i="8"/>
  <c r="D612" i="8"/>
  <c r="A720" i="8"/>
  <c r="H720" i="8"/>
  <c r="D720" i="8"/>
  <c r="C720" i="8"/>
  <c r="B720" i="8"/>
  <c r="G749" i="8"/>
  <c r="I749" i="8"/>
  <c r="F749" i="8"/>
  <c r="C749" i="8"/>
  <c r="B749" i="8"/>
  <c r="A749" i="8"/>
  <c r="I808" i="8"/>
  <c r="C808" i="8"/>
  <c r="E936" i="8"/>
  <c r="D936" i="8"/>
  <c r="C936" i="8"/>
  <c r="A936" i="8"/>
  <c r="I936" i="8"/>
  <c r="H936" i="8"/>
  <c r="F936" i="8"/>
  <c r="I952" i="8"/>
  <c r="H952" i="8"/>
  <c r="G952" i="8"/>
  <c r="E952" i="8"/>
  <c r="B952" i="8"/>
  <c r="A952" i="8"/>
  <c r="E969" i="8"/>
  <c r="G969" i="8"/>
  <c r="F969" i="8"/>
  <c r="E993" i="8"/>
  <c r="G993" i="8"/>
  <c r="F993" i="8"/>
  <c r="E15" i="9"/>
  <c r="D15" i="9"/>
  <c r="H15" i="9"/>
  <c r="G15" i="9"/>
  <c r="F15" i="9"/>
  <c r="D74" i="9"/>
  <c r="I74" i="9"/>
  <c r="F74" i="9"/>
  <c r="C74" i="9"/>
  <c r="H228" i="8"/>
  <c r="H242" i="8"/>
  <c r="F348" i="8"/>
  <c r="H397" i="8"/>
  <c r="C423" i="8"/>
  <c r="C452" i="8"/>
  <c r="H455" i="8"/>
  <c r="H471" i="8"/>
  <c r="H488" i="8"/>
  <c r="E515" i="8"/>
  <c r="F517" i="8"/>
  <c r="D525" i="8"/>
  <c r="D542" i="8"/>
  <c r="I646" i="8"/>
  <c r="F646" i="8"/>
  <c r="D646" i="8"/>
  <c r="B646" i="8"/>
  <c r="H686" i="8"/>
  <c r="I686" i="8"/>
  <c r="F686" i="8"/>
  <c r="B686" i="8"/>
  <c r="I702" i="8"/>
  <c r="H702" i="8"/>
  <c r="H750" i="8"/>
  <c r="G750" i="8"/>
  <c r="F750" i="8"/>
  <c r="D750" i="8"/>
  <c r="B750" i="8"/>
  <c r="I834" i="8"/>
  <c r="F834" i="8"/>
  <c r="D834" i="8"/>
  <c r="F844" i="8"/>
  <c r="G844" i="8"/>
  <c r="E844" i="8"/>
  <c r="D844" i="8"/>
  <c r="B844" i="8"/>
  <c r="H886" i="8"/>
  <c r="I886" i="8"/>
  <c r="I937" i="8"/>
  <c r="G937" i="8"/>
  <c r="F937" i="8"/>
  <c r="H42" i="9"/>
  <c r="A42" i="9"/>
  <c r="B338" i="8"/>
  <c r="E410" i="8"/>
  <c r="F423" i="8"/>
  <c r="E452" i="8"/>
  <c r="A476" i="8"/>
  <c r="C478" i="8"/>
  <c r="A481" i="8"/>
  <c r="D503" i="8"/>
  <c r="G517" i="8"/>
  <c r="E525" i="8"/>
  <c r="E542" i="8"/>
  <c r="I613" i="8"/>
  <c r="A613" i="8"/>
  <c r="I618" i="8"/>
  <c r="H618" i="8"/>
  <c r="F618" i="8"/>
  <c r="C722" i="8"/>
  <c r="F722" i="8"/>
  <c r="E722" i="8"/>
  <c r="D722" i="8"/>
  <c r="B722" i="8"/>
  <c r="I730" i="8"/>
  <c r="B730" i="8"/>
  <c r="A730" i="8"/>
  <c r="I825" i="8"/>
  <c r="H825" i="8"/>
  <c r="G825" i="8"/>
  <c r="E825" i="8"/>
  <c r="A825" i="8"/>
  <c r="H835" i="8"/>
  <c r="E835" i="8"/>
  <c r="B871" i="8"/>
  <c r="F871" i="8"/>
  <c r="D871" i="8"/>
  <c r="C871" i="8"/>
  <c r="A871" i="8"/>
  <c r="H871" i="8"/>
  <c r="C897" i="8"/>
  <c r="I897" i="8"/>
  <c r="H897" i="8"/>
  <c r="G9" i="9"/>
  <c r="D9" i="9"/>
  <c r="B9" i="9"/>
  <c r="A9" i="9"/>
  <c r="I33" i="9"/>
  <c r="D33" i="9"/>
  <c r="H54" i="9"/>
  <c r="A54" i="9"/>
  <c r="H104" i="9"/>
  <c r="I104" i="9"/>
  <c r="G326" i="8"/>
  <c r="D338" i="8"/>
  <c r="F410" i="8"/>
  <c r="D415" i="8"/>
  <c r="C420" i="8"/>
  <c r="G423" i="8"/>
  <c r="F452" i="8"/>
  <c r="H472" i="8"/>
  <c r="H476" i="8"/>
  <c r="D481" i="8"/>
  <c r="A489" i="8"/>
  <c r="F542" i="8"/>
  <c r="H672" i="8"/>
  <c r="B672" i="8"/>
  <c r="E712" i="8"/>
  <c r="H712" i="8"/>
  <c r="G712" i="8"/>
  <c r="F712" i="8"/>
  <c r="D712" i="8"/>
  <c r="C744" i="8"/>
  <c r="I744" i="8"/>
  <c r="H744" i="8"/>
  <c r="G744" i="8"/>
  <c r="F744" i="8"/>
  <c r="E744" i="8"/>
  <c r="B744" i="8"/>
  <c r="A744" i="8"/>
  <c r="D770" i="8"/>
  <c r="C770" i="8"/>
  <c r="B770" i="8"/>
  <c r="H770" i="8"/>
  <c r="G770" i="8"/>
  <c r="F770" i="8"/>
  <c r="F818" i="8"/>
  <c r="H818" i="8"/>
  <c r="C872" i="8"/>
  <c r="H872" i="8"/>
  <c r="F872" i="8"/>
  <c r="D872" i="8"/>
  <c r="B872" i="8"/>
  <c r="H66" i="9"/>
  <c r="A66" i="9"/>
  <c r="F481" i="8"/>
  <c r="B489" i="8"/>
  <c r="H525" i="8"/>
  <c r="G525" i="8"/>
  <c r="G542" i="8"/>
  <c r="E655" i="8"/>
  <c r="C655" i="8"/>
  <c r="G688" i="8"/>
  <c r="D688" i="8"/>
  <c r="G752" i="8"/>
  <c r="I752" i="8"/>
  <c r="H752" i="8"/>
  <c r="E752" i="8"/>
  <c r="D752" i="8"/>
  <c r="B752" i="8"/>
  <c r="I784" i="8"/>
  <c r="H784" i="8"/>
  <c r="F784" i="8"/>
  <c r="E784" i="8"/>
  <c r="D784" i="8"/>
  <c r="B784" i="8"/>
  <c r="G837" i="8"/>
  <c r="I837" i="8"/>
  <c r="E873" i="8"/>
  <c r="C873" i="8"/>
  <c r="B873" i="8"/>
  <c r="I873" i="8"/>
  <c r="H873" i="8"/>
  <c r="G873" i="8"/>
  <c r="F873" i="8"/>
  <c r="E892" i="8"/>
  <c r="B892" i="8"/>
  <c r="B907" i="8"/>
  <c r="G907" i="8"/>
  <c r="F907" i="8"/>
  <c r="E907" i="8"/>
  <c r="D907" i="8"/>
  <c r="C907" i="8"/>
  <c r="A907" i="8"/>
  <c r="H907" i="8"/>
  <c r="H946" i="8"/>
  <c r="G946" i="8"/>
  <c r="B946" i="8"/>
  <c r="B978" i="8"/>
  <c r="D978" i="8"/>
  <c r="C978" i="8"/>
  <c r="C25" i="9"/>
  <c r="H25" i="9"/>
  <c r="E25" i="9"/>
  <c r="B25" i="9"/>
  <c r="I45" i="9"/>
  <c r="D45" i="9"/>
  <c r="H78" i="9"/>
  <c r="A78" i="9"/>
  <c r="D86" i="9"/>
  <c r="I86" i="9"/>
  <c r="F86" i="9"/>
  <c r="A678" i="8"/>
  <c r="G700" i="8"/>
  <c r="D710" i="8"/>
  <c r="B719" i="8"/>
  <c r="H724" i="8"/>
  <c r="C745" i="8"/>
  <c r="B764" i="8"/>
  <c r="E781" i="8"/>
  <c r="C787" i="8"/>
  <c r="D794" i="8"/>
  <c r="I803" i="8"/>
  <c r="A807" i="8"/>
  <c r="G810" i="8"/>
  <c r="E833" i="8"/>
  <c r="E845" i="8"/>
  <c r="B877" i="8"/>
  <c r="D882" i="8"/>
  <c r="I884" i="8"/>
  <c r="G895" i="8"/>
  <c r="A951" i="8"/>
  <c r="G964" i="8"/>
  <c r="E968" i="8"/>
  <c r="E991" i="8"/>
  <c r="G1005" i="8"/>
  <c r="F781" i="8"/>
  <c r="H794" i="8"/>
  <c r="H810" i="8"/>
  <c r="G877" i="8"/>
  <c r="F882" i="8"/>
  <c r="H895" i="8"/>
  <c r="A940" i="8"/>
  <c r="H964" i="8"/>
  <c r="G24" i="9"/>
  <c r="B940" i="8"/>
  <c r="A645" i="8"/>
  <c r="G647" i="8"/>
  <c r="D656" i="8"/>
  <c r="F678" i="8"/>
  <c r="D685" i="8"/>
  <c r="A697" i="8"/>
  <c r="A701" i="8"/>
  <c r="G740" i="8"/>
  <c r="H745" i="8"/>
  <c r="I751" i="8"/>
  <c r="B762" i="8"/>
  <c r="C767" i="8"/>
  <c r="H787" i="8"/>
  <c r="E792" i="8"/>
  <c r="E805" i="8"/>
  <c r="B827" i="8"/>
  <c r="H855" i="8"/>
  <c r="C867" i="8"/>
  <c r="H921" i="8"/>
  <c r="I933" i="8"/>
  <c r="D940" i="8"/>
  <c r="D942" i="8"/>
  <c r="I1001" i="8"/>
  <c r="C14" i="9"/>
  <c r="C92" i="9"/>
  <c r="C645" i="8"/>
  <c r="F656" i="8"/>
  <c r="A666" i="8"/>
  <c r="I678" i="8"/>
  <c r="E685" i="8"/>
  <c r="H740" i="8"/>
  <c r="I745" i="8"/>
  <c r="D762" i="8"/>
  <c r="D767" i="8"/>
  <c r="I787" i="8"/>
  <c r="F843" i="8"/>
  <c r="I862" i="8"/>
  <c r="D867" i="8"/>
  <c r="I869" i="8"/>
  <c r="B896" i="8"/>
  <c r="E940" i="8"/>
  <c r="H977" i="8"/>
  <c r="F981" i="8"/>
  <c r="A11" i="9"/>
  <c r="D14" i="9"/>
  <c r="B666" i="8"/>
  <c r="F762" i="8"/>
  <c r="A831" i="8"/>
  <c r="I846" i="8"/>
  <c r="F867" i="8"/>
  <c r="G896" i="8"/>
  <c r="G940" i="8"/>
  <c r="C947" i="8"/>
  <c r="A976" i="8"/>
  <c r="I977" i="8"/>
  <c r="G981" i="8"/>
  <c r="E11" i="9"/>
  <c r="E14" i="9"/>
  <c r="B37" i="9"/>
  <c r="B49" i="9"/>
  <c r="D666" i="8"/>
  <c r="G711" i="8"/>
  <c r="E723" i="8"/>
  <c r="G762" i="8"/>
  <c r="F786" i="8"/>
  <c r="B793" i="8"/>
  <c r="A797" i="8"/>
  <c r="F831" i="8"/>
  <c r="G867" i="8"/>
  <c r="A880" i="8"/>
  <c r="H896" i="8"/>
  <c r="B915" i="8"/>
  <c r="H940" i="8"/>
  <c r="F957" i="8"/>
  <c r="B976" i="8"/>
  <c r="A1000" i="8"/>
  <c r="C1002" i="8"/>
  <c r="F11" i="9"/>
  <c r="G14" i="9"/>
  <c r="E37" i="9"/>
  <c r="E49" i="9"/>
  <c r="F98" i="9"/>
  <c r="F666" i="8"/>
  <c r="F698" i="8"/>
  <c r="H726" i="8"/>
  <c r="G741" i="8"/>
  <c r="D793" i="8"/>
  <c r="C797" i="8"/>
  <c r="D802" i="8"/>
  <c r="H867" i="8"/>
  <c r="E875" i="8"/>
  <c r="C880" i="8"/>
  <c r="A895" i="8"/>
  <c r="B932" i="8"/>
  <c r="G957" i="8"/>
  <c r="E976" i="8"/>
  <c r="C990" i="8"/>
  <c r="G994" i="8"/>
  <c r="B1000" i="8"/>
  <c r="D1002" i="8"/>
  <c r="H11" i="9"/>
  <c r="H14" i="9"/>
  <c r="G17" i="9"/>
  <c r="H37" i="9"/>
  <c r="H49" i="9"/>
  <c r="I98" i="9"/>
  <c r="G666" i="8"/>
  <c r="C677" i="8"/>
  <c r="H666" i="8"/>
  <c r="F677" i="8"/>
  <c r="C695" i="8"/>
  <c r="E709" i="8"/>
  <c r="C721" i="8"/>
  <c r="D724" i="8"/>
  <c r="D739" i="8"/>
  <c r="A781" i="8"/>
  <c r="G793" i="8"/>
  <c r="A803" i="8"/>
  <c r="E821" i="8"/>
  <c r="B836" i="8"/>
  <c r="D895" i="8"/>
  <c r="C953" i="8"/>
  <c r="A964" i="8"/>
  <c r="D967" i="8"/>
  <c r="H976" i="8"/>
  <c r="H983" i="8"/>
  <c r="B22" i="9"/>
  <c r="G639" i="8"/>
  <c r="I666" i="8"/>
  <c r="C699" i="8"/>
  <c r="E721" i="8"/>
  <c r="F724" i="8"/>
  <c r="H734" i="8"/>
  <c r="E739" i="8"/>
  <c r="B781" i="8"/>
  <c r="H793" i="8"/>
  <c r="D798" i="8"/>
  <c r="B803" i="8"/>
  <c r="B810" i="8"/>
  <c r="F821" i="8"/>
  <c r="F836" i="8"/>
  <c r="E895" i="8"/>
  <c r="G932" i="8"/>
  <c r="A939" i="8"/>
  <c r="A945" i="8"/>
  <c r="I953" i="8"/>
  <c r="B964" i="8"/>
  <c r="I976" i="8"/>
  <c r="I1000" i="8"/>
  <c r="G12" i="9"/>
  <c r="A90" i="9"/>
  <c r="G724" i="8"/>
  <c r="F739" i="8"/>
  <c r="B745" i="8"/>
  <c r="A764" i="8"/>
  <c r="C781" i="8"/>
  <c r="D810" i="8"/>
  <c r="F895" i="8"/>
  <c r="E964" i="8"/>
  <c r="B15" i="10"/>
  <c r="I12" i="4"/>
  <c r="I41" i="4"/>
  <c r="I45" i="4"/>
  <c r="I14" i="4"/>
  <c r="I31" i="4"/>
  <c r="I36" i="4"/>
  <c r="I46" i="4"/>
  <c r="I47" i="4"/>
  <c r="I30" i="4"/>
  <c r="I33" i="4"/>
  <c r="H22" i="4"/>
  <c r="G22" i="4"/>
  <c r="F22" i="4"/>
  <c r="E22" i="4"/>
  <c r="D22" i="4"/>
  <c r="C22" i="4"/>
  <c r="B22" i="4"/>
  <c r="A22" i="4"/>
  <c r="I22" i="4"/>
  <c r="I23" i="4"/>
  <c r="H23" i="4"/>
  <c r="G23" i="4"/>
  <c r="F23" i="4"/>
  <c r="E23" i="4"/>
  <c r="D23" i="4"/>
  <c r="C23" i="4"/>
  <c r="B23" i="4"/>
  <c r="A23" i="4"/>
  <c r="I61" i="4"/>
  <c r="H61" i="4"/>
  <c r="G61" i="4"/>
  <c r="F61" i="4"/>
  <c r="E61" i="4"/>
  <c r="D61" i="4"/>
  <c r="C61" i="4"/>
  <c r="B61" i="4"/>
  <c r="A61" i="4"/>
  <c r="I13" i="4"/>
  <c r="H13" i="4"/>
  <c r="G13" i="4"/>
  <c r="F13" i="4"/>
  <c r="E13" i="4"/>
  <c r="D13" i="4"/>
  <c r="C13" i="4"/>
  <c r="B13" i="4"/>
  <c r="A13" i="4"/>
  <c r="E24" i="4"/>
  <c r="I24" i="4"/>
  <c r="H24" i="4"/>
  <c r="G24" i="4"/>
  <c r="F24" i="4"/>
  <c r="D24" i="4"/>
  <c r="C24" i="4"/>
  <c r="B24" i="4"/>
  <c r="A24" i="4"/>
  <c r="G35" i="4"/>
  <c r="F35" i="4"/>
  <c r="E35" i="4"/>
  <c r="D35" i="4"/>
  <c r="B35" i="4"/>
  <c r="A35" i="4"/>
  <c r="I35" i="4"/>
  <c r="H35" i="4"/>
  <c r="C35" i="4"/>
  <c r="I73" i="4"/>
  <c r="H73" i="4"/>
  <c r="G73" i="4"/>
  <c r="F73" i="4"/>
  <c r="E73" i="4"/>
  <c r="D73" i="4"/>
  <c r="C73" i="4"/>
  <c r="B73" i="4"/>
  <c r="A73" i="4"/>
  <c r="D18" i="4"/>
  <c r="C18" i="4"/>
  <c r="B18" i="4"/>
  <c r="A18" i="4"/>
  <c r="I18" i="4"/>
  <c r="H18" i="4"/>
  <c r="G18" i="4"/>
  <c r="F18" i="4"/>
  <c r="E18" i="4"/>
  <c r="F25" i="4"/>
  <c r="I25" i="4"/>
  <c r="H25" i="4"/>
  <c r="G25" i="4"/>
  <c r="E25" i="4"/>
  <c r="D25" i="4"/>
  <c r="C25" i="4"/>
  <c r="B25" i="4"/>
  <c r="A25" i="4"/>
  <c r="E19" i="4"/>
  <c r="D19" i="4"/>
  <c r="C19" i="4"/>
  <c r="B19" i="4"/>
  <c r="A19" i="4"/>
  <c r="I19" i="4"/>
  <c r="H19" i="4"/>
  <c r="G19" i="4"/>
  <c r="F19" i="4"/>
  <c r="A15" i="4"/>
  <c r="I15" i="4"/>
  <c r="H15" i="4"/>
  <c r="G15" i="4"/>
  <c r="F15" i="4"/>
  <c r="E15" i="4"/>
  <c r="D15" i="4"/>
  <c r="C15" i="4"/>
  <c r="B15" i="4"/>
  <c r="F20" i="4"/>
  <c r="E20" i="4"/>
  <c r="D20" i="4"/>
  <c r="C20" i="4"/>
  <c r="B20" i="4"/>
  <c r="A20" i="4"/>
  <c r="I20" i="4"/>
  <c r="H20" i="4"/>
  <c r="G20" i="4"/>
  <c r="I37" i="4"/>
  <c r="H37" i="4"/>
  <c r="G37" i="4"/>
  <c r="F37" i="4"/>
  <c r="D37" i="4"/>
  <c r="C37" i="4"/>
  <c r="E37" i="4"/>
  <c r="B37" i="4"/>
  <c r="A37" i="4"/>
  <c r="E7" i="4"/>
  <c r="D7" i="4"/>
  <c r="C7" i="4"/>
  <c r="B7" i="4"/>
  <c r="A7" i="4"/>
  <c r="I7" i="4"/>
  <c r="H7" i="4"/>
  <c r="G7" i="4"/>
  <c r="F7" i="4"/>
  <c r="H48" i="4"/>
  <c r="G48" i="4"/>
  <c r="F48" i="4"/>
  <c r="E48" i="4"/>
  <c r="D48" i="4"/>
  <c r="C48" i="4"/>
  <c r="B48" i="4"/>
  <c r="A48" i="4"/>
  <c r="I48" i="4"/>
  <c r="F8" i="4"/>
  <c r="E8" i="4"/>
  <c r="D8" i="4"/>
  <c r="C8" i="4"/>
  <c r="B8" i="4"/>
  <c r="A8" i="4"/>
  <c r="I8" i="4"/>
  <c r="H8" i="4"/>
  <c r="G8" i="4"/>
  <c r="I49" i="4"/>
  <c r="H49" i="4"/>
  <c r="G49" i="4"/>
  <c r="F49" i="4"/>
  <c r="E49" i="4"/>
  <c r="D49" i="4"/>
  <c r="C49" i="4"/>
  <c r="B49" i="4"/>
  <c r="A49" i="4"/>
  <c r="I11" i="4"/>
  <c r="H11" i="4"/>
  <c r="G11" i="4"/>
  <c r="F11" i="4"/>
  <c r="E11" i="4"/>
  <c r="D11" i="4"/>
  <c r="C11" i="4"/>
  <c r="B11" i="4"/>
  <c r="A11" i="4"/>
  <c r="H9" i="4"/>
  <c r="I10" i="4"/>
  <c r="A14" i="4"/>
  <c r="C16" i="4"/>
  <c r="D17" i="4"/>
  <c r="H21" i="4"/>
  <c r="C26" i="4"/>
  <c r="F34" i="4"/>
  <c r="E34" i="4"/>
  <c r="D34" i="4"/>
  <c r="C34" i="4"/>
  <c r="A34" i="4"/>
  <c r="I97" i="4"/>
  <c r="H97" i="4"/>
  <c r="G97" i="4"/>
  <c r="F97" i="4"/>
  <c r="E97" i="4"/>
  <c r="D97" i="4"/>
  <c r="C97" i="4"/>
  <c r="B97" i="4"/>
  <c r="A97" i="4"/>
  <c r="E116" i="4"/>
  <c r="D116" i="4"/>
  <c r="C116" i="4"/>
  <c r="B116" i="4"/>
  <c r="A116" i="4"/>
  <c r="I116" i="4"/>
  <c r="H116" i="4"/>
  <c r="G116" i="4"/>
  <c r="I144" i="4"/>
  <c r="H144" i="4"/>
  <c r="G144" i="4"/>
  <c r="F144" i="4"/>
  <c r="E144" i="4"/>
  <c r="D144" i="4"/>
  <c r="C144" i="4"/>
  <c r="B144" i="4"/>
  <c r="A144" i="4"/>
  <c r="I157" i="4"/>
  <c r="H157" i="4"/>
  <c r="G157" i="4"/>
  <c r="F157" i="4"/>
  <c r="E157" i="4"/>
  <c r="D157" i="4"/>
  <c r="C157" i="4"/>
  <c r="B157" i="4"/>
  <c r="A157" i="4"/>
  <c r="I36" i="5"/>
  <c r="B14" i="4"/>
  <c r="E17" i="4"/>
  <c r="I21" i="4"/>
  <c r="D26" i="4"/>
  <c r="A33" i="4"/>
  <c r="I40" i="4"/>
  <c r="D79" i="4"/>
  <c r="C79" i="4"/>
  <c r="B79" i="4"/>
  <c r="A79" i="4"/>
  <c r="I79" i="4"/>
  <c r="H79" i="4"/>
  <c r="G79" i="4"/>
  <c r="F79" i="4"/>
  <c r="I98" i="4"/>
  <c r="H98" i="4"/>
  <c r="G98" i="4"/>
  <c r="F98" i="4"/>
  <c r="E98" i="4"/>
  <c r="D98" i="4"/>
  <c r="C98" i="4"/>
  <c r="B98" i="4"/>
  <c r="A98" i="4"/>
  <c r="I108" i="4"/>
  <c r="H108" i="4"/>
  <c r="G108" i="4"/>
  <c r="F108" i="4"/>
  <c r="E108" i="4"/>
  <c r="D108" i="4"/>
  <c r="C108" i="4"/>
  <c r="B108" i="4"/>
  <c r="A108" i="4"/>
  <c r="B113" i="4"/>
  <c r="A113" i="4"/>
  <c r="I113" i="4"/>
  <c r="H113" i="4"/>
  <c r="G113" i="4"/>
  <c r="F113" i="4"/>
  <c r="E113" i="4"/>
  <c r="D113" i="4"/>
  <c r="I158" i="4"/>
  <c r="H158" i="4"/>
  <c r="G158" i="4"/>
  <c r="F158" i="4"/>
  <c r="E158" i="4"/>
  <c r="D158" i="4"/>
  <c r="C158" i="4"/>
  <c r="B158" i="4"/>
  <c r="A158" i="4"/>
  <c r="D175" i="4"/>
  <c r="C175" i="4"/>
  <c r="B175" i="4"/>
  <c r="A175" i="4"/>
  <c r="I175" i="4"/>
  <c r="H175" i="4"/>
  <c r="G175" i="4"/>
  <c r="F175" i="4"/>
  <c r="E175" i="4"/>
  <c r="C186" i="4"/>
  <c r="B186" i="4"/>
  <c r="A186" i="4"/>
  <c r="I186" i="4"/>
  <c r="H186" i="4"/>
  <c r="G186" i="4"/>
  <c r="F186" i="4"/>
  <c r="E186" i="4"/>
  <c r="D186" i="4"/>
  <c r="I7" i="5"/>
  <c r="H7" i="5"/>
  <c r="G7" i="5"/>
  <c r="F7" i="5"/>
  <c r="E7" i="5"/>
  <c r="D7" i="5"/>
  <c r="C7" i="5"/>
  <c r="B7" i="5"/>
  <c r="A7" i="5"/>
  <c r="I7" i="7"/>
  <c r="I20" i="5"/>
  <c r="I22" i="7"/>
  <c r="I45" i="5"/>
  <c r="A12" i="4"/>
  <c r="C14" i="4"/>
  <c r="F17" i="4"/>
  <c r="E26" i="4"/>
  <c r="I28" i="4"/>
  <c r="F33" i="4"/>
  <c r="F46" i="4"/>
  <c r="E46" i="4"/>
  <c r="D46" i="4"/>
  <c r="C46" i="4"/>
  <c r="B46" i="4"/>
  <c r="A46" i="4"/>
  <c r="I50" i="4"/>
  <c r="H50" i="4"/>
  <c r="G50" i="4"/>
  <c r="F50" i="4"/>
  <c r="E50" i="4"/>
  <c r="D50" i="4"/>
  <c r="C50" i="4"/>
  <c r="B50" i="4"/>
  <c r="D56" i="4"/>
  <c r="C56" i="4"/>
  <c r="B56" i="4"/>
  <c r="A56" i="4"/>
  <c r="I56" i="4"/>
  <c r="H56" i="4"/>
  <c r="D127" i="4"/>
  <c r="C127" i="4"/>
  <c r="B127" i="4"/>
  <c r="A127" i="4"/>
  <c r="I127" i="4"/>
  <c r="H127" i="4"/>
  <c r="G127" i="4"/>
  <c r="F127" i="4"/>
  <c r="I145" i="4"/>
  <c r="H145" i="4"/>
  <c r="G145" i="4"/>
  <c r="F145" i="4"/>
  <c r="E145" i="4"/>
  <c r="D145" i="4"/>
  <c r="C145" i="4"/>
  <c r="B145" i="4"/>
  <c r="A145" i="4"/>
  <c r="E176" i="4"/>
  <c r="D176" i="4"/>
  <c r="C176" i="4"/>
  <c r="B176" i="4"/>
  <c r="A176" i="4"/>
  <c r="I176" i="4"/>
  <c r="H176" i="4"/>
  <c r="G176" i="4"/>
  <c r="F176" i="4"/>
  <c r="I8" i="6"/>
  <c r="I8" i="5"/>
  <c r="B12" i="4"/>
  <c r="D14" i="4"/>
  <c r="F16" i="4"/>
  <c r="G17" i="4"/>
  <c r="F26" i="4"/>
  <c r="I27" i="4"/>
  <c r="G33" i="4"/>
  <c r="B41" i="4"/>
  <c r="B42" i="4"/>
  <c r="A42" i="4"/>
  <c r="I42" i="4"/>
  <c r="H42" i="4"/>
  <c r="H72" i="4"/>
  <c r="G72" i="4"/>
  <c r="F72" i="4"/>
  <c r="E72" i="4"/>
  <c r="D72" i="4"/>
  <c r="C72" i="4"/>
  <c r="B72" i="4"/>
  <c r="A72" i="4"/>
  <c r="E80" i="4"/>
  <c r="D80" i="4"/>
  <c r="C80" i="4"/>
  <c r="B80" i="4"/>
  <c r="A80" i="4"/>
  <c r="I80" i="4"/>
  <c r="H80" i="4"/>
  <c r="G80" i="4"/>
  <c r="I109" i="4"/>
  <c r="H109" i="4"/>
  <c r="G109" i="4"/>
  <c r="F109" i="4"/>
  <c r="E109" i="4"/>
  <c r="D109" i="4"/>
  <c r="C109" i="4"/>
  <c r="B109" i="4"/>
  <c r="A109" i="4"/>
  <c r="I146" i="4"/>
  <c r="H146" i="4"/>
  <c r="G146" i="4"/>
  <c r="F146" i="4"/>
  <c r="E146" i="4"/>
  <c r="D146" i="4"/>
  <c r="C146" i="4"/>
  <c r="B146" i="4"/>
  <c r="A146" i="4"/>
  <c r="D163" i="4"/>
  <c r="C163" i="4"/>
  <c r="B163" i="4"/>
  <c r="A163" i="4"/>
  <c r="I163" i="4"/>
  <c r="H163" i="4"/>
  <c r="G163" i="4"/>
  <c r="F163" i="4"/>
  <c r="E163" i="4"/>
  <c r="I193" i="4"/>
  <c r="H193" i="4"/>
  <c r="G193" i="4"/>
  <c r="F193" i="4"/>
  <c r="E193" i="4"/>
  <c r="D193" i="4"/>
  <c r="C193" i="4"/>
  <c r="B193" i="4"/>
  <c r="A193" i="4"/>
  <c r="I39" i="5"/>
  <c r="A10" i="4"/>
  <c r="C12" i="4"/>
  <c r="E14" i="4"/>
  <c r="G16" i="4"/>
  <c r="H17" i="4"/>
  <c r="H26" i="4"/>
  <c r="B29" i="4"/>
  <c r="C31" i="4"/>
  <c r="B31" i="4"/>
  <c r="A31" i="4"/>
  <c r="H33" i="4"/>
  <c r="C41" i="4"/>
  <c r="D44" i="4"/>
  <c r="C44" i="4"/>
  <c r="B44" i="4"/>
  <c r="A44" i="4"/>
  <c r="H47" i="4"/>
  <c r="G59" i="4"/>
  <c r="F59" i="4"/>
  <c r="E59" i="4"/>
  <c r="D59" i="4"/>
  <c r="C59" i="4"/>
  <c r="B59" i="4"/>
  <c r="A59" i="4"/>
  <c r="B77" i="4"/>
  <c r="A77" i="4"/>
  <c r="I77" i="4"/>
  <c r="H77" i="4"/>
  <c r="G77" i="4"/>
  <c r="F77" i="4"/>
  <c r="E77" i="4"/>
  <c r="D77" i="4"/>
  <c r="D91" i="4"/>
  <c r="C91" i="4"/>
  <c r="B91" i="4"/>
  <c r="A91" i="4"/>
  <c r="I91" i="4"/>
  <c r="H91" i="4"/>
  <c r="G91" i="4"/>
  <c r="F91" i="4"/>
  <c r="I110" i="4"/>
  <c r="H110" i="4"/>
  <c r="G110" i="4"/>
  <c r="F110" i="4"/>
  <c r="E110" i="4"/>
  <c r="D110" i="4"/>
  <c r="C110" i="4"/>
  <c r="B110" i="4"/>
  <c r="A110" i="4"/>
  <c r="I120" i="4"/>
  <c r="H120" i="4"/>
  <c r="G120" i="4"/>
  <c r="F120" i="4"/>
  <c r="E120" i="4"/>
  <c r="D120" i="4"/>
  <c r="C120" i="4"/>
  <c r="B120" i="4"/>
  <c r="A120" i="4"/>
  <c r="E128" i="4"/>
  <c r="D128" i="4"/>
  <c r="C128" i="4"/>
  <c r="B128" i="4"/>
  <c r="A128" i="4"/>
  <c r="I128" i="4"/>
  <c r="H128" i="4"/>
  <c r="G128" i="4"/>
  <c r="E164" i="4"/>
  <c r="D164" i="4"/>
  <c r="C164" i="4"/>
  <c r="B164" i="4"/>
  <c r="A164" i="4"/>
  <c r="I164" i="4"/>
  <c r="H164" i="4"/>
  <c r="G164" i="4"/>
  <c r="F164" i="4"/>
  <c r="I194" i="4"/>
  <c r="H194" i="4"/>
  <c r="G194" i="4"/>
  <c r="F194" i="4"/>
  <c r="E194" i="4"/>
  <c r="D194" i="4"/>
  <c r="C194" i="4"/>
  <c r="B194" i="4"/>
  <c r="A194" i="4"/>
  <c r="E200" i="4"/>
  <c r="D200" i="4"/>
  <c r="C200" i="4"/>
  <c r="B200" i="4"/>
  <c r="A200" i="4"/>
  <c r="I200" i="4"/>
  <c r="H200" i="4"/>
  <c r="G200" i="4"/>
  <c r="F200" i="4"/>
  <c r="E13" i="5"/>
  <c r="D13" i="5"/>
  <c r="C13" i="5"/>
  <c r="B13" i="5"/>
  <c r="A13" i="5"/>
  <c r="I13" i="5"/>
  <c r="H13" i="5"/>
  <c r="G13" i="5"/>
  <c r="F13" i="5"/>
  <c r="A9" i="4"/>
  <c r="B10" i="4"/>
  <c r="D12" i="4"/>
  <c r="F14" i="4"/>
  <c r="I17" i="4"/>
  <c r="A21" i="4"/>
  <c r="I26" i="4"/>
  <c r="C29" i="4"/>
  <c r="A38" i="4"/>
  <c r="D41" i="4"/>
  <c r="D43" i="4"/>
  <c r="F45" i="4"/>
  <c r="B125" i="4"/>
  <c r="A125" i="4"/>
  <c r="I125" i="4"/>
  <c r="H125" i="4"/>
  <c r="G125" i="4"/>
  <c r="F125" i="4"/>
  <c r="E125" i="4"/>
  <c r="D125" i="4"/>
  <c r="D151" i="4"/>
  <c r="C151" i="4"/>
  <c r="B151" i="4"/>
  <c r="A151" i="4"/>
  <c r="I151" i="4"/>
  <c r="H151" i="4"/>
  <c r="G151" i="4"/>
  <c r="F151" i="4"/>
  <c r="E151" i="4"/>
  <c r="I9" i="5"/>
  <c r="I17" i="5"/>
  <c r="D42" i="5"/>
  <c r="A42" i="5"/>
  <c r="G42" i="5"/>
  <c r="I42" i="5"/>
  <c r="H42" i="5"/>
  <c r="F42" i="5"/>
  <c r="E42" i="5"/>
  <c r="C42" i="5"/>
  <c r="B42" i="5"/>
  <c r="E12" i="4"/>
  <c r="G14" i="4"/>
  <c r="E33" i="4"/>
  <c r="D33" i="4"/>
  <c r="C33" i="4"/>
  <c r="B33" i="4"/>
  <c r="B38" i="4"/>
  <c r="E43" i="4"/>
  <c r="G47" i="4"/>
  <c r="F47" i="4"/>
  <c r="E47" i="4"/>
  <c r="D47" i="4"/>
  <c r="C47" i="4"/>
  <c r="B47" i="4"/>
  <c r="A47" i="4"/>
  <c r="I52" i="4"/>
  <c r="E92" i="4"/>
  <c r="D92" i="4"/>
  <c r="C92" i="4"/>
  <c r="B92" i="4"/>
  <c r="A92" i="4"/>
  <c r="I92" i="4"/>
  <c r="H92" i="4"/>
  <c r="G92" i="4"/>
  <c r="I121" i="4"/>
  <c r="H121" i="4"/>
  <c r="G121" i="4"/>
  <c r="F121" i="4"/>
  <c r="E121" i="4"/>
  <c r="D121" i="4"/>
  <c r="C121" i="4"/>
  <c r="B121" i="4"/>
  <c r="A121" i="4"/>
  <c r="D139" i="4"/>
  <c r="C139" i="4"/>
  <c r="B139" i="4"/>
  <c r="A139" i="4"/>
  <c r="I139" i="4"/>
  <c r="H139" i="4"/>
  <c r="G139" i="4"/>
  <c r="F139" i="4"/>
  <c r="E152" i="4"/>
  <c r="D152" i="4"/>
  <c r="C152" i="4"/>
  <c r="B152" i="4"/>
  <c r="A152" i="4"/>
  <c r="I152" i="4"/>
  <c r="H152" i="4"/>
  <c r="G152" i="4"/>
  <c r="F152" i="4"/>
  <c r="E25" i="5"/>
  <c r="D25" i="5"/>
  <c r="C25" i="5"/>
  <c r="B25" i="5"/>
  <c r="A25" i="5"/>
  <c r="I25" i="5"/>
  <c r="H25" i="5"/>
  <c r="G25" i="5"/>
  <c r="F25" i="5"/>
  <c r="F35" i="5"/>
  <c r="I35" i="5"/>
  <c r="H35" i="5"/>
  <c r="G35" i="5"/>
  <c r="E35" i="5"/>
  <c r="D35" i="5"/>
  <c r="C35" i="5"/>
  <c r="B35" i="5"/>
  <c r="A35" i="5"/>
  <c r="E43" i="5"/>
  <c r="B43" i="5"/>
  <c r="A43" i="5"/>
  <c r="H43" i="5"/>
  <c r="I43" i="5"/>
  <c r="G43" i="5"/>
  <c r="F43" i="5"/>
  <c r="D43" i="5"/>
  <c r="C43" i="5"/>
  <c r="C9" i="4"/>
  <c r="D10" i="4"/>
  <c r="F12" i="4"/>
  <c r="H14" i="4"/>
  <c r="C21" i="4"/>
  <c r="B28" i="4"/>
  <c r="E29" i="4"/>
  <c r="F32" i="4"/>
  <c r="A36" i="4"/>
  <c r="C38" i="4"/>
  <c r="F41" i="4"/>
  <c r="F43" i="4"/>
  <c r="H45" i="4"/>
  <c r="D55" i="4"/>
  <c r="H60" i="4"/>
  <c r="G60" i="4"/>
  <c r="F60" i="4"/>
  <c r="E60" i="4"/>
  <c r="D60" i="4"/>
  <c r="C60" i="4"/>
  <c r="B60" i="4"/>
  <c r="A60" i="4"/>
  <c r="B65" i="4"/>
  <c r="C67" i="4"/>
  <c r="B67" i="4"/>
  <c r="A67" i="4"/>
  <c r="I67" i="4"/>
  <c r="H67" i="4"/>
  <c r="G67" i="4"/>
  <c r="F67" i="4"/>
  <c r="I74" i="4"/>
  <c r="H74" i="4"/>
  <c r="G74" i="4"/>
  <c r="F74" i="4"/>
  <c r="E74" i="4"/>
  <c r="D74" i="4"/>
  <c r="C74" i="4"/>
  <c r="B74" i="4"/>
  <c r="A74" i="4"/>
  <c r="I84" i="4"/>
  <c r="H84" i="4"/>
  <c r="G84" i="4"/>
  <c r="F84" i="4"/>
  <c r="E84" i="4"/>
  <c r="D84" i="4"/>
  <c r="C84" i="4"/>
  <c r="B84" i="4"/>
  <c r="A84" i="4"/>
  <c r="B89" i="4"/>
  <c r="A89" i="4"/>
  <c r="I89" i="4"/>
  <c r="H89" i="4"/>
  <c r="G89" i="4"/>
  <c r="F89" i="4"/>
  <c r="E89" i="4"/>
  <c r="D89" i="4"/>
  <c r="D103" i="4"/>
  <c r="C103" i="4"/>
  <c r="B103" i="4"/>
  <c r="A103" i="4"/>
  <c r="I103" i="4"/>
  <c r="H103" i="4"/>
  <c r="G103" i="4"/>
  <c r="F103" i="4"/>
  <c r="I122" i="4"/>
  <c r="H122" i="4"/>
  <c r="G122" i="4"/>
  <c r="F122" i="4"/>
  <c r="E122" i="4"/>
  <c r="D122" i="4"/>
  <c r="C122" i="4"/>
  <c r="B122" i="4"/>
  <c r="A122" i="4"/>
  <c r="B10" i="5"/>
  <c r="A10" i="5"/>
  <c r="I10" i="5"/>
  <c r="H10" i="5"/>
  <c r="G10" i="5"/>
  <c r="F10" i="5"/>
  <c r="E10" i="5"/>
  <c r="D10" i="5"/>
  <c r="C10" i="5"/>
  <c r="I18" i="5"/>
  <c r="H18" i="5"/>
  <c r="G18" i="5"/>
  <c r="F18" i="5"/>
  <c r="E18" i="5"/>
  <c r="D18" i="5"/>
  <c r="C18" i="5"/>
  <c r="B18" i="5"/>
  <c r="A18" i="5"/>
  <c r="I29" i="5"/>
  <c r="I54" i="5"/>
  <c r="G12" i="4"/>
  <c r="A27" i="4"/>
  <c r="C28" i="4"/>
  <c r="F29" i="4"/>
  <c r="B30" i="4"/>
  <c r="A30" i="4"/>
  <c r="G32" i="4"/>
  <c r="B34" i="4"/>
  <c r="D36" i="4"/>
  <c r="G43" i="4"/>
  <c r="E55" i="4"/>
  <c r="E68" i="4"/>
  <c r="I132" i="4"/>
  <c r="H132" i="4"/>
  <c r="G132" i="4"/>
  <c r="F132" i="4"/>
  <c r="E132" i="4"/>
  <c r="D132" i="4"/>
  <c r="C132" i="4"/>
  <c r="B132" i="4"/>
  <c r="A132" i="4"/>
  <c r="E140" i="4"/>
  <c r="D140" i="4"/>
  <c r="C140" i="4"/>
  <c r="B140" i="4"/>
  <c r="A140" i="4"/>
  <c r="I140" i="4"/>
  <c r="H140" i="4"/>
  <c r="G140" i="4"/>
  <c r="I181" i="4"/>
  <c r="H181" i="4"/>
  <c r="G181" i="4"/>
  <c r="F181" i="4"/>
  <c r="E181" i="4"/>
  <c r="D181" i="4"/>
  <c r="C181" i="4"/>
  <c r="B181" i="4"/>
  <c r="A181" i="4"/>
  <c r="C198" i="4"/>
  <c r="B198" i="4"/>
  <c r="A198" i="4"/>
  <c r="I198" i="4"/>
  <c r="H198" i="4"/>
  <c r="G198" i="4"/>
  <c r="F198" i="4"/>
  <c r="E198" i="4"/>
  <c r="D198" i="4"/>
  <c r="C11" i="5"/>
  <c r="B11" i="5"/>
  <c r="A11" i="5"/>
  <c r="I11" i="5"/>
  <c r="H11" i="5"/>
  <c r="G11" i="5"/>
  <c r="F11" i="5"/>
  <c r="E11" i="5"/>
  <c r="D11" i="5"/>
  <c r="I19" i="5"/>
  <c r="H19" i="5"/>
  <c r="G19" i="5"/>
  <c r="F19" i="5"/>
  <c r="E19" i="5"/>
  <c r="D19" i="5"/>
  <c r="C19" i="5"/>
  <c r="B19" i="5"/>
  <c r="A19" i="5"/>
  <c r="I47" i="5"/>
  <c r="F47" i="5"/>
  <c r="E47" i="5"/>
  <c r="A47" i="5"/>
  <c r="H47" i="5"/>
  <c r="G47" i="5"/>
  <c r="D47" i="5"/>
  <c r="C47" i="5"/>
  <c r="B47" i="5"/>
  <c r="H12" i="4"/>
  <c r="A17" i="4"/>
  <c r="I38" i="4"/>
  <c r="H38" i="4"/>
  <c r="G38" i="4"/>
  <c r="E38" i="4"/>
  <c r="D38" i="4"/>
  <c r="A41" i="4"/>
  <c r="H41" i="4"/>
  <c r="G41" i="4"/>
  <c r="E45" i="4"/>
  <c r="D45" i="4"/>
  <c r="C45" i="4"/>
  <c r="B45" i="4"/>
  <c r="A45" i="4"/>
  <c r="A65" i="4"/>
  <c r="I65" i="4"/>
  <c r="H65" i="4"/>
  <c r="G65" i="4"/>
  <c r="F65" i="4"/>
  <c r="E65" i="4"/>
  <c r="D65" i="4"/>
  <c r="I85" i="4"/>
  <c r="H85" i="4"/>
  <c r="G85" i="4"/>
  <c r="F85" i="4"/>
  <c r="E85" i="4"/>
  <c r="D85" i="4"/>
  <c r="C85" i="4"/>
  <c r="B85" i="4"/>
  <c r="A85" i="4"/>
  <c r="E104" i="4"/>
  <c r="D104" i="4"/>
  <c r="C104" i="4"/>
  <c r="B104" i="4"/>
  <c r="A104" i="4"/>
  <c r="I104" i="4"/>
  <c r="H104" i="4"/>
  <c r="G104" i="4"/>
  <c r="B137" i="4"/>
  <c r="A137" i="4"/>
  <c r="I137" i="4"/>
  <c r="H137" i="4"/>
  <c r="G137" i="4"/>
  <c r="F137" i="4"/>
  <c r="E137" i="4"/>
  <c r="D137" i="4"/>
  <c r="I182" i="4"/>
  <c r="H182" i="4"/>
  <c r="G182" i="4"/>
  <c r="F182" i="4"/>
  <c r="E182" i="4"/>
  <c r="D182" i="4"/>
  <c r="C182" i="4"/>
  <c r="B182" i="4"/>
  <c r="A182" i="4"/>
  <c r="E188" i="4"/>
  <c r="D188" i="4"/>
  <c r="C188" i="4"/>
  <c r="B188" i="4"/>
  <c r="A188" i="4"/>
  <c r="I188" i="4"/>
  <c r="H188" i="4"/>
  <c r="G188" i="4"/>
  <c r="F188" i="4"/>
  <c r="A30" i="5"/>
  <c r="I30" i="5"/>
  <c r="H30" i="5"/>
  <c r="G30" i="5"/>
  <c r="F30" i="5"/>
  <c r="E30" i="5"/>
  <c r="D30" i="5"/>
  <c r="C30" i="5"/>
  <c r="B30" i="5"/>
  <c r="B17" i="4"/>
  <c r="H36" i="4"/>
  <c r="G36" i="4"/>
  <c r="F36" i="4"/>
  <c r="E36" i="4"/>
  <c r="C36" i="4"/>
  <c r="B36" i="4"/>
  <c r="C43" i="4"/>
  <c r="B43" i="4"/>
  <c r="A43" i="4"/>
  <c r="I43" i="4"/>
  <c r="C55" i="4"/>
  <c r="B55" i="4"/>
  <c r="A55" i="4"/>
  <c r="I55" i="4"/>
  <c r="H55" i="4"/>
  <c r="G55" i="4"/>
  <c r="D68" i="4"/>
  <c r="C68" i="4"/>
  <c r="B68" i="4"/>
  <c r="A68" i="4"/>
  <c r="I68" i="4"/>
  <c r="H68" i="4"/>
  <c r="G68" i="4"/>
  <c r="I86" i="4"/>
  <c r="H86" i="4"/>
  <c r="G86" i="4"/>
  <c r="F86" i="4"/>
  <c r="E86" i="4"/>
  <c r="D86" i="4"/>
  <c r="C86" i="4"/>
  <c r="B86" i="4"/>
  <c r="A86" i="4"/>
  <c r="I96" i="4"/>
  <c r="H96" i="4"/>
  <c r="G96" i="4"/>
  <c r="F96" i="4"/>
  <c r="E96" i="4"/>
  <c r="D96" i="4"/>
  <c r="C96" i="4"/>
  <c r="B96" i="4"/>
  <c r="A96" i="4"/>
  <c r="B101" i="4"/>
  <c r="A101" i="4"/>
  <c r="I101" i="4"/>
  <c r="H101" i="4"/>
  <c r="G101" i="4"/>
  <c r="F101" i="4"/>
  <c r="E101" i="4"/>
  <c r="D101" i="4"/>
  <c r="D115" i="4"/>
  <c r="C115" i="4"/>
  <c r="B115" i="4"/>
  <c r="A115" i="4"/>
  <c r="I115" i="4"/>
  <c r="H115" i="4"/>
  <c r="G115" i="4"/>
  <c r="F115" i="4"/>
  <c r="I133" i="4"/>
  <c r="H133" i="4"/>
  <c r="G133" i="4"/>
  <c r="F133" i="4"/>
  <c r="E133" i="4"/>
  <c r="D133" i="4"/>
  <c r="C133" i="4"/>
  <c r="B133" i="4"/>
  <c r="A133" i="4"/>
  <c r="I169" i="4"/>
  <c r="H169" i="4"/>
  <c r="G169" i="4"/>
  <c r="F169" i="4"/>
  <c r="E169" i="4"/>
  <c r="D169" i="4"/>
  <c r="C169" i="4"/>
  <c r="B169" i="4"/>
  <c r="A169" i="4"/>
  <c r="I205" i="4"/>
  <c r="H205" i="4"/>
  <c r="G205" i="4"/>
  <c r="F205" i="4"/>
  <c r="E205" i="4"/>
  <c r="D205" i="4"/>
  <c r="C205" i="4"/>
  <c r="B205" i="4"/>
  <c r="A205" i="4"/>
  <c r="C23" i="5"/>
  <c r="B23" i="5"/>
  <c r="A23" i="5"/>
  <c r="I23" i="5"/>
  <c r="H23" i="5"/>
  <c r="G23" i="5"/>
  <c r="F23" i="5"/>
  <c r="E23" i="5"/>
  <c r="D23" i="5"/>
  <c r="B26" i="4"/>
  <c r="D32" i="4"/>
  <c r="C32" i="4"/>
  <c r="B32" i="4"/>
  <c r="A32" i="4"/>
  <c r="G46" i="4"/>
  <c r="A53" i="4"/>
  <c r="I53" i="4"/>
  <c r="H53" i="4"/>
  <c r="G53" i="4"/>
  <c r="F53" i="4"/>
  <c r="E53" i="4"/>
  <c r="I62" i="4"/>
  <c r="H62" i="4"/>
  <c r="G62" i="4"/>
  <c r="F62" i="4"/>
  <c r="E62" i="4"/>
  <c r="D62" i="4"/>
  <c r="C62" i="4"/>
  <c r="B62" i="4"/>
  <c r="A62" i="4"/>
  <c r="I134" i="4"/>
  <c r="H134" i="4"/>
  <c r="G134" i="4"/>
  <c r="F134" i="4"/>
  <c r="E134" i="4"/>
  <c r="D134" i="4"/>
  <c r="C134" i="4"/>
  <c r="B134" i="4"/>
  <c r="A134" i="4"/>
  <c r="I170" i="4"/>
  <c r="H170" i="4"/>
  <c r="G170" i="4"/>
  <c r="F170" i="4"/>
  <c r="E170" i="4"/>
  <c r="D170" i="4"/>
  <c r="C170" i="4"/>
  <c r="B170" i="4"/>
  <c r="A170" i="4"/>
  <c r="I206" i="4"/>
  <c r="H206" i="4"/>
  <c r="G206" i="4"/>
  <c r="F206" i="4"/>
  <c r="E206" i="4"/>
  <c r="D206" i="4"/>
  <c r="C206" i="4"/>
  <c r="B206" i="4"/>
  <c r="A206" i="4"/>
  <c r="H49" i="5"/>
  <c r="G49" i="5"/>
  <c r="C49" i="5"/>
  <c r="B49" i="5"/>
  <c r="B51" i="5"/>
  <c r="A51" i="5"/>
  <c r="I51" i="5"/>
  <c r="E51" i="5"/>
  <c r="D51" i="5"/>
  <c r="D53" i="5"/>
  <c r="C53" i="5"/>
  <c r="B53" i="5"/>
  <c r="G53" i="5"/>
  <c r="F53" i="5"/>
  <c r="B86" i="5"/>
  <c r="A86" i="5"/>
  <c r="I86" i="5"/>
  <c r="H86" i="5"/>
  <c r="G86" i="5"/>
  <c r="F86" i="5"/>
  <c r="D86" i="5"/>
  <c r="C86" i="5"/>
  <c r="F90" i="5"/>
  <c r="E90" i="5"/>
  <c r="D90" i="5"/>
  <c r="C90" i="5"/>
  <c r="B90" i="5"/>
  <c r="A90" i="5"/>
  <c r="H90" i="5"/>
  <c r="G90" i="5"/>
  <c r="I96" i="5"/>
  <c r="H96" i="5"/>
  <c r="G96" i="5"/>
  <c r="F96" i="5"/>
  <c r="E96" i="5"/>
  <c r="D96" i="5"/>
  <c r="B96" i="5"/>
  <c r="A96" i="5"/>
  <c r="I105" i="5"/>
  <c r="H105" i="5"/>
  <c r="G105" i="5"/>
  <c r="F105" i="5"/>
  <c r="E105" i="5"/>
  <c r="D105" i="5"/>
  <c r="C105" i="5"/>
  <c r="B105" i="5"/>
  <c r="A105" i="5"/>
  <c r="H128" i="5"/>
  <c r="G128" i="5"/>
  <c r="F128" i="5"/>
  <c r="E128" i="5"/>
  <c r="D128" i="5"/>
  <c r="C128" i="5"/>
  <c r="B128" i="5"/>
  <c r="A128" i="5"/>
  <c r="I128" i="5"/>
  <c r="A133" i="5"/>
  <c r="I133" i="5"/>
  <c r="H133" i="5"/>
  <c r="G133" i="5"/>
  <c r="F133" i="5"/>
  <c r="E133" i="5"/>
  <c r="C133" i="5"/>
  <c r="B133" i="5"/>
  <c r="I153" i="5"/>
  <c r="H153" i="5"/>
  <c r="G153" i="5"/>
  <c r="F153" i="5"/>
  <c r="E153" i="5"/>
  <c r="D153" i="5"/>
  <c r="C153" i="5"/>
  <c r="B153" i="5"/>
  <c r="A153" i="5"/>
  <c r="C159" i="5"/>
  <c r="B159" i="5"/>
  <c r="A159" i="5"/>
  <c r="I159" i="5"/>
  <c r="H159" i="5"/>
  <c r="G159" i="5"/>
  <c r="F159" i="5"/>
  <c r="E159" i="5"/>
  <c r="D159" i="5"/>
  <c r="F198" i="5"/>
  <c r="E198" i="5"/>
  <c r="D198" i="5"/>
  <c r="C198" i="5"/>
  <c r="B198" i="5"/>
  <c r="A198" i="5"/>
  <c r="I198" i="5"/>
  <c r="H198" i="5"/>
  <c r="G198" i="5"/>
  <c r="A205" i="5"/>
  <c r="I205" i="5"/>
  <c r="H205" i="5"/>
  <c r="G205" i="5"/>
  <c r="F205" i="5"/>
  <c r="E205" i="5"/>
  <c r="D205" i="5"/>
  <c r="C205" i="5"/>
  <c r="B205" i="5"/>
  <c r="E215" i="5"/>
  <c r="A215" i="5"/>
  <c r="B215" i="5"/>
  <c r="I215" i="5"/>
  <c r="H215" i="5"/>
  <c r="G215" i="5"/>
  <c r="F215" i="5"/>
  <c r="D215" i="5"/>
  <c r="C215" i="5"/>
  <c r="I38" i="5"/>
  <c r="C38" i="5"/>
  <c r="F44" i="5"/>
  <c r="C44" i="5"/>
  <c r="B44" i="5"/>
  <c r="I44" i="5"/>
  <c r="G56" i="5"/>
  <c r="F56" i="5"/>
  <c r="E56" i="5"/>
  <c r="C56" i="5"/>
  <c r="B56" i="5"/>
  <c r="A56" i="5"/>
  <c r="I56" i="5"/>
  <c r="G68" i="5"/>
  <c r="F68" i="5"/>
  <c r="E68" i="5"/>
  <c r="C68" i="5"/>
  <c r="B68" i="5"/>
  <c r="A68" i="5"/>
  <c r="I68" i="5"/>
  <c r="I72" i="5"/>
  <c r="G72" i="5"/>
  <c r="F72" i="5"/>
  <c r="E72" i="5"/>
  <c r="D72" i="5"/>
  <c r="B72" i="5"/>
  <c r="A72" i="5"/>
  <c r="C75" i="5"/>
  <c r="B75" i="5"/>
  <c r="A75" i="5"/>
  <c r="I75" i="5"/>
  <c r="H75" i="5"/>
  <c r="G75" i="5"/>
  <c r="E75" i="5"/>
  <c r="D75" i="5"/>
  <c r="G79" i="5"/>
  <c r="F79" i="5"/>
  <c r="E79" i="5"/>
  <c r="D79" i="5"/>
  <c r="B79" i="5"/>
  <c r="A79" i="5"/>
  <c r="I79" i="5"/>
  <c r="H79" i="5"/>
  <c r="I83" i="5"/>
  <c r="H83" i="5"/>
  <c r="F83" i="5"/>
  <c r="E83" i="5"/>
  <c r="D83" i="5"/>
  <c r="C83" i="5"/>
  <c r="A83" i="5"/>
  <c r="G91" i="5"/>
  <c r="F91" i="5"/>
  <c r="E91" i="5"/>
  <c r="D91" i="5"/>
  <c r="C91" i="5"/>
  <c r="B91" i="5"/>
  <c r="A91" i="5"/>
  <c r="I91" i="5"/>
  <c r="H91" i="5"/>
  <c r="D100" i="5"/>
  <c r="C100" i="5"/>
  <c r="B100" i="5"/>
  <c r="A100" i="5"/>
  <c r="I100" i="5"/>
  <c r="H100" i="5"/>
  <c r="F100" i="5"/>
  <c r="E100" i="5"/>
  <c r="C123" i="5"/>
  <c r="B123" i="5"/>
  <c r="A123" i="5"/>
  <c r="I123" i="5"/>
  <c r="H123" i="5"/>
  <c r="G123" i="5"/>
  <c r="E123" i="5"/>
  <c r="D123" i="5"/>
  <c r="I129" i="5"/>
  <c r="H129" i="5"/>
  <c r="G129" i="5"/>
  <c r="F129" i="5"/>
  <c r="E129" i="5"/>
  <c r="D129" i="5"/>
  <c r="C129" i="5"/>
  <c r="B129" i="5"/>
  <c r="A129" i="5"/>
  <c r="H140" i="5"/>
  <c r="G140" i="5"/>
  <c r="F140" i="5"/>
  <c r="E140" i="5"/>
  <c r="D140" i="5"/>
  <c r="C140" i="5"/>
  <c r="B140" i="5"/>
  <c r="A140" i="5"/>
  <c r="I140" i="5"/>
  <c r="I154" i="5"/>
  <c r="H154" i="5"/>
  <c r="G154" i="5"/>
  <c r="F154" i="5"/>
  <c r="E154" i="5"/>
  <c r="D154" i="5"/>
  <c r="C154" i="5"/>
  <c r="B154" i="5"/>
  <c r="A154" i="5"/>
  <c r="D160" i="5"/>
  <c r="C160" i="5"/>
  <c r="B160" i="5"/>
  <c r="A160" i="5"/>
  <c r="I160" i="5"/>
  <c r="H160" i="5"/>
  <c r="G160" i="5"/>
  <c r="F160" i="5"/>
  <c r="E160" i="5"/>
  <c r="I192" i="5"/>
  <c r="H192" i="5"/>
  <c r="G192" i="5"/>
  <c r="F192" i="5"/>
  <c r="E192" i="5"/>
  <c r="D192" i="5"/>
  <c r="C192" i="5"/>
  <c r="B192" i="5"/>
  <c r="A192" i="5"/>
  <c r="H212" i="5"/>
  <c r="G212" i="5"/>
  <c r="F212" i="5"/>
  <c r="E212" i="5"/>
  <c r="D212" i="5"/>
  <c r="C212" i="5"/>
  <c r="B212" i="5"/>
  <c r="A212" i="5"/>
  <c r="I212" i="5"/>
  <c r="F216" i="5"/>
  <c r="B216" i="5"/>
  <c r="E216" i="5"/>
  <c r="D216" i="5"/>
  <c r="C216" i="5"/>
  <c r="A216" i="5"/>
  <c r="I216" i="5"/>
  <c r="H216" i="5"/>
  <c r="G216" i="5"/>
  <c r="B54" i="5"/>
  <c r="I60" i="5"/>
  <c r="G60" i="5"/>
  <c r="F60" i="5"/>
  <c r="E60" i="5"/>
  <c r="D60" i="5"/>
  <c r="B60" i="5"/>
  <c r="A60" i="5"/>
  <c r="B63" i="5"/>
  <c r="A63" i="5"/>
  <c r="I63" i="5"/>
  <c r="H63" i="5"/>
  <c r="G63" i="5"/>
  <c r="E63" i="5"/>
  <c r="D63" i="5"/>
  <c r="F114" i="5"/>
  <c r="E114" i="5"/>
  <c r="D114" i="5"/>
  <c r="C114" i="5"/>
  <c r="B114" i="5"/>
  <c r="A114" i="5"/>
  <c r="H114" i="5"/>
  <c r="G114" i="5"/>
  <c r="I141" i="5"/>
  <c r="H141" i="5"/>
  <c r="G141" i="5"/>
  <c r="F141" i="5"/>
  <c r="E141" i="5"/>
  <c r="D141" i="5"/>
  <c r="C141" i="5"/>
  <c r="B141" i="5"/>
  <c r="A141" i="5"/>
  <c r="C147" i="5"/>
  <c r="B147" i="5"/>
  <c r="A147" i="5"/>
  <c r="I147" i="5"/>
  <c r="H147" i="5"/>
  <c r="G147" i="5"/>
  <c r="F147" i="5"/>
  <c r="E147" i="5"/>
  <c r="D147" i="5"/>
  <c r="F186" i="5"/>
  <c r="E186" i="5"/>
  <c r="D186" i="5"/>
  <c r="C186" i="5"/>
  <c r="B186" i="5"/>
  <c r="A186" i="5"/>
  <c r="I186" i="5"/>
  <c r="H186" i="5"/>
  <c r="G186" i="5"/>
  <c r="A193" i="5"/>
  <c r="I193" i="5"/>
  <c r="H193" i="5"/>
  <c r="G193" i="5"/>
  <c r="F193" i="5"/>
  <c r="E193" i="5"/>
  <c r="D193" i="5"/>
  <c r="C193" i="5"/>
  <c r="B193" i="5"/>
  <c r="G217" i="5"/>
  <c r="C217" i="5"/>
  <c r="I217" i="5"/>
  <c r="H217" i="5"/>
  <c r="F217" i="5"/>
  <c r="E217" i="5"/>
  <c r="D217" i="5"/>
  <c r="B217" i="5"/>
  <c r="A217" i="5"/>
  <c r="H222" i="5"/>
  <c r="I222" i="5"/>
  <c r="G222" i="5"/>
  <c r="F222" i="5"/>
  <c r="E222" i="5"/>
  <c r="D222" i="5"/>
  <c r="C222" i="5"/>
  <c r="B222" i="5"/>
  <c r="A222" i="5"/>
  <c r="A156" i="4"/>
  <c r="A168" i="4"/>
  <c r="A180" i="4"/>
  <c r="A192" i="4"/>
  <c r="A204" i="4"/>
  <c r="A17" i="5"/>
  <c r="A29" i="5"/>
  <c r="C41" i="5"/>
  <c r="F41" i="5"/>
  <c r="F54" i="5"/>
  <c r="I69" i="5"/>
  <c r="H69" i="5"/>
  <c r="G69" i="5"/>
  <c r="F69" i="5"/>
  <c r="D69" i="5"/>
  <c r="C69" i="5"/>
  <c r="B69" i="5"/>
  <c r="A69" i="5"/>
  <c r="D76" i="5"/>
  <c r="C76" i="5"/>
  <c r="B76" i="5"/>
  <c r="A76" i="5"/>
  <c r="I76" i="5"/>
  <c r="H76" i="5"/>
  <c r="F76" i="5"/>
  <c r="E76" i="5"/>
  <c r="C87" i="5"/>
  <c r="B87" i="5"/>
  <c r="A87" i="5"/>
  <c r="I87" i="5"/>
  <c r="H87" i="5"/>
  <c r="G87" i="5"/>
  <c r="E87" i="5"/>
  <c r="D87" i="5"/>
  <c r="H92" i="5"/>
  <c r="G92" i="5"/>
  <c r="F92" i="5"/>
  <c r="E92" i="5"/>
  <c r="D92" i="5"/>
  <c r="C92" i="5"/>
  <c r="B92" i="5"/>
  <c r="A92" i="5"/>
  <c r="I92" i="5"/>
  <c r="G115" i="5"/>
  <c r="F115" i="5"/>
  <c r="E115" i="5"/>
  <c r="D115" i="5"/>
  <c r="C115" i="5"/>
  <c r="B115" i="5"/>
  <c r="A115" i="5"/>
  <c r="I115" i="5"/>
  <c r="H115" i="5"/>
  <c r="I120" i="5"/>
  <c r="H120" i="5"/>
  <c r="G120" i="5"/>
  <c r="F120" i="5"/>
  <c r="E120" i="5"/>
  <c r="D120" i="5"/>
  <c r="B120" i="5"/>
  <c r="A120" i="5"/>
  <c r="D124" i="5"/>
  <c r="C124" i="5"/>
  <c r="B124" i="5"/>
  <c r="A124" i="5"/>
  <c r="I124" i="5"/>
  <c r="H124" i="5"/>
  <c r="F124" i="5"/>
  <c r="E124" i="5"/>
  <c r="I130" i="5"/>
  <c r="H130" i="5"/>
  <c r="G130" i="5"/>
  <c r="F130" i="5"/>
  <c r="E130" i="5"/>
  <c r="D130" i="5"/>
  <c r="C130" i="5"/>
  <c r="B130" i="5"/>
  <c r="I142" i="5"/>
  <c r="H142" i="5"/>
  <c r="G142" i="5"/>
  <c r="F142" i="5"/>
  <c r="E142" i="5"/>
  <c r="D142" i="5"/>
  <c r="C142" i="5"/>
  <c r="B142" i="5"/>
  <c r="A142" i="5"/>
  <c r="D148" i="5"/>
  <c r="C148" i="5"/>
  <c r="B148" i="5"/>
  <c r="A148" i="5"/>
  <c r="I148" i="5"/>
  <c r="H148" i="5"/>
  <c r="G148" i="5"/>
  <c r="F148" i="5"/>
  <c r="E148" i="5"/>
  <c r="I180" i="5"/>
  <c r="H180" i="5"/>
  <c r="G180" i="5"/>
  <c r="F180" i="5"/>
  <c r="E180" i="5"/>
  <c r="D180" i="5"/>
  <c r="C180" i="5"/>
  <c r="B180" i="5"/>
  <c r="A180" i="5"/>
  <c r="H200" i="5"/>
  <c r="G200" i="5"/>
  <c r="F200" i="5"/>
  <c r="E200" i="5"/>
  <c r="D200" i="5"/>
  <c r="C200" i="5"/>
  <c r="B200" i="5"/>
  <c r="A200" i="5"/>
  <c r="I200" i="5"/>
  <c r="A223" i="5"/>
  <c r="I223" i="5"/>
  <c r="H223" i="5"/>
  <c r="G223" i="5"/>
  <c r="F223" i="5"/>
  <c r="E223" i="5"/>
  <c r="D223" i="5"/>
  <c r="C223" i="5"/>
  <c r="B223" i="5"/>
  <c r="E39" i="4"/>
  <c r="F40" i="4"/>
  <c r="E51" i="4"/>
  <c r="F52" i="4"/>
  <c r="H54" i="4"/>
  <c r="F64" i="4"/>
  <c r="H66" i="4"/>
  <c r="A71" i="4"/>
  <c r="F76" i="4"/>
  <c r="H78" i="4"/>
  <c r="A83" i="4"/>
  <c r="F88" i="4"/>
  <c r="H90" i="4"/>
  <c r="A95" i="4"/>
  <c r="F100" i="4"/>
  <c r="H102" i="4"/>
  <c r="A107" i="4"/>
  <c r="F112" i="4"/>
  <c r="H114" i="4"/>
  <c r="A119" i="4"/>
  <c r="F124" i="4"/>
  <c r="H126" i="4"/>
  <c r="A131" i="4"/>
  <c r="F136" i="4"/>
  <c r="H138" i="4"/>
  <c r="A143" i="4"/>
  <c r="G149" i="4"/>
  <c r="H150" i="4"/>
  <c r="A155" i="4"/>
  <c r="B156" i="4"/>
  <c r="G161" i="4"/>
  <c r="H162" i="4"/>
  <c r="A167" i="4"/>
  <c r="B168" i="4"/>
  <c r="G173" i="4"/>
  <c r="H174" i="4"/>
  <c r="A179" i="4"/>
  <c r="B180" i="4"/>
  <c r="F184" i="4"/>
  <c r="G185" i="4"/>
  <c r="I187" i="4"/>
  <c r="A191" i="4"/>
  <c r="B192" i="4"/>
  <c r="F196" i="4"/>
  <c r="G197" i="4"/>
  <c r="I199" i="4"/>
  <c r="A203" i="4"/>
  <c r="B204" i="4"/>
  <c r="F9" i="5"/>
  <c r="I12" i="5"/>
  <c r="A16" i="5"/>
  <c r="B17" i="5"/>
  <c r="F21" i="5"/>
  <c r="G22" i="5"/>
  <c r="I24" i="5"/>
  <c r="A28" i="5"/>
  <c r="B29" i="5"/>
  <c r="F31" i="5"/>
  <c r="A34" i="5"/>
  <c r="F36" i="5"/>
  <c r="H37" i="5"/>
  <c r="B37" i="5"/>
  <c r="H46" i="5"/>
  <c r="E46" i="5"/>
  <c r="D46" i="5"/>
  <c r="H57" i="5"/>
  <c r="G57" i="5"/>
  <c r="F57" i="5"/>
  <c r="D57" i="5"/>
  <c r="C57" i="5"/>
  <c r="B57" i="5"/>
  <c r="A57" i="5"/>
  <c r="H80" i="5"/>
  <c r="G80" i="5"/>
  <c r="F80" i="5"/>
  <c r="E80" i="5"/>
  <c r="C80" i="5"/>
  <c r="B80" i="5"/>
  <c r="A80" i="5"/>
  <c r="I80" i="5"/>
  <c r="I84" i="5"/>
  <c r="G84" i="5"/>
  <c r="F84" i="5"/>
  <c r="E84" i="5"/>
  <c r="D84" i="5"/>
  <c r="B84" i="5"/>
  <c r="A84" i="5"/>
  <c r="I93" i="5"/>
  <c r="H93" i="5"/>
  <c r="G93" i="5"/>
  <c r="F93" i="5"/>
  <c r="E93" i="5"/>
  <c r="D93" i="5"/>
  <c r="C93" i="5"/>
  <c r="B93" i="5"/>
  <c r="A93" i="5"/>
  <c r="C135" i="5"/>
  <c r="B135" i="5"/>
  <c r="A135" i="5"/>
  <c r="I135" i="5"/>
  <c r="H135" i="5"/>
  <c r="G135" i="5"/>
  <c r="F135" i="5"/>
  <c r="E135" i="5"/>
  <c r="D135" i="5"/>
  <c r="F174" i="5"/>
  <c r="E174" i="5"/>
  <c r="D174" i="5"/>
  <c r="C174" i="5"/>
  <c r="B174" i="5"/>
  <c r="A174" i="5"/>
  <c r="I174" i="5"/>
  <c r="H174" i="5"/>
  <c r="G174" i="5"/>
  <c r="A181" i="5"/>
  <c r="I181" i="5"/>
  <c r="H181" i="5"/>
  <c r="G181" i="5"/>
  <c r="F181" i="5"/>
  <c r="E181" i="5"/>
  <c r="D181" i="5"/>
  <c r="C181" i="5"/>
  <c r="B181" i="5"/>
  <c r="I201" i="5"/>
  <c r="H201" i="5"/>
  <c r="G201" i="5"/>
  <c r="F201" i="5"/>
  <c r="E201" i="5"/>
  <c r="D201" i="5"/>
  <c r="C201" i="5"/>
  <c r="B201" i="5"/>
  <c r="A201" i="5"/>
  <c r="C207" i="5"/>
  <c r="B207" i="5"/>
  <c r="A207" i="5"/>
  <c r="I207" i="5"/>
  <c r="H207" i="5"/>
  <c r="G207" i="5"/>
  <c r="F207" i="5"/>
  <c r="E207" i="5"/>
  <c r="D207" i="5"/>
  <c r="I54" i="4"/>
  <c r="A58" i="4"/>
  <c r="I66" i="4"/>
  <c r="A70" i="4"/>
  <c r="B71" i="4"/>
  <c r="I78" i="4"/>
  <c r="A82" i="4"/>
  <c r="B83" i="4"/>
  <c r="I90" i="4"/>
  <c r="A94" i="4"/>
  <c r="B95" i="4"/>
  <c r="I102" i="4"/>
  <c r="A106" i="4"/>
  <c r="B107" i="4"/>
  <c r="I114" i="4"/>
  <c r="A118" i="4"/>
  <c r="B119" i="4"/>
  <c r="I126" i="4"/>
  <c r="A130" i="4"/>
  <c r="B131" i="4"/>
  <c r="I138" i="4"/>
  <c r="A142" i="4"/>
  <c r="B143" i="4"/>
  <c r="I150" i="4"/>
  <c r="A154" i="4"/>
  <c r="B155" i="4"/>
  <c r="C156" i="4"/>
  <c r="I162" i="4"/>
  <c r="A166" i="4"/>
  <c r="B167" i="4"/>
  <c r="C168" i="4"/>
  <c r="I174" i="4"/>
  <c r="A178" i="4"/>
  <c r="B179" i="4"/>
  <c r="C180" i="4"/>
  <c r="A190" i="4"/>
  <c r="B191" i="4"/>
  <c r="C192" i="4"/>
  <c r="A202" i="4"/>
  <c r="B203" i="4"/>
  <c r="C204" i="4"/>
  <c r="A15" i="5"/>
  <c r="B16" i="5"/>
  <c r="C17" i="5"/>
  <c r="A27" i="5"/>
  <c r="B28" i="5"/>
  <c r="C29" i="5"/>
  <c r="C32" i="5"/>
  <c r="I32" i="5"/>
  <c r="B34" i="5"/>
  <c r="E54" i="5"/>
  <c r="D54" i="5"/>
  <c r="C54" i="5"/>
  <c r="A54" i="5"/>
  <c r="H54" i="5"/>
  <c r="G54" i="5"/>
  <c r="D88" i="5"/>
  <c r="C88" i="5"/>
  <c r="B88" i="5"/>
  <c r="A88" i="5"/>
  <c r="I88" i="5"/>
  <c r="H88" i="5"/>
  <c r="F88" i="5"/>
  <c r="E88" i="5"/>
  <c r="H116" i="5"/>
  <c r="G116" i="5"/>
  <c r="F116" i="5"/>
  <c r="E116" i="5"/>
  <c r="D116" i="5"/>
  <c r="C116" i="5"/>
  <c r="B116" i="5"/>
  <c r="A116" i="5"/>
  <c r="I116" i="5"/>
  <c r="D136" i="5"/>
  <c r="C136" i="5"/>
  <c r="B136" i="5"/>
  <c r="A136" i="5"/>
  <c r="I136" i="5"/>
  <c r="H136" i="5"/>
  <c r="G136" i="5"/>
  <c r="F136" i="5"/>
  <c r="E136" i="5"/>
  <c r="I168" i="5"/>
  <c r="H168" i="5"/>
  <c r="G168" i="5"/>
  <c r="F168" i="5"/>
  <c r="E168" i="5"/>
  <c r="D168" i="5"/>
  <c r="C168" i="5"/>
  <c r="B168" i="5"/>
  <c r="A168" i="5"/>
  <c r="H188" i="5"/>
  <c r="G188" i="5"/>
  <c r="F188" i="5"/>
  <c r="E188" i="5"/>
  <c r="D188" i="5"/>
  <c r="C188" i="5"/>
  <c r="B188" i="5"/>
  <c r="A188" i="5"/>
  <c r="I188" i="5"/>
  <c r="I202" i="5"/>
  <c r="H202" i="5"/>
  <c r="G202" i="5"/>
  <c r="F202" i="5"/>
  <c r="E202" i="5"/>
  <c r="D202" i="5"/>
  <c r="C202" i="5"/>
  <c r="B202" i="5"/>
  <c r="A202" i="5"/>
  <c r="D208" i="5"/>
  <c r="C208" i="5"/>
  <c r="B208" i="5"/>
  <c r="A208" i="5"/>
  <c r="I208" i="5"/>
  <c r="H208" i="5"/>
  <c r="G208" i="5"/>
  <c r="F208" i="5"/>
  <c r="E208" i="5"/>
  <c r="A57" i="4"/>
  <c r="B58" i="4"/>
  <c r="A69" i="4"/>
  <c r="B70" i="4"/>
  <c r="C71" i="4"/>
  <c r="A81" i="4"/>
  <c r="B82" i="4"/>
  <c r="C83" i="4"/>
  <c r="A93" i="4"/>
  <c r="B94" i="4"/>
  <c r="C95" i="4"/>
  <c r="A105" i="4"/>
  <c r="B106" i="4"/>
  <c r="C107" i="4"/>
  <c r="A117" i="4"/>
  <c r="B118" i="4"/>
  <c r="C119" i="4"/>
  <c r="A129" i="4"/>
  <c r="B130" i="4"/>
  <c r="C131" i="4"/>
  <c r="A141" i="4"/>
  <c r="B142" i="4"/>
  <c r="C143" i="4"/>
  <c r="A153" i="4"/>
  <c r="B154" i="4"/>
  <c r="C155" i="4"/>
  <c r="D156" i="4"/>
  <c r="A165" i="4"/>
  <c r="B166" i="4"/>
  <c r="C167" i="4"/>
  <c r="D168" i="4"/>
  <c r="A177" i="4"/>
  <c r="B178" i="4"/>
  <c r="C179" i="4"/>
  <c r="D180" i="4"/>
  <c r="I185" i="4"/>
  <c r="A189" i="4"/>
  <c r="B190" i="4"/>
  <c r="C191" i="4"/>
  <c r="D192" i="4"/>
  <c r="I197" i="4"/>
  <c r="A201" i="4"/>
  <c r="B202" i="4"/>
  <c r="C203" i="4"/>
  <c r="D204" i="4"/>
  <c r="H9" i="5"/>
  <c r="A14" i="5"/>
  <c r="B15" i="5"/>
  <c r="C16" i="5"/>
  <c r="D17" i="5"/>
  <c r="I22" i="5"/>
  <c r="A26" i="5"/>
  <c r="B27" i="5"/>
  <c r="C28" i="5"/>
  <c r="D29" i="5"/>
  <c r="H31" i="5"/>
  <c r="C34" i="5"/>
  <c r="A38" i="5"/>
  <c r="F39" i="5"/>
  <c r="B40" i="5"/>
  <c r="E40" i="5"/>
  <c r="F45" i="5"/>
  <c r="G48" i="5"/>
  <c r="F48" i="5"/>
  <c r="B48" i="5"/>
  <c r="A48" i="5"/>
  <c r="A50" i="5"/>
  <c r="I50" i="5"/>
  <c r="H50" i="5"/>
  <c r="D50" i="5"/>
  <c r="C50" i="5"/>
  <c r="E66" i="5"/>
  <c r="D66" i="5"/>
  <c r="C66" i="5"/>
  <c r="A66" i="5"/>
  <c r="H66" i="5"/>
  <c r="G66" i="5"/>
  <c r="I81" i="5"/>
  <c r="H81" i="5"/>
  <c r="G81" i="5"/>
  <c r="F81" i="5"/>
  <c r="D81" i="5"/>
  <c r="C81" i="5"/>
  <c r="B81" i="5"/>
  <c r="A81" i="5"/>
  <c r="I107" i="5"/>
  <c r="H107" i="5"/>
  <c r="G107" i="5"/>
  <c r="F107" i="5"/>
  <c r="E107" i="5"/>
  <c r="D107" i="5"/>
  <c r="C107" i="5"/>
  <c r="A107" i="5"/>
  <c r="C111" i="5"/>
  <c r="B111" i="5"/>
  <c r="A111" i="5"/>
  <c r="I111" i="5"/>
  <c r="H111" i="5"/>
  <c r="G111" i="5"/>
  <c r="E111" i="5"/>
  <c r="D111" i="5"/>
  <c r="I117" i="5"/>
  <c r="H117" i="5"/>
  <c r="G117" i="5"/>
  <c r="F117" i="5"/>
  <c r="E117" i="5"/>
  <c r="D117" i="5"/>
  <c r="C117" i="5"/>
  <c r="B117" i="5"/>
  <c r="A117" i="5"/>
  <c r="F162" i="5"/>
  <c r="E162" i="5"/>
  <c r="D162" i="5"/>
  <c r="C162" i="5"/>
  <c r="B162" i="5"/>
  <c r="A162" i="5"/>
  <c r="I162" i="5"/>
  <c r="H162" i="5"/>
  <c r="G162" i="5"/>
  <c r="A169" i="5"/>
  <c r="I169" i="5"/>
  <c r="H169" i="5"/>
  <c r="G169" i="5"/>
  <c r="F169" i="5"/>
  <c r="E169" i="5"/>
  <c r="D169" i="5"/>
  <c r="C169" i="5"/>
  <c r="B169" i="5"/>
  <c r="I189" i="5"/>
  <c r="H189" i="5"/>
  <c r="G189" i="5"/>
  <c r="F189" i="5"/>
  <c r="E189" i="5"/>
  <c r="D189" i="5"/>
  <c r="C189" i="5"/>
  <c r="B189" i="5"/>
  <c r="A189" i="5"/>
  <c r="C195" i="5"/>
  <c r="B195" i="5"/>
  <c r="A195" i="5"/>
  <c r="I195" i="5"/>
  <c r="H195" i="5"/>
  <c r="G195" i="5"/>
  <c r="F195" i="5"/>
  <c r="E195" i="5"/>
  <c r="D195" i="5"/>
  <c r="B57" i="4"/>
  <c r="C58" i="4"/>
  <c r="B69" i="4"/>
  <c r="C70" i="4"/>
  <c r="D71" i="4"/>
  <c r="B81" i="4"/>
  <c r="C82" i="4"/>
  <c r="D83" i="4"/>
  <c r="B93" i="4"/>
  <c r="C94" i="4"/>
  <c r="D95" i="4"/>
  <c r="B105" i="4"/>
  <c r="C106" i="4"/>
  <c r="D107" i="4"/>
  <c r="B117" i="4"/>
  <c r="C118" i="4"/>
  <c r="D119" i="4"/>
  <c r="B129" i="4"/>
  <c r="C130" i="4"/>
  <c r="D131" i="4"/>
  <c r="B141" i="4"/>
  <c r="C142" i="4"/>
  <c r="D143" i="4"/>
  <c r="B153" i="4"/>
  <c r="C154" i="4"/>
  <c r="D155" i="4"/>
  <c r="E156" i="4"/>
  <c r="B165" i="4"/>
  <c r="C166" i="4"/>
  <c r="D167" i="4"/>
  <c r="E168" i="4"/>
  <c r="B177" i="4"/>
  <c r="C178" i="4"/>
  <c r="D179" i="4"/>
  <c r="E180" i="4"/>
  <c r="B189" i="4"/>
  <c r="C190" i="4"/>
  <c r="D191" i="4"/>
  <c r="E192" i="4"/>
  <c r="B201" i="4"/>
  <c r="C202" i="4"/>
  <c r="D203" i="4"/>
  <c r="E204" i="4"/>
  <c r="B14" i="5"/>
  <c r="C15" i="5"/>
  <c r="D16" i="5"/>
  <c r="E17" i="5"/>
  <c r="B26" i="5"/>
  <c r="C27" i="5"/>
  <c r="D28" i="5"/>
  <c r="E29" i="5"/>
  <c r="A33" i="5"/>
  <c r="D34" i="5"/>
  <c r="G36" i="5"/>
  <c r="A36" i="5"/>
  <c r="B38" i="5"/>
  <c r="A49" i="5"/>
  <c r="C55" i="5"/>
  <c r="I58" i="5"/>
  <c r="H58" i="5"/>
  <c r="G58" i="5"/>
  <c r="E58" i="5"/>
  <c r="D58" i="5"/>
  <c r="C58" i="5"/>
  <c r="B58" i="5"/>
  <c r="C67" i="5"/>
  <c r="I156" i="5"/>
  <c r="H156" i="5"/>
  <c r="G156" i="5"/>
  <c r="F156" i="5"/>
  <c r="E156" i="5"/>
  <c r="D156" i="5"/>
  <c r="C156" i="5"/>
  <c r="B156" i="5"/>
  <c r="A156" i="5"/>
  <c r="H176" i="5"/>
  <c r="G176" i="5"/>
  <c r="F176" i="5"/>
  <c r="E176" i="5"/>
  <c r="D176" i="5"/>
  <c r="C176" i="5"/>
  <c r="B176" i="5"/>
  <c r="A176" i="5"/>
  <c r="I176" i="5"/>
  <c r="I190" i="5"/>
  <c r="H190" i="5"/>
  <c r="G190" i="5"/>
  <c r="F190" i="5"/>
  <c r="E190" i="5"/>
  <c r="D190" i="5"/>
  <c r="C190" i="5"/>
  <c r="B190" i="5"/>
  <c r="A190" i="5"/>
  <c r="D196" i="5"/>
  <c r="C196" i="5"/>
  <c r="B196" i="5"/>
  <c r="A196" i="5"/>
  <c r="I196" i="5"/>
  <c r="H196" i="5"/>
  <c r="G196" i="5"/>
  <c r="F196" i="5"/>
  <c r="E196" i="5"/>
  <c r="I219" i="5"/>
  <c r="E219" i="5"/>
  <c r="A219" i="5"/>
  <c r="H219" i="5"/>
  <c r="G219" i="5"/>
  <c r="F219" i="5"/>
  <c r="D219" i="5"/>
  <c r="C219" i="5"/>
  <c r="B219" i="5"/>
  <c r="C57" i="4"/>
  <c r="D58" i="4"/>
  <c r="C69" i="4"/>
  <c r="D70" i="4"/>
  <c r="E71" i="4"/>
  <c r="C81" i="4"/>
  <c r="D82" i="4"/>
  <c r="E83" i="4"/>
  <c r="C93" i="4"/>
  <c r="D94" i="4"/>
  <c r="E95" i="4"/>
  <c r="C105" i="4"/>
  <c r="D106" i="4"/>
  <c r="E107" i="4"/>
  <c r="C117" i="4"/>
  <c r="D118" i="4"/>
  <c r="E119" i="4"/>
  <c r="C129" i="4"/>
  <c r="D130" i="4"/>
  <c r="E131" i="4"/>
  <c r="C141" i="4"/>
  <c r="D142" i="4"/>
  <c r="E143" i="4"/>
  <c r="C153" i="4"/>
  <c r="D154" i="4"/>
  <c r="E155" i="4"/>
  <c r="F156" i="4"/>
  <c r="C165" i="4"/>
  <c r="D166" i="4"/>
  <c r="E167" i="4"/>
  <c r="F168" i="4"/>
  <c r="C177" i="4"/>
  <c r="D178" i="4"/>
  <c r="E179" i="4"/>
  <c r="F180" i="4"/>
  <c r="A187" i="4"/>
  <c r="C189" i="4"/>
  <c r="D190" i="4"/>
  <c r="E191" i="4"/>
  <c r="F192" i="4"/>
  <c r="A199" i="4"/>
  <c r="C201" i="4"/>
  <c r="D202" i="4"/>
  <c r="E203" i="4"/>
  <c r="F204" i="4"/>
  <c r="A12" i="5"/>
  <c r="C14" i="5"/>
  <c r="D15" i="5"/>
  <c r="E16" i="5"/>
  <c r="F17" i="5"/>
  <c r="A24" i="5"/>
  <c r="C26" i="5"/>
  <c r="D27" i="5"/>
  <c r="E28" i="5"/>
  <c r="F29" i="5"/>
  <c r="B33" i="5"/>
  <c r="F34" i="5"/>
  <c r="D38" i="5"/>
  <c r="H39" i="5"/>
  <c r="A41" i="5"/>
  <c r="A44" i="5"/>
  <c r="D49" i="5"/>
  <c r="C51" i="5"/>
  <c r="A53" i="5"/>
  <c r="F102" i="5"/>
  <c r="E102" i="5"/>
  <c r="D102" i="5"/>
  <c r="C102" i="5"/>
  <c r="B102" i="5"/>
  <c r="A102" i="5"/>
  <c r="H102" i="5"/>
  <c r="G102" i="5"/>
  <c r="I108" i="5"/>
  <c r="H108" i="5"/>
  <c r="G108" i="5"/>
  <c r="F108" i="5"/>
  <c r="E108" i="5"/>
  <c r="D108" i="5"/>
  <c r="B108" i="5"/>
  <c r="A108" i="5"/>
  <c r="D112" i="5"/>
  <c r="C112" i="5"/>
  <c r="B112" i="5"/>
  <c r="A112" i="5"/>
  <c r="I112" i="5"/>
  <c r="H112" i="5"/>
  <c r="F112" i="5"/>
  <c r="E112" i="5"/>
  <c r="I118" i="5"/>
  <c r="H118" i="5"/>
  <c r="G118" i="5"/>
  <c r="F118" i="5"/>
  <c r="E118" i="5"/>
  <c r="D118" i="5"/>
  <c r="C118" i="5"/>
  <c r="B118" i="5"/>
  <c r="F150" i="5"/>
  <c r="E150" i="5"/>
  <c r="D150" i="5"/>
  <c r="C150" i="5"/>
  <c r="B150" i="5"/>
  <c r="A150" i="5"/>
  <c r="I150" i="5"/>
  <c r="H150" i="5"/>
  <c r="G150" i="5"/>
  <c r="A157" i="5"/>
  <c r="I157" i="5"/>
  <c r="H157" i="5"/>
  <c r="G157" i="5"/>
  <c r="F157" i="5"/>
  <c r="E157" i="5"/>
  <c r="D157" i="5"/>
  <c r="C157" i="5"/>
  <c r="B157" i="5"/>
  <c r="I177" i="5"/>
  <c r="H177" i="5"/>
  <c r="G177" i="5"/>
  <c r="F177" i="5"/>
  <c r="E177" i="5"/>
  <c r="D177" i="5"/>
  <c r="C177" i="5"/>
  <c r="B177" i="5"/>
  <c r="A177" i="5"/>
  <c r="C183" i="5"/>
  <c r="B183" i="5"/>
  <c r="A183" i="5"/>
  <c r="I183" i="5"/>
  <c r="H183" i="5"/>
  <c r="G183" i="5"/>
  <c r="F183" i="5"/>
  <c r="E183" i="5"/>
  <c r="D183" i="5"/>
  <c r="A54" i="4"/>
  <c r="D57" i="4"/>
  <c r="E58" i="4"/>
  <c r="A66" i="4"/>
  <c r="D69" i="4"/>
  <c r="E70" i="4"/>
  <c r="F71" i="4"/>
  <c r="A78" i="4"/>
  <c r="D81" i="4"/>
  <c r="E82" i="4"/>
  <c r="F83" i="4"/>
  <c r="A90" i="4"/>
  <c r="D93" i="4"/>
  <c r="E94" i="4"/>
  <c r="F95" i="4"/>
  <c r="A102" i="4"/>
  <c r="D105" i="4"/>
  <c r="E106" i="4"/>
  <c r="F107" i="4"/>
  <c r="A114" i="4"/>
  <c r="D117" i="4"/>
  <c r="E118" i="4"/>
  <c r="F119" i="4"/>
  <c r="A126" i="4"/>
  <c r="D129" i="4"/>
  <c r="E130" i="4"/>
  <c r="F131" i="4"/>
  <c r="A138" i="4"/>
  <c r="D141" i="4"/>
  <c r="E142" i="4"/>
  <c r="F143" i="4"/>
  <c r="A150" i="4"/>
  <c r="D153" i="4"/>
  <c r="E154" i="4"/>
  <c r="F155" i="4"/>
  <c r="G156" i="4"/>
  <c r="A162" i="4"/>
  <c r="D165" i="4"/>
  <c r="E166" i="4"/>
  <c r="F167" i="4"/>
  <c r="G168" i="4"/>
  <c r="A174" i="4"/>
  <c r="D177" i="4"/>
  <c r="E178" i="4"/>
  <c r="F179" i="4"/>
  <c r="G180" i="4"/>
  <c r="B187" i="4"/>
  <c r="D189" i="4"/>
  <c r="E190" i="4"/>
  <c r="F191" i="4"/>
  <c r="G192" i="4"/>
  <c r="B199" i="4"/>
  <c r="D201" i="4"/>
  <c r="E202" i="4"/>
  <c r="F203" i="4"/>
  <c r="G204" i="4"/>
  <c r="B12" i="5"/>
  <c r="D14" i="5"/>
  <c r="E15" i="5"/>
  <c r="F16" i="5"/>
  <c r="G17" i="5"/>
  <c r="B24" i="5"/>
  <c r="D26" i="5"/>
  <c r="E27" i="5"/>
  <c r="F28" i="5"/>
  <c r="G29" i="5"/>
  <c r="C33" i="5"/>
  <c r="G34" i="5"/>
  <c r="A37" i="5"/>
  <c r="E38" i="5"/>
  <c r="B41" i="5"/>
  <c r="D44" i="5"/>
  <c r="G45" i="5"/>
  <c r="D45" i="5"/>
  <c r="C45" i="5"/>
  <c r="E49" i="5"/>
  <c r="F51" i="5"/>
  <c r="E53" i="5"/>
  <c r="F55" i="5"/>
  <c r="E55" i="5"/>
  <c r="D55" i="5"/>
  <c r="B55" i="5"/>
  <c r="A55" i="5"/>
  <c r="I55" i="5"/>
  <c r="H55" i="5"/>
  <c r="B59" i="5"/>
  <c r="F67" i="5"/>
  <c r="E67" i="5"/>
  <c r="D67" i="5"/>
  <c r="B67" i="5"/>
  <c r="A67" i="5"/>
  <c r="I67" i="5"/>
  <c r="H67" i="5"/>
  <c r="B78" i="5"/>
  <c r="G103" i="5"/>
  <c r="F103" i="5"/>
  <c r="E103" i="5"/>
  <c r="D103" i="5"/>
  <c r="C103" i="5"/>
  <c r="B103" i="5"/>
  <c r="A103" i="5"/>
  <c r="I103" i="5"/>
  <c r="H103" i="5"/>
  <c r="F126" i="5"/>
  <c r="E126" i="5"/>
  <c r="D126" i="5"/>
  <c r="C126" i="5"/>
  <c r="B126" i="5"/>
  <c r="A126" i="5"/>
  <c r="H126" i="5"/>
  <c r="G126" i="5"/>
  <c r="I144" i="5"/>
  <c r="H144" i="5"/>
  <c r="G144" i="5"/>
  <c r="F144" i="5"/>
  <c r="E144" i="5"/>
  <c r="D144" i="5"/>
  <c r="C144" i="5"/>
  <c r="B144" i="5"/>
  <c r="A144" i="5"/>
  <c r="H164" i="5"/>
  <c r="G164" i="5"/>
  <c r="F164" i="5"/>
  <c r="E164" i="5"/>
  <c r="D164" i="5"/>
  <c r="C164" i="5"/>
  <c r="B164" i="5"/>
  <c r="A164" i="5"/>
  <c r="I164" i="5"/>
  <c r="I178" i="5"/>
  <c r="H178" i="5"/>
  <c r="G178" i="5"/>
  <c r="F178" i="5"/>
  <c r="E178" i="5"/>
  <c r="D178" i="5"/>
  <c r="C178" i="5"/>
  <c r="B178" i="5"/>
  <c r="A178" i="5"/>
  <c r="D184" i="5"/>
  <c r="C184" i="5"/>
  <c r="B184" i="5"/>
  <c r="A184" i="5"/>
  <c r="I184" i="5"/>
  <c r="H184" i="5"/>
  <c r="G184" i="5"/>
  <c r="F184" i="5"/>
  <c r="E184" i="5"/>
  <c r="H156" i="4"/>
  <c r="H168" i="4"/>
  <c r="H180" i="4"/>
  <c r="H192" i="4"/>
  <c r="H204" i="4"/>
  <c r="H17" i="5"/>
  <c r="H29" i="5"/>
  <c r="A32" i="5"/>
  <c r="E33" i="5"/>
  <c r="H34" i="5"/>
  <c r="C37" i="5"/>
  <c r="F38" i="5"/>
  <c r="A39" i="5"/>
  <c r="D39" i="5"/>
  <c r="D41" i="5"/>
  <c r="E44" i="5"/>
  <c r="A46" i="5"/>
  <c r="F49" i="5"/>
  <c r="G51" i="5"/>
  <c r="H53" i="5"/>
  <c r="A62" i="5"/>
  <c r="I62" i="5"/>
  <c r="H62" i="5"/>
  <c r="G62" i="5"/>
  <c r="F62" i="5"/>
  <c r="D62" i="5"/>
  <c r="C62" i="5"/>
  <c r="I71" i="5"/>
  <c r="H71" i="5"/>
  <c r="F71" i="5"/>
  <c r="E71" i="5"/>
  <c r="D71" i="5"/>
  <c r="C71" i="5"/>
  <c r="A71" i="5"/>
  <c r="B74" i="5"/>
  <c r="A74" i="5"/>
  <c r="I74" i="5"/>
  <c r="H74" i="5"/>
  <c r="G74" i="5"/>
  <c r="F74" i="5"/>
  <c r="D74" i="5"/>
  <c r="C74" i="5"/>
  <c r="I95" i="5"/>
  <c r="H95" i="5"/>
  <c r="G95" i="5"/>
  <c r="F95" i="5"/>
  <c r="E95" i="5"/>
  <c r="D95" i="5"/>
  <c r="C95" i="5"/>
  <c r="A95" i="5"/>
  <c r="G127" i="5"/>
  <c r="F127" i="5"/>
  <c r="E127" i="5"/>
  <c r="D127" i="5"/>
  <c r="C127" i="5"/>
  <c r="B127" i="5"/>
  <c r="A127" i="5"/>
  <c r="I127" i="5"/>
  <c r="H127" i="5"/>
  <c r="I132" i="5"/>
  <c r="H132" i="5"/>
  <c r="G132" i="5"/>
  <c r="F132" i="5"/>
  <c r="E132" i="5"/>
  <c r="D132" i="5"/>
  <c r="B132" i="5"/>
  <c r="A132" i="5"/>
  <c r="F138" i="5"/>
  <c r="E138" i="5"/>
  <c r="D138" i="5"/>
  <c r="C138" i="5"/>
  <c r="B138" i="5"/>
  <c r="A138" i="5"/>
  <c r="I138" i="5"/>
  <c r="H138" i="5"/>
  <c r="G138" i="5"/>
  <c r="A145" i="5"/>
  <c r="I145" i="5"/>
  <c r="H145" i="5"/>
  <c r="G145" i="5"/>
  <c r="F145" i="5"/>
  <c r="E145" i="5"/>
  <c r="D145" i="5"/>
  <c r="C145" i="5"/>
  <c r="B145" i="5"/>
  <c r="I165" i="5"/>
  <c r="H165" i="5"/>
  <c r="G165" i="5"/>
  <c r="F165" i="5"/>
  <c r="E165" i="5"/>
  <c r="D165" i="5"/>
  <c r="C165" i="5"/>
  <c r="B165" i="5"/>
  <c r="A165" i="5"/>
  <c r="C171" i="5"/>
  <c r="B171" i="5"/>
  <c r="A171" i="5"/>
  <c r="I171" i="5"/>
  <c r="H171" i="5"/>
  <c r="G171" i="5"/>
  <c r="F171" i="5"/>
  <c r="E171" i="5"/>
  <c r="D171" i="5"/>
  <c r="F210" i="5"/>
  <c r="E210" i="5"/>
  <c r="D210" i="5"/>
  <c r="C210" i="5"/>
  <c r="B210" i="5"/>
  <c r="A210" i="5"/>
  <c r="I210" i="5"/>
  <c r="H210" i="5"/>
  <c r="G210" i="5"/>
  <c r="I34" i="5"/>
  <c r="G38" i="5"/>
  <c r="G44" i="5"/>
  <c r="I49" i="5"/>
  <c r="H51" i="5"/>
  <c r="I53" i="5"/>
  <c r="D56" i="5"/>
  <c r="I59" i="5"/>
  <c r="H59" i="5"/>
  <c r="F59" i="5"/>
  <c r="E59" i="5"/>
  <c r="D59" i="5"/>
  <c r="C59" i="5"/>
  <c r="A59" i="5"/>
  <c r="D68" i="5"/>
  <c r="F78" i="5"/>
  <c r="E78" i="5"/>
  <c r="D78" i="5"/>
  <c r="C78" i="5"/>
  <c r="A78" i="5"/>
  <c r="H78" i="5"/>
  <c r="G78" i="5"/>
  <c r="E86" i="5"/>
  <c r="I90" i="5"/>
  <c r="C96" i="5"/>
  <c r="C99" i="5"/>
  <c r="B99" i="5"/>
  <c r="A99" i="5"/>
  <c r="I99" i="5"/>
  <c r="H99" i="5"/>
  <c r="G99" i="5"/>
  <c r="E99" i="5"/>
  <c r="D99" i="5"/>
  <c r="H104" i="5"/>
  <c r="G104" i="5"/>
  <c r="F104" i="5"/>
  <c r="E104" i="5"/>
  <c r="D104" i="5"/>
  <c r="C104" i="5"/>
  <c r="B104" i="5"/>
  <c r="A104" i="5"/>
  <c r="I104" i="5"/>
  <c r="D133" i="5"/>
  <c r="H152" i="5"/>
  <c r="G152" i="5"/>
  <c r="F152" i="5"/>
  <c r="E152" i="5"/>
  <c r="D152" i="5"/>
  <c r="C152" i="5"/>
  <c r="B152" i="5"/>
  <c r="A152" i="5"/>
  <c r="I152" i="5"/>
  <c r="I166" i="5"/>
  <c r="H166" i="5"/>
  <c r="G166" i="5"/>
  <c r="F166" i="5"/>
  <c r="E166" i="5"/>
  <c r="D166" i="5"/>
  <c r="C166" i="5"/>
  <c r="B166" i="5"/>
  <c r="A166" i="5"/>
  <c r="D172" i="5"/>
  <c r="C172" i="5"/>
  <c r="B172" i="5"/>
  <c r="A172" i="5"/>
  <c r="I172" i="5"/>
  <c r="H172" i="5"/>
  <c r="G172" i="5"/>
  <c r="F172" i="5"/>
  <c r="E172" i="5"/>
  <c r="I204" i="5"/>
  <c r="H204" i="5"/>
  <c r="G204" i="5"/>
  <c r="F204" i="5"/>
  <c r="E204" i="5"/>
  <c r="D204" i="5"/>
  <c r="C204" i="5"/>
  <c r="B204" i="5"/>
  <c r="A204" i="5"/>
  <c r="D214" i="5"/>
  <c r="I214" i="5"/>
  <c r="H214" i="5"/>
  <c r="G214" i="5"/>
  <c r="F214" i="5"/>
  <c r="E214" i="5"/>
  <c r="C214" i="5"/>
  <c r="B214" i="5"/>
  <c r="A214" i="5"/>
  <c r="F228" i="5"/>
  <c r="B228" i="5"/>
  <c r="A228" i="5"/>
  <c r="I228" i="5"/>
  <c r="H228" i="5"/>
  <c r="G228" i="5"/>
  <c r="E228" i="5"/>
  <c r="D228" i="5"/>
  <c r="C228" i="5"/>
  <c r="E52" i="5"/>
  <c r="B61" i="5"/>
  <c r="E64" i="5"/>
  <c r="F65" i="5"/>
  <c r="B73" i="5"/>
  <c r="F77" i="5"/>
  <c r="B85" i="5"/>
  <c r="F89" i="5"/>
  <c r="B97" i="5"/>
  <c r="C98" i="5"/>
  <c r="F101" i="5"/>
  <c r="B109" i="5"/>
  <c r="C110" i="5"/>
  <c r="F113" i="5"/>
  <c r="B121" i="5"/>
  <c r="C122" i="5"/>
  <c r="F125" i="5"/>
  <c r="C134" i="5"/>
  <c r="F137" i="5"/>
  <c r="H139" i="5"/>
  <c r="C146" i="5"/>
  <c r="F149" i="5"/>
  <c r="H151" i="5"/>
  <c r="C158" i="5"/>
  <c r="F161" i="5"/>
  <c r="H163" i="5"/>
  <c r="C170" i="5"/>
  <c r="F173" i="5"/>
  <c r="H175" i="5"/>
  <c r="C182" i="5"/>
  <c r="F185" i="5"/>
  <c r="H187" i="5"/>
  <c r="C194" i="5"/>
  <c r="F197" i="5"/>
  <c r="H199" i="5"/>
  <c r="C206" i="5"/>
  <c r="F209" i="5"/>
  <c r="H211" i="5"/>
  <c r="E220" i="5"/>
  <c r="I221" i="5"/>
  <c r="D224" i="5"/>
  <c r="G225" i="5"/>
  <c r="I226" i="5"/>
  <c r="G233" i="5"/>
  <c r="F233" i="5"/>
  <c r="E233" i="5"/>
  <c r="C233" i="5"/>
  <c r="B233" i="5"/>
  <c r="A233" i="5"/>
  <c r="C248" i="5"/>
  <c r="B248" i="5"/>
  <c r="A248" i="5"/>
  <c r="I248" i="5"/>
  <c r="H248" i="5"/>
  <c r="F248" i="5"/>
  <c r="E248" i="5"/>
  <c r="D248" i="5"/>
  <c r="C23" i="6"/>
  <c r="B23" i="6"/>
  <c r="A23" i="6"/>
  <c r="I23" i="6"/>
  <c r="H23" i="6"/>
  <c r="G23" i="6"/>
  <c r="F23" i="6"/>
  <c r="E23" i="6"/>
  <c r="D23" i="6"/>
  <c r="E49" i="6"/>
  <c r="D49" i="6"/>
  <c r="C49" i="6"/>
  <c r="B49" i="6"/>
  <c r="A49" i="6"/>
  <c r="I49" i="6"/>
  <c r="H49" i="6"/>
  <c r="G49" i="6"/>
  <c r="F49" i="6"/>
  <c r="C59" i="6"/>
  <c r="B59" i="6"/>
  <c r="A59" i="6"/>
  <c r="I59" i="6"/>
  <c r="H59" i="6"/>
  <c r="G59" i="6"/>
  <c r="F59" i="6"/>
  <c r="E59" i="6"/>
  <c r="D59" i="6"/>
  <c r="E85" i="6"/>
  <c r="D85" i="6"/>
  <c r="C85" i="6"/>
  <c r="B85" i="6"/>
  <c r="A85" i="6"/>
  <c r="I85" i="6"/>
  <c r="H85" i="6"/>
  <c r="G85" i="6"/>
  <c r="F85" i="6"/>
  <c r="C95" i="6"/>
  <c r="B95" i="6"/>
  <c r="A95" i="6"/>
  <c r="I95" i="6"/>
  <c r="H95" i="6"/>
  <c r="G95" i="6"/>
  <c r="F95" i="6"/>
  <c r="E95" i="6"/>
  <c r="D95" i="6"/>
  <c r="E121" i="6"/>
  <c r="D121" i="6"/>
  <c r="C121" i="6"/>
  <c r="B121" i="6"/>
  <c r="A121" i="6"/>
  <c r="I121" i="6"/>
  <c r="H121" i="6"/>
  <c r="G121" i="6"/>
  <c r="F121" i="6"/>
  <c r="C131" i="6"/>
  <c r="B131" i="6"/>
  <c r="A131" i="6"/>
  <c r="I131" i="6"/>
  <c r="H131" i="6"/>
  <c r="G131" i="6"/>
  <c r="F131" i="6"/>
  <c r="E131" i="6"/>
  <c r="D131" i="6"/>
  <c r="I139" i="6"/>
  <c r="H139" i="6"/>
  <c r="G139" i="6"/>
  <c r="F139" i="6"/>
  <c r="E139" i="6"/>
  <c r="D139" i="6"/>
  <c r="C139" i="6"/>
  <c r="B139" i="6"/>
  <c r="A139" i="6"/>
  <c r="I27" i="7"/>
  <c r="F52" i="5"/>
  <c r="C61" i="5"/>
  <c r="F64" i="5"/>
  <c r="G65" i="5"/>
  <c r="C73" i="5"/>
  <c r="G77" i="5"/>
  <c r="C85" i="5"/>
  <c r="G89" i="5"/>
  <c r="C97" i="5"/>
  <c r="D98" i="5"/>
  <c r="G101" i="5"/>
  <c r="C109" i="5"/>
  <c r="D110" i="5"/>
  <c r="G113" i="5"/>
  <c r="A119" i="5"/>
  <c r="C121" i="5"/>
  <c r="D122" i="5"/>
  <c r="G125" i="5"/>
  <c r="A131" i="5"/>
  <c r="D134" i="5"/>
  <c r="G137" i="5"/>
  <c r="I139" i="5"/>
  <c r="A143" i="5"/>
  <c r="D146" i="5"/>
  <c r="G149" i="5"/>
  <c r="I151" i="5"/>
  <c r="A155" i="5"/>
  <c r="D158" i="5"/>
  <c r="G161" i="5"/>
  <c r="I163" i="5"/>
  <c r="A167" i="5"/>
  <c r="D170" i="5"/>
  <c r="G173" i="5"/>
  <c r="I175" i="5"/>
  <c r="A179" i="5"/>
  <c r="D182" i="5"/>
  <c r="G185" i="5"/>
  <c r="I187" i="5"/>
  <c r="A191" i="5"/>
  <c r="D194" i="5"/>
  <c r="G197" i="5"/>
  <c r="I199" i="5"/>
  <c r="A203" i="5"/>
  <c r="D206" i="5"/>
  <c r="G209" i="5"/>
  <c r="I211" i="5"/>
  <c r="G229" i="5"/>
  <c r="C229" i="5"/>
  <c r="B229" i="5"/>
  <c r="A229" i="5"/>
  <c r="B236" i="5"/>
  <c r="A236" i="5"/>
  <c r="I236" i="5"/>
  <c r="H236" i="5"/>
  <c r="F236" i="5"/>
  <c r="E236" i="5"/>
  <c r="D236" i="5"/>
  <c r="F240" i="5"/>
  <c r="E240" i="5"/>
  <c r="D240" i="5"/>
  <c r="C240" i="5"/>
  <c r="B240" i="5"/>
  <c r="A240" i="5"/>
  <c r="I240" i="5"/>
  <c r="H240" i="5"/>
  <c r="I244" i="5"/>
  <c r="H244" i="5"/>
  <c r="G244" i="5"/>
  <c r="F244" i="5"/>
  <c r="E244" i="5"/>
  <c r="D244" i="5"/>
  <c r="B244" i="5"/>
  <c r="A244" i="5"/>
  <c r="E13" i="6"/>
  <c r="D13" i="6"/>
  <c r="C13" i="6"/>
  <c r="B13" i="6"/>
  <c r="A13" i="6"/>
  <c r="I13" i="6"/>
  <c r="H13" i="6"/>
  <c r="G13" i="6"/>
  <c r="F13" i="6"/>
  <c r="I41" i="6"/>
  <c r="H41" i="6"/>
  <c r="G41" i="6"/>
  <c r="F41" i="6"/>
  <c r="E41" i="6"/>
  <c r="D41" i="6"/>
  <c r="C41" i="6"/>
  <c r="B41" i="6"/>
  <c r="A41" i="6"/>
  <c r="I77" i="6"/>
  <c r="H77" i="6"/>
  <c r="G77" i="6"/>
  <c r="F77" i="6"/>
  <c r="E77" i="6"/>
  <c r="D77" i="6"/>
  <c r="C77" i="6"/>
  <c r="B77" i="6"/>
  <c r="A77" i="6"/>
  <c r="I113" i="6"/>
  <c r="H113" i="6"/>
  <c r="G113" i="6"/>
  <c r="F113" i="6"/>
  <c r="E113" i="6"/>
  <c r="D113" i="6"/>
  <c r="C113" i="6"/>
  <c r="B113" i="6"/>
  <c r="A113" i="6"/>
  <c r="I13" i="7"/>
  <c r="A218" i="5"/>
  <c r="H220" i="5"/>
  <c r="F224" i="5"/>
  <c r="I231" i="5"/>
  <c r="E231" i="5"/>
  <c r="D231" i="5"/>
  <c r="C231" i="5"/>
  <c r="A231" i="5"/>
  <c r="I18" i="6"/>
  <c r="E61" i="5"/>
  <c r="I65" i="5"/>
  <c r="B70" i="5"/>
  <c r="I77" i="5"/>
  <c r="B82" i="5"/>
  <c r="E85" i="5"/>
  <c r="I89" i="5"/>
  <c r="B94" i="5"/>
  <c r="E97" i="5"/>
  <c r="F98" i="5"/>
  <c r="I101" i="5"/>
  <c r="B106" i="5"/>
  <c r="E109" i="5"/>
  <c r="F110" i="5"/>
  <c r="I113" i="5"/>
  <c r="C119" i="5"/>
  <c r="E121" i="5"/>
  <c r="F122" i="5"/>
  <c r="I125" i="5"/>
  <c r="C131" i="5"/>
  <c r="F134" i="5"/>
  <c r="I137" i="5"/>
  <c r="C143" i="5"/>
  <c r="F146" i="5"/>
  <c r="I149" i="5"/>
  <c r="C155" i="5"/>
  <c r="F158" i="5"/>
  <c r="I161" i="5"/>
  <c r="C167" i="5"/>
  <c r="F170" i="5"/>
  <c r="I173" i="5"/>
  <c r="C179" i="5"/>
  <c r="F182" i="5"/>
  <c r="I185" i="5"/>
  <c r="C191" i="5"/>
  <c r="F194" i="5"/>
  <c r="I197" i="5"/>
  <c r="C203" i="5"/>
  <c r="F206" i="5"/>
  <c r="I209" i="5"/>
  <c r="B218" i="5"/>
  <c r="I220" i="5"/>
  <c r="G224" i="5"/>
  <c r="B227" i="5"/>
  <c r="A230" i="5"/>
  <c r="B46" i="6"/>
  <c r="A46" i="6"/>
  <c r="I46" i="6"/>
  <c r="H46" i="6"/>
  <c r="G46" i="6"/>
  <c r="F46" i="6"/>
  <c r="E46" i="6"/>
  <c r="D46" i="6"/>
  <c r="C46" i="6"/>
  <c r="G51" i="6"/>
  <c r="F51" i="6"/>
  <c r="E51" i="6"/>
  <c r="D51" i="6"/>
  <c r="C51" i="6"/>
  <c r="B51" i="6"/>
  <c r="A51" i="6"/>
  <c r="I51" i="6"/>
  <c r="H51" i="6"/>
  <c r="I55" i="6"/>
  <c r="H55" i="6"/>
  <c r="G55" i="6"/>
  <c r="F55" i="6"/>
  <c r="E55" i="6"/>
  <c r="D55" i="6"/>
  <c r="C55" i="6"/>
  <c r="B55" i="6"/>
  <c r="A55" i="6"/>
  <c r="B82" i="6"/>
  <c r="A82" i="6"/>
  <c r="I82" i="6"/>
  <c r="H82" i="6"/>
  <c r="G82" i="6"/>
  <c r="F82" i="6"/>
  <c r="E82" i="6"/>
  <c r="D82" i="6"/>
  <c r="C82" i="6"/>
  <c r="G87" i="6"/>
  <c r="F87" i="6"/>
  <c r="E87" i="6"/>
  <c r="D87" i="6"/>
  <c r="C87" i="6"/>
  <c r="B87" i="6"/>
  <c r="A87" i="6"/>
  <c r="I87" i="6"/>
  <c r="H87" i="6"/>
  <c r="I91" i="6"/>
  <c r="H91" i="6"/>
  <c r="G91" i="6"/>
  <c r="F91" i="6"/>
  <c r="E91" i="6"/>
  <c r="D91" i="6"/>
  <c r="C91" i="6"/>
  <c r="B91" i="6"/>
  <c r="A91" i="6"/>
  <c r="B118" i="6"/>
  <c r="A118" i="6"/>
  <c r="I118" i="6"/>
  <c r="H118" i="6"/>
  <c r="G118" i="6"/>
  <c r="F118" i="6"/>
  <c r="E118" i="6"/>
  <c r="D118" i="6"/>
  <c r="C118" i="6"/>
  <c r="G123" i="6"/>
  <c r="F123" i="6"/>
  <c r="E123" i="6"/>
  <c r="D123" i="6"/>
  <c r="C123" i="6"/>
  <c r="B123" i="6"/>
  <c r="A123" i="6"/>
  <c r="I123" i="6"/>
  <c r="H123" i="6"/>
  <c r="I127" i="6"/>
  <c r="H127" i="6"/>
  <c r="G127" i="6"/>
  <c r="F127" i="6"/>
  <c r="E127" i="6"/>
  <c r="D127" i="6"/>
  <c r="C127" i="6"/>
  <c r="B127" i="6"/>
  <c r="A127" i="6"/>
  <c r="I28" i="7"/>
  <c r="F61" i="5"/>
  <c r="C70" i="5"/>
  <c r="C82" i="5"/>
  <c r="C94" i="5"/>
  <c r="G98" i="5"/>
  <c r="C106" i="5"/>
  <c r="G110" i="5"/>
  <c r="G122" i="5"/>
  <c r="G134" i="5"/>
  <c r="G146" i="5"/>
  <c r="G158" i="5"/>
  <c r="G170" i="5"/>
  <c r="G182" i="5"/>
  <c r="G194" i="5"/>
  <c r="G206" i="5"/>
  <c r="H224" i="5"/>
  <c r="E230" i="5"/>
  <c r="C232" i="5"/>
  <c r="I254" i="5"/>
  <c r="H254" i="5"/>
  <c r="G254" i="5"/>
  <c r="F254" i="5"/>
  <c r="E254" i="5"/>
  <c r="D254" i="5"/>
  <c r="C254" i="5"/>
  <c r="B254" i="5"/>
  <c r="A254" i="5"/>
  <c r="B10" i="6"/>
  <c r="A10" i="6"/>
  <c r="I10" i="6"/>
  <c r="H10" i="6"/>
  <c r="G10" i="6"/>
  <c r="F10" i="6"/>
  <c r="E10" i="6"/>
  <c r="D10" i="6"/>
  <c r="C10" i="6"/>
  <c r="G15" i="6"/>
  <c r="F15" i="6"/>
  <c r="E15" i="6"/>
  <c r="D15" i="6"/>
  <c r="C15" i="6"/>
  <c r="B15" i="6"/>
  <c r="A15" i="6"/>
  <c r="I15" i="6"/>
  <c r="H15" i="6"/>
  <c r="I19" i="6"/>
  <c r="H19" i="6"/>
  <c r="G19" i="6"/>
  <c r="F19" i="6"/>
  <c r="E19" i="6"/>
  <c r="D19" i="6"/>
  <c r="C19" i="6"/>
  <c r="B19" i="6"/>
  <c r="A19" i="6"/>
  <c r="E37" i="6"/>
  <c r="D37" i="6"/>
  <c r="C37" i="6"/>
  <c r="B37" i="6"/>
  <c r="A37" i="6"/>
  <c r="I37" i="6"/>
  <c r="H37" i="6"/>
  <c r="G37" i="6"/>
  <c r="F37" i="6"/>
  <c r="C47" i="6"/>
  <c r="B47" i="6"/>
  <c r="A47" i="6"/>
  <c r="I47" i="6"/>
  <c r="H47" i="6"/>
  <c r="G47" i="6"/>
  <c r="F47" i="6"/>
  <c r="E47" i="6"/>
  <c r="D47" i="6"/>
  <c r="E73" i="6"/>
  <c r="D73" i="6"/>
  <c r="C73" i="6"/>
  <c r="B73" i="6"/>
  <c r="A73" i="6"/>
  <c r="I73" i="6"/>
  <c r="H73" i="6"/>
  <c r="G73" i="6"/>
  <c r="F73" i="6"/>
  <c r="C83" i="6"/>
  <c r="B83" i="6"/>
  <c r="A83" i="6"/>
  <c r="I83" i="6"/>
  <c r="H83" i="6"/>
  <c r="G83" i="6"/>
  <c r="F83" i="6"/>
  <c r="E83" i="6"/>
  <c r="D83" i="6"/>
  <c r="E109" i="6"/>
  <c r="D109" i="6"/>
  <c r="C109" i="6"/>
  <c r="B109" i="6"/>
  <c r="A109" i="6"/>
  <c r="I109" i="6"/>
  <c r="H109" i="6"/>
  <c r="G109" i="6"/>
  <c r="F109" i="6"/>
  <c r="C119" i="6"/>
  <c r="B119" i="6"/>
  <c r="A119" i="6"/>
  <c r="I119" i="6"/>
  <c r="H119" i="6"/>
  <c r="G119" i="6"/>
  <c r="F119" i="6"/>
  <c r="E119" i="6"/>
  <c r="D119" i="6"/>
  <c r="E141" i="6"/>
  <c r="B141" i="6"/>
  <c r="A141" i="6"/>
  <c r="I141" i="6"/>
  <c r="H141" i="6"/>
  <c r="G141" i="6"/>
  <c r="F141" i="6"/>
  <c r="D141" i="6"/>
  <c r="C141" i="6"/>
  <c r="I15" i="7"/>
  <c r="G61" i="5"/>
  <c r="D70" i="5"/>
  <c r="G73" i="5"/>
  <c r="D82" i="5"/>
  <c r="G85" i="5"/>
  <c r="D94" i="5"/>
  <c r="G97" i="5"/>
  <c r="H98" i="5"/>
  <c r="D106" i="5"/>
  <c r="G109" i="5"/>
  <c r="H110" i="5"/>
  <c r="E119" i="5"/>
  <c r="G121" i="5"/>
  <c r="H122" i="5"/>
  <c r="E131" i="5"/>
  <c r="H134" i="5"/>
  <c r="A139" i="5"/>
  <c r="E143" i="5"/>
  <c r="H146" i="5"/>
  <c r="A151" i="5"/>
  <c r="E155" i="5"/>
  <c r="H158" i="5"/>
  <c r="A163" i="5"/>
  <c r="E167" i="5"/>
  <c r="H170" i="5"/>
  <c r="A175" i="5"/>
  <c r="E179" i="5"/>
  <c r="H182" i="5"/>
  <c r="A187" i="5"/>
  <c r="E191" i="5"/>
  <c r="H194" i="5"/>
  <c r="A199" i="5"/>
  <c r="E203" i="5"/>
  <c r="H206" i="5"/>
  <c r="A211" i="5"/>
  <c r="D213" i="5"/>
  <c r="E218" i="5"/>
  <c r="A221" i="5"/>
  <c r="I224" i="5"/>
  <c r="A226" i="5"/>
  <c r="D227" i="5"/>
  <c r="F230" i="5"/>
  <c r="G232" i="5"/>
  <c r="H234" i="5"/>
  <c r="G234" i="5"/>
  <c r="F234" i="5"/>
  <c r="D234" i="5"/>
  <c r="C234" i="5"/>
  <c r="B234" i="5"/>
  <c r="C11" i="6"/>
  <c r="B11" i="6"/>
  <c r="A11" i="6"/>
  <c r="I11" i="6"/>
  <c r="H11" i="6"/>
  <c r="G11" i="6"/>
  <c r="F11" i="6"/>
  <c r="E11" i="6"/>
  <c r="D11" i="6"/>
  <c r="I29" i="6"/>
  <c r="H29" i="6"/>
  <c r="G29" i="6"/>
  <c r="F29" i="6"/>
  <c r="E29" i="6"/>
  <c r="D29" i="6"/>
  <c r="C29" i="6"/>
  <c r="B29" i="6"/>
  <c r="A29" i="6"/>
  <c r="I65" i="6"/>
  <c r="H65" i="6"/>
  <c r="G65" i="6"/>
  <c r="F65" i="6"/>
  <c r="E65" i="6"/>
  <c r="D65" i="6"/>
  <c r="C65" i="6"/>
  <c r="B65" i="6"/>
  <c r="A65" i="6"/>
  <c r="I101" i="6"/>
  <c r="H101" i="6"/>
  <c r="G101" i="6"/>
  <c r="F101" i="6"/>
  <c r="E101" i="6"/>
  <c r="D101" i="6"/>
  <c r="C101" i="6"/>
  <c r="B101" i="6"/>
  <c r="A101" i="6"/>
  <c r="F142" i="6"/>
  <c r="D142" i="6"/>
  <c r="C142" i="6"/>
  <c r="B142" i="6"/>
  <c r="A142" i="6"/>
  <c r="I142" i="6"/>
  <c r="H142" i="6"/>
  <c r="G142" i="6"/>
  <c r="E142" i="6"/>
  <c r="I16" i="7"/>
  <c r="I23" i="7"/>
  <c r="E70" i="5"/>
  <c r="E82" i="5"/>
  <c r="E94" i="5"/>
  <c r="I98" i="5"/>
  <c r="E106" i="5"/>
  <c r="H109" i="5"/>
  <c r="I110" i="5"/>
  <c r="F119" i="5"/>
  <c r="H121" i="5"/>
  <c r="I122" i="5"/>
  <c r="F131" i="5"/>
  <c r="I134" i="5"/>
  <c r="B139" i="5"/>
  <c r="F143" i="5"/>
  <c r="I146" i="5"/>
  <c r="B151" i="5"/>
  <c r="F155" i="5"/>
  <c r="I158" i="5"/>
  <c r="B163" i="5"/>
  <c r="F167" i="5"/>
  <c r="I170" i="5"/>
  <c r="B175" i="5"/>
  <c r="F179" i="5"/>
  <c r="I182" i="5"/>
  <c r="B187" i="5"/>
  <c r="F191" i="5"/>
  <c r="I194" i="5"/>
  <c r="B199" i="5"/>
  <c r="F203" i="5"/>
  <c r="I206" i="5"/>
  <c r="B211" i="5"/>
  <c r="F218" i="5"/>
  <c r="B221" i="5"/>
  <c r="B226" i="5"/>
  <c r="G230" i="5"/>
  <c r="H232" i="5"/>
  <c r="E238" i="5"/>
  <c r="A242" i="5"/>
  <c r="I137" i="6"/>
  <c r="H137" i="6"/>
  <c r="G137" i="6"/>
  <c r="F137" i="6"/>
  <c r="E137" i="6"/>
  <c r="D137" i="6"/>
  <c r="C137" i="6"/>
  <c r="B137" i="6"/>
  <c r="A137" i="6"/>
  <c r="G143" i="6"/>
  <c r="F143" i="6"/>
  <c r="E143" i="6"/>
  <c r="D143" i="6"/>
  <c r="C143" i="6"/>
  <c r="B143" i="6"/>
  <c r="A143" i="6"/>
  <c r="I143" i="6"/>
  <c r="H143" i="6"/>
  <c r="G155" i="6"/>
  <c r="F155" i="6"/>
  <c r="C155" i="6"/>
  <c r="A155" i="6"/>
  <c r="I155" i="6"/>
  <c r="H155" i="6"/>
  <c r="E155" i="6"/>
  <c r="D155" i="6"/>
  <c r="B155" i="6"/>
  <c r="C139" i="5"/>
  <c r="C151" i="5"/>
  <c r="C163" i="5"/>
  <c r="C175" i="5"/>
  <c r="C187" i="5"/>
  <c r="C199" i="5"/>
  <c r="C211" i="5"/>
  <c r="B235" i="5"/>
  <c r="I256" i="5"/>
  <c r="H256" i="5"/>
  <c r="G256" i="5"/>
  <c r="F256" i="5"/>
  <c r="E256" i="5"/>
  <c r="D256" i="5"/>
  <c r="C256" i="5"/>
  <c r="B256" i="5"/>
  <c r="A256" i="5"/>
  <c r="B34" i="6"/>
  <c r="A34" i="6"/>
  <c r="I34" i="6"/>
  <c r="H34" i="6"/>
  <c r="G34" i="6"/>
  <c r="F34" i="6"/>
  <c r="E34" i="6"/>
  <c r="D34" i="6"/>
  <c r="C34" i="6"/>
  <c r="G39" i="6"/>
  <c r="F39" i="6"/>
  <c r="E39" i="6"/>
  <c r="D39" i="6"/>
  <c r="C39" i="6"/>
  <c r="B39" i="6"/>
  <c r="A39" i="6"/>
  <c r="I39" i="6"/>
  <c r="H39" i="6"/>
  <c r="I43" i="6"/>
  <c r="H43" i="6"/>
  <c r="G43" i="6"/>
  <c r="F43" i="6"/>
  <c r="E43" i="6"/>
  <c r="D43" i="6"/>
  <c r="C43" i="6"/>
  <c r="B43" i="6"/>
  <c r="A43" i="6"/>
  <c r="B70" i="6"/>
  <c r="A70" i="6"/>
  <c r="I70" i="6"/>
  <c r="H70" i="6"/>
  <c r="G70" i="6"/>
  <c r="F70" i="6"/>
  <c r="E70" i="6"/>
  <c r="D70" i="6"/>
  <c r="C70" i="6"/>
  <c r="G75" i="6"/>
  <c r="F75" i="6"/>
  <c r="E75" i="6"/>
  <c r="D75" i="6"/>
  <c r="C75" i="6"/>
  <c r="B75" i="6"/>
  <c r="A75" i="6"/>
  <c r="I75" i="6"/>
  <c r="H75" i="6"/>
  <c r="I79" i="6"/>
  <c r="H79" i="6"/>
  <c r="G79" i="6"/>
  <c r="F79" i="6"/>
  <c r="E79" i="6"/>
  <c r="D79" i="6"/>
  <c r="C79" i="6"/>
  <c r="B79" i="6"/>
  <c r="A79" i="6"/>
  <c r="B106" i="6"/>
  <c r="A106" i="6"/>
  <c r="I106" i="6"/>
  <c r="H106" i="6"/>
  <c r="G106" i="6"/>
  <c r="F106" i="6"/>
  <c r="E106" i="6"/>
  <c r="D106" i="6"/>
  <c r="C106" i="6"/>
  <c r="G111" i="6"/>
  <c r="F111" i="6"/>
  <c r="E111" i="6"/>
  <c r="D111" i="6"/>
  <c r="C111" i="6"/>
  <c r="B111" i="6"/>
  <c r="A111" i="6"/>
  <c r="I111" i="6"/>
  <c r="H111" i="6"/>
  <c r="I115" i="6"/>
  <c r="H115" i="6"/>
  <c r="G115" i="6"/>
  <c r="F115" i="6"/>
  <c r="E115" i="6"/>
  <c r="D115" i="6"/>
  <c r="C115" i="6"/>
  <c r="B115" i="6"/>
  <c r="A115" i="6"/>
  <c r="H144" i="6"/>
  <c r="I144" i="6"/>
  <c r="G144" i="6"/>
  <c r="F144" i="6"/>
  <c r="E144" i="6"/>
  <c r="D144" i="6"/>
  <c r="C144" i="6"/>
  <c r="B144" i="6"/>
  <c r="A144" i="6"/>
  <c r="I17" i="7"/>
  <c r="H17" i="7"/>
  <c r="F17" i="7"/>
  <c r="E17" i="7"/>
  <c r="B17" i="7"/>
  <c r="C17" i="7"/>
  <c r="A17" i="7"/>
  <c r="G17" i="7"/>
  <c r="D17" i="7"/>
  <c r="D24" i="7"/>
  <c r="C24" i="7"/>
  <c r="A24" i="7"/>
  <c r="I24" i="7"/>
  <c r="G24" i="7"/>
  <c r="E24" i="7"/>
  <c r="B24" i="7"/>
  <c r="H24" i="7"/>
  <c r="F24" i="7"/>
  <c r="A52" i="5"/>
  <c r="A64" i="5"/>
  <c r="B65" i="5"/>
  <c r="G70" i="5"/>
  <c r="B77" i="5"/>
  <c r="G82" i="5"/>
  <c r="B89" i="5"/>
  <c r="G94" i="5"/>
  <c r="B101" i="5"/>
  <c r="G106" i="5"/>
  <c r="B113" i="5"/>
  <c r="H119" i="5"/>
  <c r="B125" i="5"/>
  <c r="H131" i="5"/>
  <c r="B137" i="5"/>
  <c r="D139" i="5"/>
  <c r="H143" i="5"/>
  <c r="B149" i="5"/>
  <c r="D151" i="5"/>
  <c r="H155" i="5"/>
  <c r="B161" i="5"/>
  <c r="D163" i="5"/>
  <c r="H167" i="5"/>
  <c r="B173" i="5"/>
  <c r="D175" i="5"/>
  <c r="H179" i="5"/>
  <c r="B185" i="5"/>
  <c r="D187" i="5"/>
  <c r="H191" i="5"/>
  <c r="B197" i="5"/>
  <c r="D199" i="5"/>
  <c r="H203" i="5"/>
  <c r="B209" i="5"/>
  <c r="D211" i="5"/>
  <c r="A220" i="5"/>
  <c r="D221" i="5"/>
  <c r="E226" i="5"/>
  <c r="D229" i="5"/>
  <c r="H230" i="5"/>
  <c r="D230" i="5"/>
  <c r="C230" i="5"/>
  <c r="B230" i="5"/>
  <c r="F232" i="5"/>
  <c r="E232" i="5"/>
  <c r="D232" i="5"/>
  <c r="B232" i="5"/>
  <c r="A232" i="5"/>
  <c r="D238" i="5"/>
  <c r="C238" i="5"/>
  <c r="B238" i="5"/>
  <c r="A238" i="5"/>
  <c r="H238" i="5"/>
  <c r="G238" i="5"/>
  <c r="F238" i="5"/>
  <c r="H242" i="5"/>
  <c r="G242" i="5"/>
  <c r="F242" i="5"/>
  <c r="E242" i="5"/>
  <c r="D242" i="5"/>
  <c r="C242" i="5"/>
  <c r="B242" i="5"/>
  <c r="E250" i="5"/>
  <c r="D250" i="5"/>
  <c r="C250" i="5"/>
  <c r="B250" i="5"/>
  <c r="A250" i="5"/>
  <c r="H250" i="5"/>
  <c r="G250" i="5"/>
  <c r="F250" i="5"/>
  <c r="E25" i="6"/>
  <c r="D25" i="6"/>
  <c r="C25" i="6"/>
  <c r="B25" i="6"/>
  <c r="A25" i="6"/>
  <c r="I25" i="6"/>
  <c r="H25" i="6"/>
  <c r="G25" i="6"/>
  <c r="F25" i="6"/>
  <c r="C35" i="6"/>
  <c r="B35" i="6"/>
  <c r="A35" i="6"/>
  <c r="I35" i="6"/>
  <c r="H35" i="6"/>
  <c r="G35" i="6"/>
  <c r="F35" i="6"/>
  <c r="E35" i="6"/>
  <c r="D35" i="6"/>
  <c r="E61" i="6"/>
  <c r="D61" i="6"/>
  <c r="C61" i="6"/>
  <c r="B61" i="6"/>
  <c r="A61" i="6"/>
  <c r="I61" i="6"/>
  <c r="H61" i="6"/>
  <c r="G61" i="6"/>
  <c r="F61" i="6"/>
  <c r="C71" i="6"/>
  <c r="B71" i="6"/>
  <c r="A71" i="6"/>
  <c r="I71" i="6"/>
  <c r="H71" i="6"/>
  <c r="G71" i="6"/>
  <c r="F71" i="6"/>
  <c r="E71" i="6"/>
  <c r="D71" i="6"/>
  <c r="E97" i="6"/>
  <c r="D97" i="6"/>
  <c r="C97" i="6"/>
  <c r="B97" i="6"/>
  <c r="A97" i="6"/>
  <c r="I97" i="6"/>
  <c r="H97" i="6"/>
  <c r="G97" i="6"/>
  <c r="F97" i="6"/>
  <c r="C107" i="6"/>
  <c r="B107" i="6"/>
  <c r="A107" i="6"/>
  <c r="I107" i="6"/>
  <c r="H107" i="6"/>
  <c r="G107" i="6"/>
  <c r="F107" i="6"/>
  <c r="E107" i="6"/>
  <c r="D107" i="6"/>
  <c r="E133" i="6"/>
  <c r="D133" i="6"/>
  <c r="C133" i="6"/>
  <c r="B133" i="6"/>
  <c r="A133" i="6"/>
  <c r="I133" i="6"/>
  <c r="H133" i="6"/>
  <c r="G133" i="6"/>
  <c r="F133" i="6"/>
  <c r="I145" i="6"/>
  <c r="H145" i="6"/>
  <c r="G145" i="6"/>
  <c r="F145" i="6"/>
  <c r="E145" i="6"/>
  <c r="D145" i="6"/>
  <c r="C145" i="6"/>
  <c r="B145" i="6"/>
  <c r="A145" i="6"/>
  <c r="I11" i="7"/>
  <c r="I25" i="7"/>
  <c r="C65" i="5"/>
  <c r="H70" i="5"/>
  <c r="C77" i="5"/>
  <c r="H82" i="5"/>
  <c r="C89" i="5"/>
  <c r="H94" i="5"/>
  <c r="C101" i="5"/>
  <c r="H106" i="5"/>
  <c r="C113" i="5"/>
  <c r="C125" i="5"/>
  <c r="C137" i="5"/>
  <c r="E139" i="5"/>
  <c r="C149" i="5"/>
  <c r="E151" i="5"/>
  <c r="C161" i="5"/>
  <c r="E163" i="5"/>
  <c r="C173" i="5"/>
  <c r="E175" i="5"/>
  <c r="C185" i="5"/>
  <c r="E187" i="5"/>
  <c r="C197" i="5"/>
  <c r="E199" i="5"/>
  <c r="C209" i="5"/>
  <c r="E211" i="5"/>
  <c r="H218" i="5"/>
  <c r="D218" i="5"/>
  <c r="E221" i="5"/>
  <c r="F226" i="5"/>
  <c r="E229" i="5"/>
  <c r="A235" i="5"/>
  <c r="I235" i="5"/>
  <c r="H235" i="5"/>
  <c r="G235" i="5"/>
  <c r="E235" i="5"/>
  <c r="D235" i="5"/>
  <c r="C235" i="5"/>
  <c r="F251" i="5"/>
  <c r="E251" i="5"/>
  <c r="D251" i="5"/>
  <c r="C251" i="5"/>
  <c r="B251" i="5"/>
  <c r="A251" i="5"/>
  <c r="I251" i="5"/>
  <c r="H251" i="5"/>
  <c r="G251" i="5"/>
  <c r="I7" i="6"/>
  <c r="H7" i="6"/>
  <c r="G7" i="6"/>
  <c r="F7" i="6"/>
  <c r="E7" i="6"/>
  <c r="D7" i="6"/>
  <c r="C7" i="6"/>
  <c r="B7" i="6"/>
  <c r="A7" i="6"/>
  <c r="I53" i="6"/>
  <c r="H53" i="6"/>
  <c r="G53" i="6"/>
  <c r="F53" i="6"/>
  <c r="E53" i="6"/>
  <c r="D53" i="6"/>
  <c r="C53" i="6"/>
  <c r="B53" i="6"/>
  <c r="A53" i="6"/>
  <c r="I89" i="6"/>
  <c r="H89" i="6"/>
  <c r="G89" i="6"/>
  <c r="F89" i="6"/>
  <c r="E89" i="6"/>
  <c r="D89" i="6"/>
  <c r="C89" i="6"/>
  <c r="B89" i="6"/>
  <c r="A89" i="6"/>
  <c r="I125" i="6"/>
  <c r="H125" i="6"/>
  <c r="G125" i="6"/>
  <c r="F125" i="6"/>
  <c r="E125" i="6"/>
  <c r="D125" i="6"/>
  <c r="C125" i="6"/>
  <c r="B125" i="6"/>
  <c r="A125" i="6"/>
  <c r="A98" i="5"/>
  <c r="A110" i="5"/>
  <c r="D113" i="5"/>
  <c r="A122" i="5"/>
  <c r="D125" i="5"/>
  <c r="A134" i="5"/>
  <c r="D137" i="5"/>
  <c r="F139" i="5"/>
  <c r="A146" i="5"/>
  <c r="D149" i="5"/>
  <c r="F151" i="5"/>
  <c r="A158" i="5"/>
  <c r="D161" i="5"/>
  <c r="F163" i="5"/>
  <c r="A170" i="5"/>
  <c r="D173" i="5"/>
  <c r="F175" i="5"/>
  <c r="A182" i="5"/>
  <c r="D185" i="5"/>
  <c r="F187" i="5"/>
  <c r="A194" i="5"/>
  <c r="D197" i="5"/>
  <c r="F199" i="5"/>
  <c r="A206" i="5"/>
  <c r="D209" i="5"/>
  <c r="F211" i="5"/>
  <c r="C220" i="5"/>
  <c r="F221" i="5"/>
  <c r="A224" i="5"/>
  <c r="G226" i="5"/>
  <c r="E227" i="5"/>
  <c r="A227" i="5"/>
  <c r="F229" i="5"/>
  <c r="B231" i="5"/>
  <c r="E239" i="5"/>
  <c r="D239" i="5"/>
  <c r="C239" i="5"/>
  <c r="B239" i="5"/>
  <c r="A239" i="5"/>
  <c r="I239" i="5"/>
  <c r="H239" i="5"/>
  <c r="G239" i="5"/>
  <c r="I243" i="5"/>
  <c r="H243" i="5"/>
  <c r="G243" i="5"/>
  <c r="F243" i="5"/>
  <c r="E243" i="5"/>
  <c r="D243" i="5"/>
  <c r="C243" i="5"/>
  <c r="A243" i="5"/>
  <c r="B247" i="5"/>
  <c r="A247" i="5"/>
  <c r="I247" i="5"/>
  <c r="H247" i="5"/>
  <c r="G247" i="5"/>
  <c r="E247" i="5"/>
  <c r="D247" i="5"/>
  <c r="C247" i="5"/>
  <c r="I17" i="6"/>
  <c r="H17" i="6"/>
  <c r="G17" i="6"/>
  <c r="F17" i="6"/>
  <c r="E17" i="6"/>
  <c r="D17" i="6"/>
  <c r="C17" i="6"/>
  <c r="B17" i="6"/>
  <c r="A17" i="6"/>
  <c r="D152" i="6"/>
  <c r="C152" i="6"/>
  <c r="I152" i="6"/>
  <c r="H152" i="6"/>
  <c r="G152" i="6"/>
  <c r="F152" i="6"/>
  <c r="E152" i="6"/>
  <c r="B152" i="6"/>
  <c r="A152" i="6"/>
  <c r="D220" i="5"/>
  <c r="H221" i="5"/>
  <c r="C224" i="5"/>
  <c r="F225" i="5"/>
  <c r="H226" i="5"/>
  <c r="H229" i="5"/>
  <c r="F231" i="5"/>
  <c r="C236" i="5"/>
  <c r="G252" i="5"/>
  <c r="F252" i="5"/>
  <c r="E252" i="5"/>
  <c r="D252" i="5"/>
  <c r="C252" i="5"/>
  <c r="B252" i="5"/>
  <c r="A252" i="5"/>
  <c r="I252" i="5"/>
  <c r="H252" i="5"/>
  <c r="B22" i="6"/>
  <c r="A22" i="6"/>
  <c r="I22" i="6"/>
  <c r="H22" i="6"/>
  <c r="G22" i="6"/>
  <c r="F22" i="6"/>
  <c r="E22" i="6"/>
  <c r="D22" i="6"/>
  <c r="C22" i="6"/>
  <c r="G27" i="6"/>
  <c r="F27" i="6"/>
  <c r="E27" i="6"/>
  <c r="D27" i="6"/>
  <c r="C27" i="6"/>
  <c r="B27" i="6"/>
  <c r="A27" i="6"/>
  <c r="I27" i="6"/>
  <c r="H27" i="6"/>
  <c r="I31" i="6"/>
  <c r="H31" i="6"/>
  <c r="G31" i="6"/>
  <c r="F31" i="6"/>
  <c r="E31" i="6"/>
  <c r="D31" i="6"/>
  <c r="C31" i="6"/>
  <c r="B31" i="6"/>
  <c r="A31" i="6"/>
  <c r="B58" i="6"/>
  <c r="A58" i="6"/>
  <c r="I58" i="6"/>
  <c r="H58" i="6"/>
  <c r="G58" i="6"/>
  <c r="F58" i="6"/>
  <c r="E58" i="6"/>
  <c r="D58" i="6"/>
  <c r="C58" i="6"/>
  <c r="G63" i="6"/>
  <c r="F63" i="6"/>
  <c r="E63" i="6"/>
  <c r="D63" i="6"/>
  <c r="C63" i="6"/>
  <c r="B63" i="6"/>
  <c r="A63" i="6"/>
  <c r="I63" i="6"/>
  <c r="H63" i="6"/>
  <c r="I67" i="6"/>
  <c r="H67" i="6"/>
  <c r="G67" i="6"/>
  <c r="F67" i="6"/>
  <c r="E67" i="6"/>
  <c r="D67" i="6"/>
  <c r="C67" i="6"/>
  <c r="B67" i="6"/>
  <c r="A67" i="6"/>
  <c r="B94" i="6"/>
  <c r="A94" i="6"/>
  <c r="I94" i="6"/>
  <c r="H94" i="6"/>
  <c r="G94" i="6"/>
  <c r="F94" i="6"/>
  <c r="E94" i="6"/>
  <c r="D94" i="6"/>
  <c r="C94" i="6"/>
  <c r="G99" i="6"/>
  <c r="F99" i="6"/>
  <c r="E99" i="6"/>
  <c r="D99" i="6"/>
  <c r="C99" i="6"/>
  <c r="B99" i="6"/>
  <c r="A99" i="6"/>
  <c r="I99" i="6"/>
  <c r="H99" i="6"/>
  <c r="I103" i="6"/>
  <c r="H103" i="6"/>
  <c r="G103" i="6"/>
  <c r="F103" i="6"/>
  <c r="E103" i="6"/>
  <c r="D103" i="6"/>
  <c r="C103" i="6"/>
  <c r="B103" i="6"/>
  <c r="A103" i="6"/>
  <c r="B130" i="6"/>
  <c r="A130" i="6"/>
  <c r="I130" i="6"/>
  <c r="H130" i="6"/>
  <c r="G130" i="6"/>
  <c r="F130" i="6"/>
  <c r="E130" i="6"/>
  <c r="D130" i="6"/>
  <c r="C130" i="6"/>
  <c r="G135" i="6"/>
  <c r="F135" i="6"/>
  <c r="E135" i="6"/>
  <c r="D135" i="6"/>
  <c r="C135" i="6"/>
  <c r="B135" i="6"/>
  <c r="A135" i="6"/>
  <c r="I135" i="6"/>
  <c r="H135" i="6"/>
  <c r="E237" i="5"/>
  <c r="I241" i="5"/>
  <c r="A245" i="5"/>
  <c r="B246" i="5"/>
  <c r="E249" i="5"/>
  <c r="I253" i="5"/>
  <c r="A8" i="6"/>
  <c r="B9" i="6"/>
  <c r="E12" i="6"/>
  <c r="G14" i="6"/>
  <c r="I16" i="6"/>
  <c r="A20" i="6"/>
  <c r="B21" i="6"/>
  <c r="E24" i="6"/>
  <c r="G26" i="6"/>
  <c r="I28" i="6"/>
  <c r="A32" i="6"/>
  <c r="B33" i="6"/>
  <c r="E36" i="6"/>
  <c r="G38" i="6"/>
  <c r="I40" i="6"/>
  <c r="A44" i="6"/>
  <c r="B45" i="6"/>
  <c r="E48" i="6"/>
  <c r="G50" i="6"/>
  <c r="I52" i="6"/>
  <c r="A56" i="6"/>
  <c r="B57" i="6"/>
  <c r="E60" i="6"/>
  <c r="G62" i="6"/>
  <c r="I64" i="6"/>
  <c r="A68" i="6"/>
  <c r="B69" i="6"/>
  <c r="E72" i="6"/>
  <c r="G74" i="6"/>
  <c r="I76" i="6"/>
  <c r="A80" i="6"/>
  <c r="B81" i="6"/>
  <c r="E84" i="6"/>
  <c r="G86" i="6"/>
  <c r="I88" i="6"/>
  <c r="A92" i="6"/>
  <c r="B93" i="6"/>
  <c r="E96" i="6"/>
  <c r="G98" i="6"/>
  <c r="I100" i="6"/>
  <c r="A104" i="6"/>
  <c r="B105" i="6"/>
  <c r="E108" i="6"/>
  <c r="G110" i="6"/>
  <c r="I112" i="6"/>
  <c r="A116" i="6"/>
  <c r="B117" i="6"/>
  <c r="E120" i="6"/>
  <c r="G122" i="6"/>
  <c r="I124" i="6"/>
  <c r="A128" i="6"/>
  <c r="B129" i="6"/>
  <c r="E132" i="6"/>
  <c r="G134" i="6"/>
  <c r="I136" i="6"/>
  <c r="A140" i="6"/>
  <c r="A146" i="6"/>
  <c r="C147" i="6"/>
  <c r="F149" i="6"/>
  <c r="G153" i="6"/>
  <c r="B8" i="7"/>
  <c r="E11" i="7"/>
  <c r="F13" i="7"/>
  <c r="E15" i="7"/>
  <c r="C21" i="7"/>
  <c r="G37" i="7"/>
  <c r="E37" i="7"/>
  <c r="D37" i="7"/>
  <c r="B37" i="7"/>
  <c r="A37" i="7"/>
  <c r="H37" i="7"/>
  <c r="A50" i="7"/>
  <c r="I75" i="7"/>
  <c r="H75" i="7"/>
  <c r="G75" i="7"/>
  <c r="F75" i="7"/>
  <c r="E75" i="7"/>
  <c r="D75" i="7"/>
  <c r="C75" i="7"/>
  <c r="B75" i="7"/>
  <c r="A75" i="7"/>
  <c r="D94" i="7"/>
  <c r="C94" i="7"/>
  <c r="B94" i="7"/>
  <c r="A94" i="7"/>
  <c r="I94" i="7"/>
  <c r="H94" i="7"/>
  <c r="G94" i="7"/>
  <c r="F94" i="7"/>
  <c r="E94" i="7"/>
  <c r="I111" i="7"/>
  <c r="H111" i="7"/>
  <c r="G111" i="7"/>
  <c r="F111" i="7"/>
  <c r="E111" i="7"/>
  <c r="D111" i="7"/>
  <c r="C111" i="7"/>
  <c r="B111" i="7"/>
  <c r="A111" i="7"/>
  <c r="F120" i="7"/>
  <c r="E120" i="7"/>
  <c r="D120" i="7"/>
  <c r="C120" i="7"/>
  <c r="B120" i="7"/>
  <c r="A120" i="7"/>
  <c r="I120" i="7"/>
  <c r="H120" i="7"/>
  <c r="G120" i="7"/>
  <c r="C129" i="7"/>
  <c r="B129" i="7"/>
  <c r="A129" i="7"/>
  <c r="I129" i="7"/>
  <c r="H129" i="7"/>
  <c r="G129" i="7"/>
  <c r="F129" i="7"/>
  <c r="E129" i="7"/>
  <c r="D129" i="7"/>
  <c r="I147" i="7"/>
  <c r="H147" i="7"/>
  <c r="G147" i="7"/>
  <c r="F147" i="7"/>
  <c r="E147" i="7"/>
  <c r="D147" i="7"/>
  <c r="C147" i="7"/>
  <c r="B147" i="7"/>
  <c r="A147" i="7"/>
  <c r="I34" i="8"/>
  <c r="F237" i="5"/>
  <c r="B245" i="5"/>
  <c r="C246" i="5"/>
  <c r="B8" i="6"/>
  <c r="C9" i="6"/>
  <c r="H14" i="6"/>
  <c r="B20" i="6"/>
  <c r="C21" i="6"/>
  <c r="H26" i="6"/>
  <c r="B32" i="6"/>
  <c r="C33" i="6"/>
  <c r="H38" i="6"/>
  <c r="B44" i="6"/>
  <c r="C45" i="6"/>
  <c r="H50" i="6"/>
  <c r="B56" i="6"/>
  <c r="C57" i="6"/>
  <c r="H62" i="6"/>
  <c r="B68" i="6"/>
  <c r="C69" i="6"/>
  <c r="H74" i="6"/>
  <c r="B80" i="6"/>
  <c r="C81" i="6"/>
  <c r="H86" i="6"/>
  <c r="B92" i="6"/>
  <c r="C93" i="6"/>
  <c r="H98" i="6"/>
  <c r="B104" i="6"/>
  <c r="C105" i="6"/>
  <c r="H110" i="6"/>
  <c r="B116" i="6"/>
  <c r="C117" i="6"/>
  <c r="H122" i="6"/>
  <c r="B128" i="6"/>
  <c r="C129" i="6"/>
  <c r="H134" i="6"/>
  <c r="B140" i="6"/>
  <c r="B146" i="6"/>
  <c r="D147" i="6"/>
  <c r="B150" i="6"/>
  <c r="A150" i="6"/>
  <c r="H153" i="6"/>
  <c r="H156" i="6"/>
  <c r="G156" i="6"/>
  <c r="D156" i="6"/>
  <c r="B156" i="6"/>
  <c r="G11" i="7"/>
  <c r="G13" i="7"/>
  <c r="H15" i="7"/>
  <c r="F26" i="7"/>
  <c r="E26" i="7"/>
  <c r="C26" i="7"/>
  <c r="B26" i="7"/>
  <c r="I26" i="7"/>
  <c r="C33" i="7"/>
  <c r="A33" i="7"/>
  <c r="I33" i="7"/>
  <c r="G33" i="7"/>
  <c r="F33" i="7"/>
  <c r="D33" i="7"/>
  <c r="I53" i="7"/>
  <c r="H53" i="7"/>
  <c r="G53" i="7"/>
  <c r="F53" i="7"/>
  <c r="E53" i="7"/>
  <c r="C53" i="7"/>
  <c r="B53" i="7"/>
  <c r="A53" i="7"/>
  <c r="G121" i="7"/>
  <c r="F121" i="7"/>
  <c r="E121" i="7"/>
  <c r="D121" i="7"/>
  <c r="C121" i="7"/>
  <c r="B121" i="7"/>
  <c r="A121" i="7"/>
  <c r="I121" i="7"/>
  <c r="H121" i="7"/>
  <c r="I126" i="7"/>
  <c r="H126" i="7"/>
  <c r="G126" i="7"/>
  <c r="F126" i="7"/>
  <c r="E126" i="7"/>
  <c r="D126" i="7"/>
  <c r="C126" i="7"/>
  <c r="B126" i="7"/>
  <c r="A126" i="7"/>
  <c r="D130" i="7"/>
  <c r="C130" i="7"/>
  <c r="B130" i="7"/>
  <c r="A130" i="7"/>
  <c r="I130" i="7"/>
  <c r="H130" i="7"/>
  <c r="G130" i="7"/>
  <c r="F130" i="7"/>
  <c r="E130" i="7"/>
  <c r="I38" i="8"/>
  <c r="I52" i="8"/>
  <c r="G237" i="5"/>
  <c r="C245" i="5"/>
  <c r="D246" i="5"/>
  <c r="G249" i="5"/>
  <c r="A255" i="5"/>
  <c r="C8" i="6"/>
  <c r="D9" i="6"/>
  <c r="G12" i="6"/>
  <c r="I14" i="6"/>
  <c r="A18" i="6"/>
  <c r="C20" i="6"/>
  <c r="D21" i="6"/>
  <c r="G24" i="6"/>
  <c r="I26" i="6"/>
  <c r="A30" i="6"/>
  <c r="C32" i="6"/>
  <c r="D33" i="6"/>
  <c r="G36" i="6"/>
  <c r="I38" i="6"/>
  <c r="A42" i="6"/>
  <c r="C44" i="6"/>
  <c r="D45" i="6"/>
  <c r="G48" i="6"/>
  <c r="I50" i="6"/>
  <c r="A54" i="6"/>
  <c r="C56" i="6"/>
  <c r="D57" i="6"/>
  <c r="G60" i="6"/>
  <c r="I62" i="6"/>
  <c r="A66" i="6"/>
  <c r="C68" i="6"/>
  <c r="D69" i="6"/>
  <c r="G72" i="6"/>
  <c r="I74" i="6"/>
  <c r="A78" i="6"/>
  <c r="C80" i="6"/>
  <c r="D81" i="6"/>
  <c r="G84" i="6"/>
  <c r="I86" i="6"/>
  <c r="A90" i="6"/>
  <c r="C92" i="6"/>
  <c r="D93" i="6"/>
  <c r="G96" i="6"/>
  <c r="I98" i="6"/>
  <c r="A102" i="6"/>
  <c r="C104" i="6"/>
  <c r="D105" i="6"/>
  <c r="G108" i="6"/>
  <c r="I110" i="6"/>
  <c r="A114" i="6"/>
  <c r="C116" i="6"/>
  <c r="D117" i="6"/>
  <c r="G120" i="6"/>
  <c r="I122" i="6"/>
  <c r="A126" i="6"/>
  <c r="C128" i="6"/>
  <c r="D129" i="6"/>
  <c r="G132" i="6"/>
  <c r="I134" i="6"/>
  <c r="A138" i="6"/>
  <c r="C140" i="6"/>
  <c r="C146" i="6"/>
  <c r="E147" i="6"/>
  <c r="H149" i="6"/>
  <c r="G21" i="7"/>
  <c r="H50" i="7"/>
  <c r="F50" i="7"/>
  <c r="E50" i="7"/>
  <c r="D50" i="7"/>
  <c r="C50" i="7"/>
  <c r="B50" i="7"/>
  <c r="I50" i="7"/>
  <c r="I87" i="7"/>
  <c r="H87" i="7"/>
  <c r="G87" i="7"/>
  <c r="F87" i="7"/>
  <c r="E87" i="7"/>
  <c r="D87" i="7"/>
  <c r="C87" i="7"/>
  <c r="B87" i="7"/>
  <c r="A87" i="7"/>
  <c r="F156" i="7"/>
  <c r="E156" i="7"/>
  <c r="D156" i="7"/>
  <c r="C156" i="7"/>
  <c r="B156" i="7"/>
  <c r="A156" i="7"/>
  <c r="I156" i="7"/>
  <c r="H156" i="7"/>
  <c r="G156" i="7"/>
  <c r="A35" i="8"/>
  <c r="I35" i="8"/>
  <c r="H35" i="8"/>
  <c r="G35" i="8"/>
  <c r="F35" i="8"/>
  <c r="E35" i="8"/>
  <c r="D35" i="8"/>
  <c r="C35" i="8"/>
  <c r="B35" i="8"/>
  <c r="B255" i="5"/>
  <c r="E153" i="6"/>
  <c r="D153" i="6"/>
  <c r="A153" i="6"/>
  <c r="C11" i="7"/>
  <c r="B11" i="7"/>
  <c r="H11" i="7"/>
  <c r="F11" i="7"/>
  <c r="E13" i="7"/>
  <c r="D13" i="7"/>
  <c r="B13" i="7"/>
  <c r="A13" i="7"/>
  <c r="H13" i="7"/>
  <c r="G15" i="7"/>
  <c r="F15" i="7"/>
  <c r="D15" i="7"/>
  <c r="C15" i="7"/>
  <c r="A23" i="7"/>
  <c r="B27" i="7"/>
  <c r="E35" i="7"/>
  <c r="C35" i="7"/>
  <c r="B35" i="7"/>
  <c r="I35" i="7"/>
  <c r="H35" i="7"/>
  <c r="F35" i="7"/>
  <c r="C45" i="7"/>
  <c r="A45" i="7"/>
  <c r="I45" i="7"/>
  <c r="G45" i="7"/>
  <c r="F45" i="7"/>
  <c r="D45" i="7"/>
  <c r="F96" i="7"/>
  <c r="E96" i="7"/>
  <c r="D96" i="7"/>
  <c r="C96" i="7"/>
  <c r="B96" i="7"/>
  <c r="A96" i="7"/>
  <c r="I96" i="7"/>
  <c r="H96" i="7"/>
  <c r="G96" i="7"/>
  <c r="I39" i="8"/>
  <c r="I237" i="5"/>
  <c r="A241" i="5"/>
  <c r="E245" i="5"/>
  <c r="F246" i="5"/>
  <c r="I249" i="5"/>
  <c r="A253" i="5"/>
  <c r="C255" i="5"/>
  <c r="E8" i="6"/>
  <c r="F9" i="6"/>
  <c r="I12" i="6"/>
  <c r="A16" i="6"/>
  <c r="C18" i="6"/>
  <c r="E20" i="6"/>
  <c r="F21" i="6"/>
  <c r="I24" i="6"/>
  <c r="A28" i="6"/>
  <c r="C30" i="6"/>
  <c r="E32" i="6"/>
  <c r="F33" i="6"/>
  <c r="I36" i="6"/>
  <c r="A40" i="6"/>
  <c r="C42" i="6"/>
  <c r="E44" i="6"/>
  <c r="F45" i="6"/>
  <c r="I48" i="6"/>
  <c r="A52" i="6"/>
  <c r="C54" i="6"/>
  <c r="E56" i="6"/>
  <c r="F57" i="6"/>
  <c r="I60" i="6"/>
  <c r="A64" i="6"/>
  <c r="C66" i="6"/>
  <c r="E68" i="6"/>
  <c r="F69" i="6"/>
  <c r="I72" i="6"/>
  <c r="A76" i="6"/>
  <c r="C78" i="6"/>
  <c r="E80" i="6"/>
  <c r="F81" i="6"/>
  <c r="I84" i="6"/>
  <c r="A88" i="6"/>
  <c r="C90" i="6"/>
  <c r="E92" i="6"/>
  <c r="F93" i="6"/>
  <c r="I96" i="6"/>
  <c r="A100" i="6"/>
  <c r="C102" i="6"/>
  <c r="E104" i="6"/>
  <c r="F105" i="6"/>
  <c r="I108" i="6"/>
  <c r="A112" i="6"/>
  <c r="C114" i="6"/>
  <c r="E116" i="6"/>
  <c r="F117" i="6"/>
  <c r="I120" i="6"/>
  <c r="A124" i="6"/>
  <c r="C126" i="6"/>
  <c r="E128" i="6"/>
  <c r="F129" i="6"/>
  <c r="I132" i="6"/>
  <c r="A136" i="6"/>
  <c r="C138" i="6"/>
  <c r="F140" i="6"/>
  <c r="E146" i="6"/>
  <c r="G147" i="6"/>
  <c r="D151" i="6"/>
  <c r="A7" i="7"/>
  <c r="I8" i="7"/>
  <c r="H8" i="7"/>
  <c r="E8" i="7"/>
  <c r="C8" i="7"/>
  <c r="A14" i="7"/>
  <c r="B16" i="7"/>
  <c r="B18" i="7"/>
  <c r="A20" i="7"/>
  <c r="A21" i="7"/>
  <c r="I21" i="7"/>
  <c r="F21" i="7"/>
  <c r="D21" i="7"/>
  <c r="D23" i="7"/>
  <c r="C25" i="7"/>
  <c r="E27" i="7"/>
  <c r="I29" i="7"/>
  <c r="H29" i="7"/>
  <c r="F29" i="7"/>
  <c r="E29" i="7"/>
  <c r="C29" i="7"/>
  <c r="B29" i="7"/>
  <c r="H38" i="7"/>
  <c r="F38" i="7"/>
  <c r="E38" i="7"/>
  <c r="C38" i="7"/>
  <c r="B38" i="7"/>
  <c r="I38" i="7"/>
  <c r="E47" i="7"/>
  <c r="C47" i="7"/>
  <c r="B47" i="7"/>
  <c r="A47" i="7"/>
  <c r="I47" i="7"/>
  <c r="H47" i="7"/>
  <c r="F47" i="7"/>
  <c r="I54" i="7"/>
  <c r="H54" i="7"/>
  <c r="G54" i="7"/>
  <c r="F54" i="7"/>
  <c r="D54" i="7"/>
  <c r="C54" i="7"/>
  <c r="B54" i="7"/>
  <c r="A54" i="7"/>
  <c r="E59" i="7"/>
  <c r="D59" i="7"/>
  <c r="C59" i="7"/>
  <c r="B59" i="7"/>
  <c r="A59" i="7"/>
  <c r="I59" i="7"/>
  <c r="H59" i="7"/>
  <c r="G59" i="7"/>
  <c r="F59" i="7"/>
  <c r="G97" i="7"/>
  <c r="F97" i="7"/>
  <c r="E97" i="7"/>
  <c r="D97" i="7"/>
  <c r="C97" i="7"/>
  <c r="B97" i="7"/>
  <c r="A97" i="7"/>
  <c r="I97" i="7"/>
  <c r="H97" i="7"/>
  <c r="I102" i="7"/>
  <c r="H102" i="7"/>
  <c r="G102" i="7"/>
  <c r="F102" i="7"/>
  <c r="E102" i="7"/>
  <c r="D102" i="7"/>
  <c r="C102" i="7"/>
  <c r="B102" i="7"/>
  <c r="A102" i="7"/>
  <c r="C105" i="7"/>
  <c r="B105" i="7"/>
  <c r="A105" i="7"/>
  <c r="I105" i="7"/>
  <c r="H105" i="7"/>
  <c r="G105" i="7"/>
  <c r="F105" i="7"/>
  <c r="E105" i="7"/>
  <c r="D105" i="7"/>
  <c r="I123" i="7"/>
  <c r="H123" i="7"/>
  <c r="G123" i="7"/>
  <c r="F123" i="7"/>
  <c r="E123" i="7"/>
  <c r="D123" i="7"/>
  <c r="C123" i="7"/>
  <c r="B123" i="7"/>
  <c r="A123" i="7"/>
  <c r="F132" i="7"/>
  <c r="E132" i="7"/>
  <c r="D132" i="7"/>
  <c r="C132" i="7"/>
  <c r="B132" i="7"/>
  <c r="A132" i="7"/>
  <c r="I132" i="7"/>
  <c r="H132" i="7"/>
  <c r="G132" i="7"/>
  <c r="C141" i="7"/>
  <c r="B141" i="7"/>
  <c r="A141" i="7"/>
  <c r="I141" i="7"/>
  <c r="H141" i="7"/>
  <c r="G141" i="7"/>
  <c r="F141" i="7"/>
  <c r="E141" i="7"/>
  <c r="D141" i="7"/>
  <c r="F7" i="8"/>
  <c r="E7" i="8"/>
  <c r="D7" i="8"/>
  <c r="C7" i="8"/>
  <c r="B7" i="8"/>
  <c r="A7" i="8"/>
  <c r="I7" i="8"/>
  <c r="H7" i="8"/>
  <c r="G7" i="8"/>
  <c r="I12" i="8"/>
  <c r="A15" i="8"/>
  <c r="C15" i="8"/>
  <c r="B15" i="8"/>
  <c r="I15" i="8"/>
  <c r="H15" i="8"/>
  <c r="G15" i="8"/>
  <c r="F15" i="8"/>
  <c r="E15" i="8"/>
  <c r="D15" i="8"/>
  <c r="H22" i="8"/>
  <c r="G22" i="8"/>
  <c r="I22" i="8"/>
  <c r="F22" i="8"/>
  <c r="E22" i="8"/>
  <c r="D22" i="8"/>
  <c r="C22" i="8"/>
  <c r="B22" i="8"/>
  <c r="A22" i="8"/>
  <c r="E27" i="8"/>
  <c r="A27" i="8"/>
  <c r="B27" i="8"/>
  <c r="I27" i="8"/>
  <c r="H27" i="8"/>
  <c r="G27" i="8"/>
  <c r="F27" i="8"/>
  <c r="D27" i="8"/>
  <c r="C27" i="8"/>
  <c r="B241" i="5"/>
  <c r="F245" i="5"/>
  <c r="G246" i="5"/>
  <c r="B253" i="5"/>
  <c r="D255" i="5"/>
  <c r="F8" i="6"/>
  <c r="G9" i="6"/>
  <c r="B16" i="6"/>
  <c r="D18" i="6"/>
  <c r="F20" i="6"/>
  <c r="G21" i="6"/>
  <c r="B28" i="6"/>
  <c r="D30" i="6"/>
  <c r="F32" i="6"/>
  <c r="G33" i="6"/>
  <c r="B40" i="6"/>
  <c r="D42" i="6"/>
  <c r="F44" i="6"/>
  <c r="G45" i="6"/>
  <c r="B52" i="6"/>
  <c r="D54" i="6"/>
  <c r="F56" i="6"/>
  <c r="G57" i="6"/>
  <c r="B64" i="6"/>
  <c r="D66" i="6"/>
  <c r="F68" i="6"/>
  <c r="G69" i="6"/>
  <c r="B76" i="6"/>
  <c r="D78" i="6"/>
  <c r="F80" i="6"/>
  <c r="G81" i="6"/>
  <c r="B88" i="6"/>
  <c r="D90" i="6"/>
  <c r="F92" i="6"/>
  <c r="G93" i="6"/>
  <c r="B100" i="6"/>
  <c r="D102" i="6"/>
  <c r="F104" i="6"/>
  <c r="G105" i="6"/>
  <c r="B112" i="6"/>
  <c r="D114" i="6"/>
  <c r="F116" i="6"/>
  <c r="G117" i="6"/>
  <c r="B124" i="6"/>
  <c r="D126" i="6"/>
  <c r="F128" i="6"/>
  <c r="G129" i="6"/>
  <c r="B136" i="6"/>
  <c r="D138" i="6"/>
  <c r="G140" i="6"/>
  <c r="F146" i="6"/>
  <c r="H147" i="6"/>
  <c r="E151" i="6"/>
  <c r="A154" i="6"/>
  <c r="C7" i="7"/>
  <c r="B12" i="7"/>
  <c r="D14" i="7"/>
  <c r="C16" i="7"/>
  <c r="D18" i="7"/>
  <c r="B20" i="7"/>
  <c r="E23" i="7"/>
  <c r="F25" i="7"/>
  <c r="H27" i="7"/>
  <c r="A32" i="7"/>
  <c r="B36" i="7"/>
  <c r="C57" i="7"/>
  <c r="B57" i="7"/>
  <c r="A57" i="7"/>
  <c r="I57" i="7"/>
  <c r="G57" i="7"/>
  <c r="F57" i="7"/>
  <c r="E57" i="7"/>
  <c r="D57" i="7"/>
  <c r="D106" i="7"/>
  <c r="C106" i="7"/>
  <c r="B106" i="7"/>
  <c r="A106" i="7"/>
  <c r="I106" i="7"/>
  <c r="H106" i="7"/>
  <c r="G106" i="7"/>
  <c r="F106" i="7"/>
  <c r="E106" i="7"/>
  <c r="G133" i="7"/>
  <c r="F133" i="7"/>
  <c r="E133" i="7"/>
  <c r="D133" i="7"/>
  <c r="C133" i="7"/>
  <c r="B133" i="7"/>
  <c r="A133" i="7"/>
  <c r="I133" i="7"/>
  <c r="H133" i="7"/>
  <c r="I138" i="7"/>
  <c r="H138" i="7"/>
  <c r="G138" i="7"/>
  <c r="F138" i="7"/>
  <c r="E138" i="7"/>
  <c r="D138" i="7"/>
  <c r="C138" i="7"/>
  <c r="B138" i="7"/>
  <c r="A138" i="7"/>
  <c r="D142" i="7"/>
  <c r="C142" i="7"/>
  <c r="B142" i="7"/>
  <c r="A142" i="7"/>
  <c r="I142" i="7"/>
  <c r="H142" i="7"/>
  <c r="G142" i="7"/>
  <c r="F142" i="7"/>
  <c r="E142" i="7"/>
  <c r="G8" i="8"/>
  <c r="F8" i="8"/>
  <c r="E8" i="8"/>
  <c r="D8" i="8"/>
  <c r="C8" i="8"/>
  <c r="B8" i="8"/>
  <c r="A8" i="8"/>
  <c r="I8" i="8"/>
  <c r="H8" i="8"/>
  <c r="B16" i="8"/>
  <c r="A16" i="8"/>
  <c r="F16" i="8"/>
  <c r="E16" i="8"/>
  <c r="D16" i="8"/>
  <c r="C16" i="8"/>
  <c r="I16" i="8"/>
  <c r="H16" i="8"/>
  <c r="G16" i="8"/>
  <c r="A23" i="8"/>
  <c r="I23" i="8"/>
  <c r="H23" i="8"/>
  <c r="B23" i="8"/>
  <c r="G23" i="8"/>
  <c r="F23" i="8"/>
  <c r="E23" i="8"/>
  <c r="D23" i="8"/>
  <c r="C23" i="8"/>
  <c r="F28" i="8"/>
  <c r="B28" i="8"/>
  <c r="A28" i="8"/>
  <c r="G28" i="8"/>
  <c r="E28" i="8"/>
  <c r="D28" i="8"/>
  <c r="C28" i="8"/>
  <c r="I28" i="8"/>
  <c r="H28" i="8"/>
  <c r="C241" i="5"/>
  <c r="G245" i="5"/>
  <c r="H246" i="5"/>
  <c r="C253" i="5"/>
  <c r="E255" i="5"/>
  <c r="G8" i="6"/>
  <c r="H9" i="6"/>
  <c r="A14" i="6"/>
  <c r="C16" i="6"/>
  <c r="E18" i="6"/>
  <c r="G20" i="6"/>
  <c r="H21" i="6"/>
  <c r="A26" i="6"/>
  <c r="C28" i="6"/>
  <c r="E30" i="6"/>
  <c r="G32" i="6"/>
  <c r="H33" i="6"/>
  <c r="A38" i="6"/>
  <c r="C40" i="6"/>
  <c r="E42" i="6"/>
  <c r="G44" i="6"/>
  <c r="H45" i="6"/>
  <c r="A50" i="6"/>
  <c r="C52" i="6"/>
  <c r="E54" i="6"/>
  <c r="G56" i="6"/>
  <c r="H57" i="6"/>
  <c r="A62" i="6"/>
  <c r="C64" i="6"/>
  <c r="E66" i="6"/>
  <c r="G68" i="6"/>
  <c r="H69" i="6"/>
  <c r="A74" i="6"/>
  <c r="C76" i="6"/>
  <c r="E78" i="6"/>
  <c r="G80" i="6"/>
  <c r="H81" i="6"/>
  <c r="A86" i="6"/>
  <c r="C88" i="6"/>
  <c r="E90" i="6"/>
  <c r="G92" i="6"/>
  <c r="H93" i="6"/>
  <c r="A98" i="6"/>
  <c r="C100" i="6"/>
  <c r="E102" i="6"/>
  <c r="G104" i="6"/>
  <c r="H105" i="6"/>
  <c r="A110" i="6"/>
  <c r="C112" i="6"/>
  <c r="E114" i="6"/>
  <c r="G116" i="6"/>
  <c r="H117" i="6"/>
  <c r="A122" i="6"/>
  <c r="C124" i="6"/>
  <c r="E126" i="6"/>
  <c r="G128" i="6"/>
  <c r="H129" i="6"/>
  <c r="A134" i="6"/>
  <c r="C136" i="6"/>
  <c r="E138" i="6"/>
  <c r="H140" i="6"/>
  <c r="G146" i="6"/>
  <c r="I147" i="6"/>
  <c r="C150" i="6"/>
  <c r="C154" i="6"/>
  <c r="E7" i="7"/>
  <c r="B9" i="7"/>
  <c r="E12" i="7"/>
  <c r="G14" i="7"/>
  <c r="F16" i="7"/>
  <c r="E18" i="7"/>
  <c r="D20" i="7"/>
  <c r="G23" i="7"/>
  <c r="G25" i="7"/>
  <c r="B30" i="7"/>
  <c r="D32" i="7"/>
  <c r="E36" i="7"/>
  <c r="B39" i="7"/>
  <c r="I41" i="7"/>
  <c r="H41" i="7"/>
  <c r="F41" i="7"/>
  <c r="E41" i="7"/>
  <c r="C41" i="7"/>
  <c r="B41" i="7"/>
  <c r="E48" i="7"/>
  <c r="I51" i="7"/>
  <c r="G51" i="7"/>
  <c r="F51" i="7"/>
  <c r="E51" i="7"/>
  <c r="D51" i="7"/>
  <c r="C51" i="7"/>
  <c r="A51" i="7"/>
  <c r="F60" i="7"/>
  <c r="E60" i="7"/>
  <c r="D60" i="7"/>
  <c r="C60" i="7"/>
  <c r="B60" i="7"/>
  <c r="A60" i="7"/>
  <c r="I60" i="7"/>
  <c r="H60" i="7"/>
  <c r="G60" i="7"/>
  <c r="C17" i="8"/>
  <c r="B17" i="8"/>
  <c r="I17" i="8"/>
  <c r="H17" i="8"/>
  <c r="F17" i="8"/>
  <c r="E17" i="8"/>
  <c r="D17" i="8"/>
  <c r="A17" i="8"/>
  <c r="H54" i="8"/>
  <c r="G54" i="8"/>
  <c r="E54" i="8"/>
  <c r="D54" i="8"/>
  <c r="C54" i="8"/>
  <c r="B54" i="8"/>
  <c r="A54" i="8"/>
  <c r="I54" i="8"/>
  <c r="F54" i="8"/>
  <c r="D241" i="5"/>
  <c r="I246" i="5"/>
  <c r="D253" i="5"/>
  <c r="F255" i="5"/>
  <c r="I9" i="6"/>
  <c r="B14" i="6"/>
  <c r="D16" i="6"/>
  <c r="F18" i="6"/>
  <c r="I21" i="6"/>
  <c r="B26" i="6"/>
  <c r="D28" i="6"/>
  <c r="F30" i="6"/>
  <c r="I33" i="6"/>
  <c r="B38" i="6"/>
  <c r="D40" i="6"/>
  <c r="F42" i="6"/>
  <c r="I45" i="6"/>
  <c r="B50" i="6"/>
  <c r="D52" i="6"/>
  <c r="F54" i="6"/>
  <c r="I57" i="6"/>
  <c r="B62" i="6"/>
  <c r="D64" i="6"/>
  <c r="F66" i="6"/>
  <c r="I69" i="6"/>
  <c r="B74" i="6"/>
  <c r="D76" i="6"/>
  <c r="F78" i="6"/>
  <c r="I81" i="6"/>
  <c r="B86" i="6"/>
  <c r="D88" i="6"/>
  <c r="F90" i="6"/>
  <c r="I93" i="6"/>
  <c r="B98" i="6"/>
  <c r="D100" i="6"/>
  <c r="F102" i="6"/>
  <c r="I105" i="6"/>
  <c r="B110" i="6"/>
  <c r="D112" i="6"/>
  <c r="F114" i="6"/>
  <c r="I117" i="6"/>
  <c r="B122" i="6"/>
  <c r="D124" i="6"/>
  <c r="F126" i="6"/>
  <c r="I129" i="6"/>
  <c r="B134" i="6"/>
  <c r="F138" i="6"/>
  <c r="I140" i="6"/>
  <c r="C9" i="7"/>
  <c r="G27" i="7"/>
  <c r="F27" i="7"/>
  <c r="D27" i="7"/>
  <c r="C27" i="7"/>
  <c r="A27" i="7"/>
  <c r="A44" i="7"/>
  <c r="G61" i="7"/>
  <c r="F61" i="7"/>
  <c r="E61" i="7"/>
  <c r="D61" i="7"/>
  <c r="C61" i="7"/>
  <c r="B61" i="7"/>
  <c r="A61" i="7"/>
  <c r="I61" i="7"/>
  <c r="H61" i="7"/>
  <c r="I66" i="7"/>
  <c r="H66" i="7"/>
  <c r="G66" i="7"/>
  <c r="F66" i="7"/>
  <c r="E66" i="7"/>
  <c r="D66" i="7"/>
  <c r="C66" i="7"/>
  <c r="B66" i="7"/>
  <c r="A66" i="7"/>
  <c r="C69" i="7"/>
  <c r="B69" i="7"/>
  <c r="A69" i="7"/>
  <c r="I69" i="7"/>
  <c r="H69" i="7"/>
  <c r="G69" i="7"/>
  <c r="F69" i="7"/>
  <c r="E69" i="7"/>
  <c r="D69" i="7"/>
  <c r="I99" i="7"/>
  <c r="H99" i="7"/>
  <c r="G99" i="7"/>
  <c r="F99" i="7"/>
  <c r="E99" i="7"/>
  <c r="D99" i="7"/>
  <c r="C99" i="7"/>
  <c r="B99" i="7"/>
  <c r="A99" i="7"/>
  <c r="D18" i="8"/>
  <c r="C18" i="8"/>
  <c r="I18" i="8"/>
  <c r="H18" i="8"/>
  <c r="G18" i="8"/>
  <c r="F18" i="8"/>
  <c r="E18" i="8"/>
  <c r="B18" i="8"/>
  <c r="A18" i="8"/>
  <c r="I29" i="8"/>
  <c r="A237" i="5"/>
  <c r="G255" i="5"/>
  <c r="C14" i="6"/>
  <c r="C26" i="6"/>
  <c r="C38" i="6"/>
  <c r="C50" i="6"/>
  <c r="C62" i="6"/>
  <c r="C74" i="6"/>
  <c r="C86" i="6"/>
  <c r="C98" i="6"/>
  <c r="C110" i="6"/>
  <c r="C122" i="6"/>
  <c r="C134" i="6"/>
  <c r="F14" i="7"/>
  <c r="E14" i="7"/>
  <c r="C14" i="7"/>
  <c r="B14" i="7"/>
  <c r="I14" i="7"/>
  <c r="H16" i="7"/>
  <c r="G16" i="7"/>
  <c r="E16" i="7"/>
  <c r="D16" i="7"/>
  <c r="A16" i="7"/>
  <c r="I18" i="7"/>
  <c r="G18" i="7"/>
  <c r="F18" i="7"/>
  <c r="C18" i="7"/>
  <c r="A18" i="7"/>
  <c r="C23" i="7"/>
  <c r="B23" i="7"/>
  <c r="H23" i="7"/>
  <c r="F23" i="7"/>
  <c r="E25" i="7"/>
  <c r="D25" i="7"/>
  <c r="B25" i="7"/>
  <c r="A25" i="7"/>
  <c r="H25" i="7"/>
  <c r="B32" i="7"/>
  <c r="I32" i="7"/>
  <c r="H32" i="7"/>
  <c r="F32" i="7"/>
  <c r="E32" i="7"/>
  <c r="C32" i="7"/>
  <c r="F36" i="7"/>
  <c r="D36" i="7"/>
  <c r="C36" i="7"/>
  <c r="A36" i="7"/>
  <c r="I36" i="7"/>
  <c r="G36" i="7"/>
  <c r="F48" i="7"/>
  <c r="D48" i="7"/>
  <c r="C48" i="7"/>
  <c r="B48" i="7"/>
  <c r="A48" i="7"/>
  <c r="I48" i="7"/>
  <c r="G48" i="7"/>
  <c r="F72" i="7"/>
  <c r="E72" i="7"/>
  <c r="D72" i="7"/>
  <c r="C72" i="7"/>
  <c r="B72" i="7"/>
  <c r="A72" i="7"/>
  <c r="I72" i="7"/>
  <c r="H72" i="7"/>
  <c r="G72" i="7"/>
  <c r="F108" i="7"/>
  <c r="E108" i="7"/>
  <c r="D108" i="7"/>
  <c r="C108" i="7"/>
  <c r="B108" i="7"/>
  <c r="A108" i="7"/>
  <c r="I108" i="7"/>
  <c r="H108" i="7"/>
  <c r="G108" i="7"/>
  <c r="C117" i="7"/>
  <c r="B117" i="7"/>
  <c r="A117" i="7"/>
  <c r="I117" i="7"/>
  <c r="H117" i="7"/>
  <c r="G117" i="7"/>
  <c r="F117" i="7"/>
  <c r="E117" i="7"/>
  <c r="D117" i="7"/>
  <c r="I135" i="7"/>
  <c r="H135" i="7"/>
  <c r="G135" i="7"/>
  <c r="F135" i="7"/>
  <c r="E135" i="7"/>
  <c r="D135" i="7"/>
  <c r="C135" i="7"/>
  <c r="B135" i="7"/>
  <c r="A135" i="7"/>
  <c r="F144" i="7"/>
  <c r="E144" i="7"/>
  <c r="D144" i="7"/>
  <c r="C144" i="7"/>
  <c r="B144" i="7"/>
  <c r="A144" i="7"/>
  <c r="I144" i="7"/>
  <c r="H144" i="7"/>
  <c r="G144" i="7"/>
  <c r="I10" i="8"/>
  <c r="H10" i="8"/>
  <c r="G10" i="8"/>
  <c r="F10" i="8"/>
  <c r="E10" i="8"/>
  <c r="D10" i="8"/>
  <c r="C10" i="8"/>
  <c r="B10" i="8"/>
  <c r="A10" i="8"/>
  <c r="E19" i="8"/>
  <c r="D19" i="8"/>
  <c r="A19" i="8"/>
  <c r="I19" i="8"/>
  <c r="H19" i="8"/>
  <c r="G19" i="8"/>
  <c r="F19" i="8"/>
  <c r="C19" i="8"/>
  <c r="B19" i="8"/>
  <c r="I33" i="8"/>
  <c r="B237" i="5"/>
  <c r="F241" i="5"/>
  <c r="B249" i="5"/>
  <c r="F253" i="5"/>
  <c r="H255" i="5"/>
  <c r="D14" i="6"/>
  <c r="D26" i="6"/>
  <c r="D38" i="6"/>
  <c r="D50" i="6"/>
  <c r="D62" i="6"/>
  <c r="D74" i="6"/>
  <c r="D86" i="6"/>
  <c r="D98" i="6"/>
  <c r="D110" i="6"/>
  <c r="D122" i="6"/>
  <c r="D134" i="6"/>
  <c r="B153" i="6"/>
  <c r="H7" i="7"/>
  <c r="G7" i="7"/>
  <c r="D7" i="7"/>
  <c r="B7" i="7"/>
  <c r="D12" i="7"/>
  <c r="C12" i="7"/>
  <c r="A12" i="7"/>
  <c r="I12" i="7"/>
  <c r="G12" i="7"/>
  <c r="I20" i="7"/>
  <c r="H20" i="7"/>
  <c r="E20" i="7"/>
  <c r="C20" i="7"/>
  <c r="I30" i="7"/>
  <c r="G30" i="7"/>
  <c r="F30" i="7"/>
  <c r="D30" i="7"/>
  <c r="C30" i="7"/>
  <c r="A30" i="7"/>
  <c r="I39" i="7"/>
  <c r="G39" i="7"/>
  <c r="F39" i="7"/>
  <c r="D39" i="7"/>
  <c r="C39" i="7"/>
  <c r="A39" i="7"/>
  <c r="E42" i="7"/>
  <c r="G73" i="7"/>
  <c r="F73" i="7"/>
  <c r="E73" i="7"/>
  <c r="D73" i="7"/>
  <c r="C73" i="7"/>
  <c r="B73" i="7"/>
  <c r="A73" i="7"/>
  <c r="I73" i="7"/>
  <c r="H73" i="7"/>
  <c r="I78" i="7"/>
  <c r="H78" i="7"/>
  <c r="G78" i="7"/>
  <c r="F78" i="7"/>
  <c r="E78" i="7"/>
  <c r="D78" i="7"/>
  <c r="C78" i="7"/>
  <c r="B78" i="7"/>
  <c r="A78" i="7"/>
  <c r="C81" i="7"/>
  <c r="B81" i="7"/>
  <c r="A81" i="7"/>
  <c r="I81" i="7"/>
  <c r="H81" i="7"/>
  <c r="G81" i="7"/>
  <c r="F81" i="7"/>
  <c r="E81" i="7"/>
  <c r="D81" i="7"/>
  <c r="G109" i="7"/>
  <c r="F109" i="7"/>
  <c r="E109" i="7"/>
  <c r="D109" i="7"/>
  <c r="C109" i="7"/>
  <c r="B109" i="7"/>
  <c r="A109" i="7"/>
  <c r="I109" i="7"/>
  <c r="H109" i="7"/>
  <c r="I114" i="7"/>
  <c r="H114" i="7"/>
  <c r="G114" i="7"/>
  <c r="F114" i="7"/>
  <c r="E114" i="7"/>
  <c r="D114" i="7"/>
  <c r="C114" i="7"/>
  <c r="B114" i="7"/>
  <c r="A114" i="7"/>
  <c r="D118" i="7"/>
  <c r="C118" i="7"/>
  <c r="B118" i="7"/>
  <c r="A118" i="7"/>
  <c r="I118" i="7"/>
  <c r="H118" i="7"/>
  <c r="G118" i="7"/>
  <c r="F118" i="7"/>
  <c r="E118" i="7"/>
  <c r="G145" i="7"/>
  <c r="F145" i="7"/>
  <c r="E145" i="7"/>
  <c r="D145" i="7"/>
  <c r="C145" i="7"/>
  <c r="B145" i="7"/>
  <c r="A145" i="7"/>
  <c r="I145" i="7"/>
  <c r="H145" i="7"/>
  <c r="F20" i="8"/>
  <c r="E20" i="8"/>
  <c r="D20" i="8"/>
  <c r="C20" i="8"/>
  <c r="B20" i="8"/>
  <c r="A20" i="8"/>
  <c r="I20" i="8"/>
  <c r="H20" i="8"/>
  <c r="G20" i="8"/>
  <c r="H30" i="8"/>
  <c r="D30" i="8"/>
  <c r="C30" i="8"/>
  <c r="I30" i="8"/>
  <c r="G30" i="8"/>
  <c r="F30" i="8"/>
  <c r="E30" i="8"/>
  <c r="B30" i="8"/>
  <c r="A30" i="8"/>
  <c r="G41" i="8"/>
  <c r="F41" i="8"/>
  <c r="D41" i="8"/>
  <c r="C41" i="8"/>
  <c r="B41" i="8"/>
  <c r="A41" i="8"/>
  <c r="I41" i="8"/>
  <c r="H41" i="8"/>
  <c r="E41" i="8"/>
  <c r="E14" i="6"/>
  <c r="E26" i="6"/>
  <c r="E38" i="6"/>
  <c r="E50" i="6"/>
  <c r="E62" i="6"/>
  <c r="E74" i="6"/>
  <c r="E86" i="6"/>
  <c r="E98" i="6"/>
  <c r="E110" i="6"/>
  <c r="E122" i="6"/>
  <c r="E134" i="6"/>
  <c r="A147" i="6"/>
  <c r="G150" i="6"/>
  <c r="C151" i="6"/>
  <c r="B151" i="6"/>
  <c r="C153" i="6"/>
  <c r="E156" i="6"/>
  <c r="A11" i="7"/>
  <c r="A15" i="7"/>
  <c r="D26" i="7"/>
  <c r="B33" i="7"/>
  <c r="B44" i="7"/>
  <c r="I44" i="7"/>
  <c r="H44" i="7"/>
  <c r="F44" i="7"/>
  <c r="E44" i="7"/>
  <c r="C44" i="7"/>
  <c r="I63" i="7"/>
  <c r="H63" i="7"/>
  <c r="G63" i="7"/>
  <c r="F63" i="7"/>
  <c r="E63" i="7"/>
  <c r="D63" i="7"/>
  <c r="C63" i="7"/>
  <c r="B63" i="7"/>
  <c r="A63" i="7"/>
  <c r="F84" i="7"/>
  <c r="E84" i="7"/>
  <c r="D84" i="7"/>
  <c r="C84" i="7"/>
  <c r="B84" i="7"/>
  <c r="A84" i="7"/>
  <c r="I84" i="7"/>
  <c r="H84" i="7"/>
  <c r="G84" i="7"/>
  <c r="C153" i="7"/>
  <c r="B153" i="7"/>
  <c r="A153" i="7"/>
  <c r="I153" i="7"/>
  <c r="H153" i="7"/>
  <c r="G153" i="7"/>
  <c r="F153" i="7"/>
  <c r="E153" i="7"/>
  <c r="D153" i="7"/>
  <c r="I31" i="8"/>
  <c r="E31" i="8"/>
  <c r="D31" i="8"/>
  <c r="F31" i="8"/>
  <c r="C31" i="8"/>
  <c r="B31" i="8"/>
  <c r="A31" i="8"/>
  <c r="H31" i="8"/>
  <c r="G31" i="8"/>
  <c r="H42" i="8"/>
  <c r="G42" i="8"/>
  <c r="E42" i="8"/>
  <c r="D42" i="8"/>
  <c r="C42" i="8"/>
  <c r="B42" i="8"/>
  <c r="A42" i="8"/>
  <c r="I42" i="8"/>
  <c r="F42" i="8"/>
  <c r="F153" i="6"/>
  <c r="F154" i="6"/>
  <c r="E154" i="6"/>
  <c r="B154" i="6"/>
  <c r="A9" i="7"/>
  <c r="I9" i="7"/>
  <c r="F9" i="7"/>
  <c r="D9" i="7"/>
  <c r="D11" i="7"/>
  <c r="C13" i="7"/>
  <c r="B15" i="7"/>
  <c r="B21" i="7"/>
  <c r="G26" i="7"/>
  <c r="H28" i="7"/>
  <c r="G28" i="7"/>
  <c r="E28" i="7"/>
  <c r="D28" i="7"/>
  <c r="B28" i="7"/>
  <c r="A28" i="7"/>
  <c r="E33" i="7"/>
  <c r="I42" i="7"/>
  <c r="G42" i="7"/>
  <c r="F42" i="7"/>
  <c r="D42" i="7"/>
  <c r="C42" i="7"/>
  <c r="A42" i="7"/>
  <c r="G49" i="7"/>
  <c r="E49" i="7"/>
  <c r="D49" i="7"/>
  <c r="C49" i="7"/>
  <c r="B49" i="7"/>
  <c r="A49" i="7"/>
  <c r="H49" i="7"/>
  <c r="G85" i="7"/>
  <c r="F85" i="7"/>
  <c r="E85" i="7"/>
  <c r="D85" i="7"/>
  <c r="C85" i="7"/>
  <c r="B85" i="7"/>
  <c r="A85" i="7"/>
  <c r="I85" i="7"/>
  <c r="H85" i="7"/>
  <c r="I90" i="7"/>
  <c r="H90" i="7"/>
  <c r="G90" i="7"/>
  <c r="F90" i="7"/>
  <c r="E90" i="7"/>
  <c r="D90" i="7"/>
  <c r="C90" i="7"/>
  <c r="B90" i="7"/>
  <c r="A90" i="7"/>
  <c r="C93" i="7"/>
  <c r="B93" i="7"/>
  <c r="A93" i="7"/>
  <c r="I93" i="7"/>
  <c r="H93" i="7"/>
  <c r="G93" i="7"/>
  <c r="F93" i="7"/>
  <c r="E93" i="7"/>
  <c r="D93" i="7"/>
  <c r="I150" i="7"/>
  <c r="H150" i="7"/>
  <c r="G150" i="7"/>
  <c r="F150" i="7"/>
  <c r="E150" i="7"/>
  <c r="D150" i="7"/>
  <c r="C150" i="7"/>
  <c r="B150" i="7"/>
  <c r="A150" i="7"/>
  <c r="D154" i="7"/>
  <c r="C154" i="7"/>
  <c r="B154" i="7"/>
  <c r="A154" i="7"/>
  <c r="I154" i="7"/>
  <c r="H154" i="7"/>
  <c r="G154" i="7"/>
  <c r="F154" i="7"/>
  <c r="E154" i="7"/>
  <c r="I43" i="8"/>
  <c r="H43" i="8"/>
  <c r="F43" i="8"/>
  <c r="E43" i="8"/>
  <c r="D43" i="8"/>
  <c r="C43" i="8"/>
  <c r="B43" i="8"/>
  <c r="G43" i="8"/>
  <c r="A43" i="8"/>
  <c r="B19" i="7"/>
  <c r="B31" i="7"/>
  <c r="B43" i="7"/>
  <c r="B55" i="7"/>
  <c r="C56" i="7"/>
  <c r="I62" i="7"/>
  <c r="B67" i="7"/>
  <c r="C68" i="7"/>
  <c r="F71" i="7"/>
  <c r="I74" i="7"/>
  <c r="B79" i="7"/>
  <c r="C80" i="7"/>
  <c r="F83" i="7"/>
  <c r="I86" i="7"/>
  <c r="B91" i="7"/>
  <c r="C92" i="7"/>
  <c r="F95" i="7"/>
  <c r="I98" i="7"/>
  <c r="B103" i="7"/>
  <c r="C104" i="7"/>
  <c r="F107" i="7"/>
  <c r="I110" i="7"/>
  <c r="B115" i="7"/>
  <c r="C116" i="7"/>
  <c r="F119" i="7"/>
  <c r="I122" i="7"/>
  <c r="B127" i="7"/>
  <c r="C128" i="7"/>
  <c r="F131" i="7"/>
  <c r="I134" i="7"/>
  <c r="B139" i="7"/>
  <c r="C140" i="7"/>
  <c r="F143" i="7"/>
  <c r="I146" i="7"/>
  <c r="B151" i="7"/>
  <c r="C152" i="7"/>
  <c r="F155" i="7"/>
  <c r="I9" i="8"/>
  <c r="A13" i="8"/>
  <c r="B14" i="8"/>
  <c r="G21" i="8"/>
  <c r="F21" i="8"/>
  <c r="D34" i="8"/>
  <c r="G53" i="8"/>
  <c r="F53" i="8"/>
  <c r="D53" i="8"/>
  <c r="C53" i="8"/>
  <c r="B53" i="8"/>
  <c r="A53" i="8"/>
  <c r="H53" i="8"/>
  <c r="B60" i="8"/>
  <c r="A60" i="8"/>
  <c r="I60" i="8"/>
  <c r="H60" i="8"/>
  <c r="G60" i="8"/>
  <c r="F60" i="8"/>
  <c r="D60" i="8"/>
  <c r="C60" i="8"/>
  <c r="I68" i="8"/>
  <c r="G68" i="8"/>
  <c r="F68" i="8"/>
  <c r="E68" i="8"/>
  <c r="D68" i="8"/>
  <c r="C68" i="8"/>
  <c r="B68" i="8"/>
  <c r="A68" i="8"/>
  <c r="C85" i="8"/>
  <c r="B85" i="8"/>
  <c r="I85" i="8"/>
  <c r="H85" i="8"/>
  <c r="G85" i="8"/>
  <c r="F85" i="8"/>
  <c r="E85" i="8"/>
  <c r="D85" i="8"/>
  <c r="I91" i="8"/>
  <c r="H91" i="8"/>
  <c r="F91" i="8"/>
  <c r="E91" i="8"/>
  <c r="D91" i="8"/>
  <c r="C91" i="8"/>
  <c r="B91" i="8"/>
  <c r="A91" i="8"/>
  <c r="I128" i="8"/>
  <c r="H128" i="8"/>
  <c r="G128" i="8"/>
  <c r="F128" i="8"/>
  <c r="E128" i="8"/>
  <c r="D128" i="8"/>
  <c r="C128" i="8"/>
  <c r="B128" i="8"/>
  <c r="A128" i="8"/>
  <c r="I159" i="8"/>
  <c r="I169" i="8"/>
  <c r="I197" i="8"/>
  <c r="A65" i="7"/>
  <c r="G71" i="7"/>
  <c r="A77" i="7"/>
  <c r="G83" i="7"/>
  <c r="A89" i="7"/>
  <c r="G95" i="7"/>
  <c r="A101" i="7"/>
  <c r="G107" i="7"/>
  <c r="A113" i="7"/>
  <c r="G119" i="7"/>
  <c r="A125" i="7"/>
  <c r="G131" i="7"/>
  <c r="A137" i="7"/>
  <c r="G143" i="7"/>
  <c r="G155" i="7"/>
  <c r="D38" i="8"/>
  <c r="C38" i="8"/>
  <c r="A38" i="8"/>
  <c r="A47" i="8"/>
  <c r="I47" i="8"/>
  <c r="H47" i="8"/>
  <c r="G47" i="8"/>
  <c r="F47" i="8"/>
  <c r="B47" i="8"/>
  <c r="A95" i="8"/>
  <c r="I95" i="8"/>
  <c r="H95" i="8"/>
  <c r="G95" i="8"/>
  <c r="F95" i="8"/>
  <c r="E95" i="8"/>
  <c r="D95" i="8"/>
  <c r="C95" i="8"/>
  <c r="B95" i="8"/>
  <c r="H102" i="8"/>
  <c r="G102" i="8"/>
  <c r="E102" i="8"/>
  <c r="D102" i="8"/>
  <c r="C102" i="8"/>
  <c r="B102" i="8"/>
  <c r="A102" i="8"/>
  <c r="I102" i="8"/>
  <c r="H114" i="8"/>
  <c r="G114" i="8"/>
  <c r="F114" i="8"/>
  <c r="E114" i="8"/>
  <c r="D114" i="8"/>
  <c r="C114" i="8"/>
  <c r="B114" i="8"/>
  <c r="A114" i="8"/>
  <c r="I114" i="8"/>
  <c r="A119" i="8"/>
  <c r="I119" i="8"/>
  <c r="H119" i="8"/>
  <c r="G119" i="8"/>
  <c r="F119" i="8"/>
  <c r="E119" i="8"/>
  <c r="D119" i="8"/>
  <c r="C119" i="8"/>
  <c r="B119" i="8"/>
  <c r="I185" i="8"/>
  <c r="D19" i="7"/>
  <c r="D31" i="7"/>
  <c r="A40" i="7"/>
  <c r="D43" i="7"/>
  <c r="A52" i="7"/>
  <c r="D55" i="7"/>
  <c r="E56" i="7"/>
  <c r="A64" i="7"/>
  <c r="B65" i="7"/>
  <c r="D67" i="7"/>
  <c r="E68" i="7"/>
  <c r="H71" i="7"/>
  <c r="A76" i="7"/>
  <c r="B77" i="7"/>
  <c r="D79" i="7"/>
  <c r="E80" i="7"/>
  <c r="H83" i="7"/>
  <c r="A88" i="7"/>
  <c r="B89" i="7"/>
  <c r="D91" i="7"/>
  <c r="E92" i="7"/>
  <c r="H95" i="7"/>
  <c r="A100" i="7"/>
  <c r="B101" i="7"/>
  <c r="D103" i="7"/>
  <c r="E104" i="7"/>
  <c r="H107" i="7"/>
  <c r="A112" i="7"/>
  <c r="B113" i="7"/>
  <c r="D115" i="7"/>
  <c r="E116" i="7"/>
  <c r="H119" i="7"/>
  <c r="A124" i="7"/>
  <c r="B125" i="7"/>
  <c r="D127" i="7"/>
  <c r="E128" i="7"/>
  <c r="H131" i="7"/>
  <c r="A136" i="7"/>
  <c r="B137" i="7"/>
  <c r="D139" i="7"/>
  <c r="E140" i="7"/>
  <c r="H143" i="7"/>
  <c r="A148" i="7"/>
  <c r="B149" i="7"/>
  <c r="D151" i="7"/>
  <c r="E152" i="7"/>
  <c r="H155" i="7"/>
  <c r="A11" i="8"/>
  <c r="B12" i="8"/>
  <c r="C13" i="8"/>
  <c r="D14" i="8"/>
  <c r="B24" i="8"/>
  <c r="I24" i="8"/>
  <c r="B26" i="8"/>
  <c r="F34" i="8"/>
  <c r="C36" i="8"/>
  <c r="F40" i="8"/>
  <c r="E40" i="8"/>
  <c r="C40" i="8"/>
  <c r="B40" i="8"/>
  <c r="A40" i="8"/>
  <c r="I92" i="8"/>
  <c r="G92" i="8"/>
  <c r="F92" i="8"/>
  <c r="E92" i="8"/>
  <c r="D92" i="8"/>
  <c r="C92" i="8"/>
  <c r="B92" i="8"/>
  <c r="A92" i="8"/>
  <c r="B96" i="8"/>
  <c r="A96" i="8"/>
  <c r="I96" i="8"/>
  <c r="H96" i="8"/>
  <c r="G96" i="8"/>
  <c r="F96" i="8"/>
  <c r="E96" i="8"/>
  <c r="D96" i="8"/>
  <c r="C96" i="8"/>
  <c r="I106" i="8"/>
  <c r="H106" i="8"/>
  <c r="G106" i="8"/>
  <c r="F106" i="8"/>
  <c r="E106" i="8"/>
  <c r="D106" i="8"/>
  <c r="C106" i="8"/>
  <c r="B106" i="8"/>
  <c r="A106" i="8"/>
  <c r="I115" i="8"/>
  <c r="H115" i="8"/>
  <c r="G115" i="8"/>
  <c r="F115" i="8"/>
  <c r="E115" i="8"/>
  <c r="D115" i="8"/>
  <c r="C115" i="8"/>
  <c r="B115" i="8"/>
  <c r="A115" i="8"/>
  <c r="B120" i="8"/>
  <c r="A120" i="8"/>
  <c r="I120" i="8"/>
  <c r="H120" i="8"/>
  <c r="G120" i="8"/>
  <c r="F120" i="8"/>
  <c r="E120" i="8"/>
  <c r="D120" i="8"/>
  <c r="C120" i="8"/>
  <c r="G170" i="8"/>
  <c r="E170" i="8"/>
  <c r="C170" i="8"/>
  <c r="B170" i="8"/>
  <c r="A170" i="8"/>
  <c r="I170" i="8"/>
  <c r="H170" i="8"/>
  <c r="F170" i="8"/>
  <c r="D170" i="8"/>
  <c r="I231" i="8"/>
  <c r="B40" i="7"/>
  <c r="B52" i="7"/>
  <c r="F56" i="7"/>
  <c r="B64" i="7"/>
  <c r="C65" i="7"/>
  <c r="F68" i="7"/>
  <c r="I71" i="7"/>
  <c r="B76" i="7"/>
  <c r="C77" i="7"/>
  <c r="F80" i="7"/>
  <c r="I83" i="7"/>
  <c r="B88" i="7"/>
  <c r="C89" i="7"/>
  <c r="F92" i="7"/>
  <c r="I95" i="7"/>
  <c r="B100" i="7"/>
  <c r="C101" i="7"/>
  <c r="F104" i="7"/>
  <c r="I107" i="7"/>
  <c r="B112" i="7"/>
  <c r="C113" i="7"/>
  <c r="F116" i="7"/>
  <c r="I119" i="7"/>
  <c r="B124" i="7"/>
  <c r="C125" i="7"/>
  <c r="F128" i="7"/>
  <c r="I131" i="7"/>
  <c r="B136" i="7"/>
  <c r="C137" i="7"/>
  <c r="F140" i="7"/>
  <c r="I143" i="7"/>
  <c r="B148" i="7"/>
  <c r="C149" i="7"/>
  <c r="F152" i="7"/>
  <c r="I155" i="7"/>
  <c r="B11" i="8"/>
  <c r="C12" i="8"/>
  <c r="E14" i="8"/>
  <c r="D36" i="8"/>
  <c r="C39" i="8"/>
  <c r="I103" i="8"/>
  <c r="H103" i="8"/>
  <c r="F103" i="8"/>
  <c r="E103" i="8"/>
  <c r="D103" i="8"/>
  <c r="C103" i="8"/>
  <c r="B103" i="8"/>
  <c r="A103" i="8"/>
  <c r="I116" i="8"/>
  <c r="H116" i="8"/>
  <c r="G116" i="8"/>
  <c r="F116" i="8"/>
  <c r="E116" i="8"/>
  <c r="D116" i="8"/>
  <c r="C116" i="8"/>
  <c r="B116" i="8"/>
  <c r="A116" i="8"/>
  <c r="C121" i="8"/>
  <c r="B121" i="8"/>
  <c r="A121" i="8"/>
  <c r="I121" i="8"/>
  <c r="H121" i="8"/>
  <c r="G121" i="8"/>
  <c r="F121" i="8"/>
  <c r="E121" i="8"/>
  <c r="D121" i="8"/>
  <c r="F135" i="8"/>
  <c r="B135" i="8"/>
  <c r="H135" i="8"/>
  <c r="G135" i="8"/>
  <c r="E135" i="8"/>
  <c r="D135" i="8"/>
  <c r="C135" i="8"/>
  <c r="A135" i="8"/>
  <c r="I135" i="8"/>
  <c r="I171" i="8"/>
  <c r="A62" i="7"/>
  <c r="A74" i="7"/>
  <c r="A86" i="7"/>
  <c r="A98" i="7"/>
  <c r="A110" i="7"/>
  <c r="A122" i="7"/>
  <c r="A134" i="7"/>
  <c r="A146" i="7"/>
  <c r="A9" i="8"/>
  <c r="A29" i="8"/>
  <c r="H34" i="8"/>
  <c r="G34" i="8"/>
  <c r="E36" i="8"/>
  <c r="F39" i="8"/>
  <c r="C97" i="8"/>
  <c r="B97" i="8"/>
  <c r="I97" i="8"/>
  <c r="H97" i="8"/>
  <c r="G97" i="8"/>
  <c r="F97" i="8"/>
  <c r="E97" i="8"/>
  <c r="D97" i="8"/>
  <c r="A107" i="8"/>
  <c r="I107" i="8"/>
  <c r="H107" i="8"/>
  <c r="G107" i="8"/>
  <c r="F107" i="8"/>
  <c r="E107" i="8"/>
  <c r="D107" i="8"/>
  <c r="C107" i="8"/>
  <c r="B107" i="8"/>
  <c r="I163" i="8"/>
  <c r="I175" i="8"/>
  <c r="G19" i="7"/>
  <c r="G31" i="7"/>
  <c r="D40" i="7"/>
  <c r="G43" i="7"/>
  <c r="D52" i="7"/>
  <c r="G55" i="7"/>
  <c r="H56" i="7"/>
  <c r="B62" i="7"/>
  <c r="D64" i="7"/>
  <c r="E65" i="7"/>
  <c r="G67" i="7"/>
  <c r="H68" i="7"/>
  <c r="B74" i="7"/>
  <c r="D76" i="7"/>
  <c r="E77" i="7"/>
  <c r="G79" i="7"/>
  <c r="H80" i="7"/>
  <c r="B86" i="7"/>
  <c r="D88" i="7"/>
  <c r="E89" i="7"/>
  <c r="G91" i="7"/>
  <c r="H92" i="7"/>
  <c r="B98" i="7"/>
  <c r="D100" i="7"/>
  <c r="E101" i="7"/>
  <c r="G103" i="7"/>
  <c r="H104" i="7"/>
  <c r="B110" i="7"/>
  <c r="D112" i="7"/>
  <c r="E113" i="7"/>
  <c r="G115" i="7"/>
  <c r="H116" i="7"/>
  <c r="B122" i="7"/>
  <c r="D124" i="7"/>
  <c r="E125" i="7"/>
  <c r="G127" i="7"/>
  <c r="H128" i="7"/>
  <c r="B134" i="7"/>
  <c r="D136" i="7"/>
  <c r="E137" i="7"/>
  <c r="G139" i="7"/>
  <c r="H140" i="7"/>
  <c r="B146" i="7"/>
  <c r="D148" i="7"/>
  <c r="E149" i="7"/>
  <c r="G151" i="7"/>
  <c r="H152" i="7"/>
  <c r="B9" i="8"/>
  <c r="D11" i="8"/>
  <c r="E12" i="8"/>
  <c r="F13" i="8"/>
  <c r="G14" i="8"/>
  <c r="A21" i="8"/>
  <c r="F26" i="8"/>
  <c r="D29" i="8"/>
  <c r="B32" i="8"/>
  <c r="H33" i="8"/>
  <c r="F36" i="8"/>
  <c r="G39" i="8"/>
  <c r="A44" i="8"/>
  <c r="B46" i="8"/>
  <c r="B48" i="8"/>
  <c r="A48" i="8"/>
  <c r="I48" i="8"/>
  <c r="H48" i="8"/>
  <c r="G48" i="8"/>
  <c r="C48" i="8"/>
  <c r="D52" i="8"/>
  <c r="G65" i="8"/>
  <c r="F65" i="8"/>
  <c r="D65" i="8"/>
  <c r="C65" i="8"/>
  <c r="B65" i="8"/>
  <c r="A65" i="8"/>
  <c r="I65" i="8"/>
  <c r="H65" i="8"/>
  <c r="I104" i="8"/>
  <c r="G104" i="8"/>
  <c r="F104" i="8"/>
  <c r="E104" i="8"/>
  <c r="D104" i="8"/>
  <c r="C104" i="8"/>
  <c r="B104" i="8"/>
  <c r="A104" i="8"/>
  <c r="B108" i="8"/>
  <c r="A108" i="8"/>
  <c r="I108" i="8"/>
  <c r="H108" i="8"/>
  <c r="G108" i="8"/>
  <c r="F108" i="8"/>
  <c r="E108" i="8"/>
  <c r="D108" i="8"/>
  <c r="C108" i="8"/>
  <c r="H149" i="8"/>
  <c r="F149" i="8"/>
  <c r="D149" i="8"/>
  <c r="I149" i="8"/>
  <c r="G149" i="8"/>
  <c r="E149" i="8"/>
  <c r="C149" i="8"/>
  <c r="B149" i="8"/>
  <c r="A149" i="8"/>
  <c r="E40" i="7"/>
  <c r="E52" i="7"/>
  <c r="I56" i="7"/>
  <c r="C62" i="7"/>
  <c r="E64" i="7"/>
  <c r="F65" i="7"/>
  <c r="I68" i="7"/>
  <c r="C74" i="7"/>
  <c r="E76" i="7"/>
  <c r="F77" i="7"/>
  <c r="I80" i="7"/>
  <c r="C86" i="7"/>
  <c r="E88" i="7"/>
  <c r="F89" i="7"/>
  <c r="I92" i="7"/>
  <c r="C98" i="7"/>
  <c r="E100" i="7"/>
  <c r="F101" i="7"/>
  <c r="I104" i="7"/>
  <c r="C110" i="7"/>
  <c r="E112" i="7"/>
  <c r="F113" i="7"/>
  <c r="H115" i="7"/>
  <c r="I116" i="7"/>
  <c r="C122" i="7"/>
  <c r="E124" i="7"/>
  <c r="F125" i="7"/>
  <c r="H127" i="7"/>
  <c r="I128" i="7"/>
  <c r="C134" i="7"/>
  <c r="E136" i="7"/>
  <c r="F137" i="7"/>
  <c r="H139" i="7"/>
  <c r="I140" i="7"/>
  <c r="C146" i="7"/>
  <c r="E148" i="7"/>
  <c r="F149" i="7"/>
  <c r="H151" i="7"/>
  <c r="I152" i="7"/>
  <c r="C9" i="8"/>
  <c r="E11" i="8"/>
  <c r="F12" i="8"/>
  <c r="H14" i="8"/>
  <c r="B21" i="8"/>
  <c r="G26" i="8"/>
  <c r="E29" i="8"/>
  <c r="C32" i="8"/>
  <c r="G36" i="8"/>
  <c r="H39" i="8"/>
  <c r="B44" i="8"/>
  <c r="C46" i="8"/>
  <c r="H52" i="8"/>
  <c r="I55" i="8"/>
  <c r="H55" i="8"/>
  <c r="F55" i="8"/>
  <c r="E55" i="8"/>
  <c r="D55" i="8"/>
  <c r="C55" i="8"/>
  <c r="B55" i="8"/>
  <c r="A55" i="8"/>
  <c r="H78" i="8"/>
  <c r="G78" i="8"/>
  <c r="E78" i="8"/>
  <c r="D78" i="8"/>
  <c r="C78" i="8"/>
  <c r="B78" i="8"/>
  <c r="A78" i="8"/>
  <c r="I78" i="8"/>
  <c r="C109" i="8"/>
  <c r="B109" i="8"/>
  <c r="A109" i="8"/>
  <c r="I109" i="8"/>
  <c r="H109" i="8"/>
  <c r="G109" i="8"/>
  <c r="F109" i="8"/>
  <c r="E109" i="8"/>
  <c r="D109" i="8"/>
  <c r="I145" i="8"/>
  <c r="I219" i="8"/>
  <c r="D62" i="7"/>
  <c r="G65" i="7"/>
  <c r="A71" i="7"/>
  <c r="D74" i="7"/>
  <c r="G77" i="7"/>
  <c r="A83" i="7"/>
  <c r="D86" i="7"/>
  <c r="G89" i="7"/>
  <c r="A95" i="7"/>
  <c r="D98" i="7"/>
  <c r="G101" i="7"/>
  <c r="A107" i="7"/>
  <c r="D110" i="7"/>
  <c r="G113" i="7"/>
  <c r="A119" i="7"/>
  <c r="D122" i="7"/>
  <c r="G125" i="7"/>
  <c r="A131" i="7"/>
  <c r="D134" i="7"/>
  <c r="G137" i="7"/>
  <c r="A143" i="7"/>
  <c r="D146" i="7"/>
  <c r="A155" i="7"/>
  <c r="D9" i="8"/>
  <c r="F29" i="8"/>
  <c r="G33" i="8"/>
  <c r="F33" i="8"/>
  <c r="B38" i="8"/>
  <c r="A56" i="8"/>
  <c r="I58" i="8"/>
  <c r="H58" i="8"/>
  <c r="G58" i="8"/>
  <c r="F58" i="8"/>
  <c r="E58" i="8"/>
  <c r="D58" i="8"/>
  <c r="B58" i="8"/>
  <c r="A58" i="8"/>
  <c r="I82" i="8"/>
  <c r="H82" i="8"/>
  <c r="G82" i="8"/>
  <c r="F82" i="8"/>
  <c r="E82" i="8"/>
  <c r="D82" i="8"/>
  <c r="C82" i="8"/>
  <c r="B82" i="8"/>
  <c r="A82" i="8"/>
  <c r="I140" i="8"/>
  <c r="I156" i="8"/>
  <c r="G40" i="7"/>
  <c r="G52" i="7"/>
  <c r="E62" i="7"/>
  <c r="G64" i="7"/>
  <c r="H65" i="7"/>
  <c r="B71" i="7"/>
  <c r="E74" i="7"/>
  <c r="G76" i="7"/>
  <c r="H77" i="7"/>
  <c r="B83" i="7"/>
  <c r="E86" i="7"/>
  <c r="G88" i="7"/>
  <c r="H89" i="7"/>
  <c r="B95" i="7"/>
  <c r="E98" i="7"/>
  <c r="G100" i="7"/>
  <c r="H101" i="7"/>
  <c r="B107" i="7"/>
  <c r="E110" i="7"/>
  <c r="G112" i="7"/>
  <c r="H113" i="7"/>
  <c r="B119" i="7"/>
  <c r="E122" i="7"/>
  <c r="G124" i="7"/>
  <c r="H125" i="7"/>
  <c r="B131" i="7"/>
  <c r="E134" i="7"/>
  <c r="G136" i="7"/>
  <c r="H137" i="7"/>
  <c r="B143" i="7"/>
  <c r="E146" i="7"/>
  <c r="G148" i="7"/>
  <c r="H149" i="7"/>
  <c r="B155" i="7"/>
  <c r="E9" i="8"/>
  <c r="G11" i="8"/>
  <c r="H12" i="8"/>
  <c r="B36" i="8"/>
  <c r="A36" i="8"/>
  <c r="I36" i="8"/>
  <c r="E38" i="8"/>
  <c r="E39" i="8"/>
  <c r="D39" i="8"/>
  <c r="B39" i="8"/>
  <c r="A39" i="8"/>
  <c r="I44" i="8"/>
  <c r="G44" i="8"/>
  <c r="F44" i="8"/>
  <c r="E44" i="8"/>
  <c r="D44" i="8"/>
  <c r="C44" i="8"/>
  <c r="I46" i="8"/>
  <c r="H46" i="8"/>
  <c r="G46" i="8"/>
  <c r="F46" i="8"/>
  <c r="E46" i="8"/>
  <c r="A46" i="8"/>
  <c r="F52" i="8"/>
  <c r="E52" i="8"/>
  <c r="C52" i="8"/>
  <c r="B52" i="8"/>
  <c r="A52" i="8"/>
  <c r="G52" i="8"/>
  <c r="H66" i="8"/>
  <c r="G66" i="8"/>
  <c r="E66" i="8"/>
  <c r="D66" i="8"/>
  <c r="C66" i="8"/>
  <c r="B66" i="8"/>
  <c r="A66" i="8"/>
  <c r="I66" i="8"/>
  <c r="I70" i="8"/>
  <c r="H70" i="8"/>
  <c r="G70" i="8"/>
  <c r="F70" i="8"/>
  <c r="E70" i="8"/>
  <c r="D70" i="8"/>
  <c r="C70" i="8"/>
  <c r="B70" i="8"/>
  <c r="A70" i="8"/>
  <c r="I79" i="8"/>
  <c r="H79" i="8"/>
  <c r="F79" i="8"/>
  <c r="E79" i="8"/>
  <c r="D79" i="8"/>
  <c r="C79" i="8"/>
  <c r="B79" i="8"/>
  <c r="A79" i="8"/>
  <c r="I130" i="8"/>
  <c r="C133" i="8"/>
  <c r="B133" i="8"/>
  <c r="A133" i="8"/>
  <c r="I133" i="8"/>
  <c r="H133" i="8"/>
  <c r="G133" i="8"/>
  <c r="F133" i="8"/>
  <c r="E133" i="8"/>
  <c r="D133" i="8"/>
  <c r="E146" i="8"/>
  <c r="C146" i="8"/>
  <c r="A146" i="8"/>
  <c r="I146" i="8"/>
  <c r="H146" i="8"/>
  <c r="G146" i="8"/>
  <c r="F146" i="8"/>
  <c r="D146" i="8"/>
  <c r="B146" i="8"/>
  <c r="I161" i="8"/>
  <c r="I207" i="8"/>
  <c r="F62" i="7"/>
  <c r="C71" i="7"/>
  <c r="F74" i="7"/>
  <c r="C83" i="7"/>
  <c r="F86" i="7"/>
  <c r="C95" i="7"/>
  <c r="F98" i="7"/>
  <c r="C107" i="7"/>
  <c r="F110" i="7"/>
  <c r="C119" i="7"/>
  <c r="F122" i="7"/>
  <c r="C131" i="7"/>
  <c r="F134" i="7"/>
  <c r="C143" i="7"/>
  <c r="F146" i="7"/>
  <c r="C155" i="7"/>
  <c r="A34" i="8"/>
  <c r="F38" i="8"/>
  <c r="I56" i="8"/>
  <c r="G56" i="8"/>
  <c r="F56" i="8"/>
  <c r="E56" i="8"/>
  <c r="D56" i="8"/>
  <c r="C56" i="8"/>
  <c r="B56" i="8"/>
  <c r="A83" i="8"/>
  <c r="I83" i="8"/>
  <c r="H83" i="8"/>
  <c r="G83" i="8"/>
  <c r="F83" i="8"/>
  <c r="E83" i="8"/>
  <c r="D83" i="8"/>
  <c r="C83" i="8"/>
  <c r="B83" i="8"/>
  <c r="H137" i="8"/>
  <c r="D137" i="8"/>
  <c r="I137" i="8"/>
  <c r="G137" i="8"/>
  <c r="F137" i="8"/>
  <c r="E137" i="8"/>
  <c r="C137" i="8"/>
  <c r="B137" i="8"/>
  <c r="A137" i="8"/>
  <c r="F157" i="8"/>
  <c r="D157" i="8"/>
  <c r="B157" i="8"/>
  <c r="A157" i="8"/>
  <c r="H157" i="8"/>
  <c r="E157" i="8"/>
  <c r="C157" i="8"/>
  <c r="I157" i="8"/>
  <c r="G157" i="8"/>
  <c r="I167" i="8"/>
  <c r="I173" i="8"/>
  <c r="I195" i="8"/>
  <c r="I255" i="8"/>
  <c r="A56" i="7"/>
  <c r="G62" i="7"/>
  <c r="A68" i="7"/>
  <c r="D71" i="7"/>
  <c r="G74" i="7"/>
  <c r="A80" i="7"/>
  <c r="D83" i="7"/>
  <c r="G86" i="7"/>
  <c r="A92" i="7"/>
  <c r="D95" i="7"/>
  <c r="G98" i="7"/>
  <c r="A104" i="7"/>
  <c r="D107" i="7"/>
  <c r="G110" i="7"/>
  <c r="A116" i="7"/>
  <c r="D119" i="7"/>
  <c r="G122" i="7"/>
  <c r="A128" i="7"/>
  <c r="D131" i="7"/>
  <c r="G134" i="7"/>
  <c r="A140" i="7"/>
  <c r="D143" i="7"/>
  <c r="G146" i="7"/>
  <c r="A152" i="7"/>
  <c r="D155" i="7"/>
  <c r="G9" i="8"/>
  <c r="G29" i="8"/>
  <c r="C29" i="8"/>
  <c r="B29" i="8"/>
  <c r="G38" i="8"/>
  <c r="C47" i="8"/>
  <c r="A59" i="8"/>
  <c r="I59" i="8"/>
  <c r="H59" i="8"/>
  <c r="G59" i="8"/>
  <c r="F59" i="8"/>
  <c r="E59" i="8"/>
  <c r="C59" i="8"/>
  <c r="B59" i="8"/>
  <c r="I67" i="8"/>
  <c r="H67" i="8"/>
  <c r="F67" i="8"/>
  <c r="E67" i="8"/>
  <c r="D67" i="8"/>
  <c r="C67" i="8"/>
  <c r="B67" i="8"/>
  <c r="A67" i="8"/>
  <c r="A71" i="8"/>
  <c r="I71" i="8"/>
  <c r="H71" i="8"/>
  <c r="G71" i="8"/>
  <c r="F71" i="8"/>
  <c r="E71" i="8"/>
  <c r="D71" i="8"/>
  <c r="C71" i="8"/>
  <c r="B71" i="8"/>
  <c r="I80" i="8"/>
  <c r="G80" i="8"/>
  <c r="F80" i="8"/>
  <c r="E80" i="8"/>
  <c r="D80" i="8"/>
  <c r="C80" i="8"/>
  <c r="B80" i="8"/>
  <c r="A80" i="8"/>
  <c r="B84" i="8"/>
  <c r="A84" i="8"/>
  <c r="I84" i="8"/>
  <c r="H84" i="8"/>
  <c r="G84" i="8"/>
  <c r="F84" i="8"/>
  <c r="E84" i="8"/>
  <c r="D84" i="8"/>
  <c r="C84" i="8"/>
  <c r="H90" i="8"/>
  <c r="G90" i="8"/>
  <c r="E90" i="8"/>
  <c r="D90" i="8"/>
  <c r="C90" i="8"/>
  <c r="B90" i="8"/>
  <c r="A90" i="8"/>
  <c r="I90" i="8"/>
  <c r="H126" i="8"/>
  <c r="G126" i="8"/>
  <c r="F126" i="8"/>
  <c r="E126" i="8"/>
  <c r="D126" i="8"/>
  <c r="C126" i="8"/>
  <c r="B126" i="8"/>
  <c r="A126" i="8"/>
  <c r="I126" i="8"/>
  <c r="A131" i="8"/>
  <c r="I131" i="8"/>
  <c r="H131" i="8"/>
  <c r="G131" i="8"/>
  <c r="F131" i="8"/>
  <c r="E131" i="8"/>
  <c r="D131" i="8"/>
  <c r="C131" i="8"/>
  <c r="B131" i="8"/>
  <c r="G158" i="8"/>
  <c r="E158" i="8"/>
  <c r="C158" i="8"/>
  <c r="B158" i="8"/>
  <c r="A158" i="8"/>
  <c r="I158" i="8"/>
  <c r="H158" i="8"/>
  <c r="F158" i="8"/>
  <c r="D158" i="8"/>
  <c r="I168" i="8"/>
  <c r="I179" i="8"/>
  <c r="I183" i="8"/>
  <c r="F32" i="8"/>
  <c r="E32" i="8"/>
  <c r="C34" i="8"/>
  <c r="H38" i="8"/>
  <c r="G40" i="8"/>
  <c r="D47" i="8"/>
  <c r="B72" i="8"/>
  <c r="A72" i="8"/>
  <c r="I72" i="8"/>
  <c r="H72" i="8"/>
  <c r="G72" i="8"/>
  <c r="F72" i="8"/>
  <c r="E72" i="8"/>
  <c r="D72" i="8"/>
  <c r="C72" i="8"/>
  <c r="I94" i="8"/>
  <c r="H94" i="8"/>
  <c r="G94" i="8"/>
  <c r="F94" i="8"/>
  <c r="E94" i="8"/>
  <c r="D94" i="8"/>
  <c r="C94" i="8"/>
  <c r="B94" i="8"/>
  <c r="A94" i="8"/>
  <c r="I118" i="8"/>
  <c r="I127" i="8"/>
  <c r="H127" i="8"/>
  <c r="G127" i="8"/>
  <c r="F127" i="8"/>
  <c r="E127" i="8"/>
  <c r="D127" i="8"/>
  <c r="C127" i="8"/>
  <c r="B127" i="8"/>
  <c r="A127" i="8"/>
  <c r="I209" i="8"/>
  <c r="G64" i="8"/>
  <c r="G76" i="8"/>
  <c r="H77" i="8"/>
  <c r="G88" i="8"/>
  <c r="H89" i="8"/>
  <c r="G100" i="8"/>
  <c r="H101" i="8"/>
  <c r="F111" i="8"/>
  <c r="G112" i="8"/>
  <c r="H113" i="8"/>
  <c r="A118" i="8"/>
  <c r="F123" i="8"/>
  <c r="G124" i="8"/>
  <c r="H125" i="8"/>
  <c r="A130" i="8"/>
  <c r="F134" i="8"/>
  <c r="F138" i="8"/>
  <c r="F139" i="8"/>
  <c r="B139" i="8"/>
  <c r="B153" i="8"/>
  <c r="H153" i="8"/>
  <c r="D153" i="8"/>
  <c r="G167" i="8"/>
  <c r="E169" i="8"/>
  <c r="G171" i="8"/>
  <c r="G173" i="8"/>
  <c r="E175" i="8"/>
  <c r="G179" i="8"/>
  <c r="I233" i="8"/>
  <c r="H233" i="8"/>
  <c r="G233" i="8"/>
  <c r="F233" i="8"/>
  <c r="E233" i="8"/>
  <c r="D233" i="8"/>
  <c r="C233" i="8"/>
  <c r="B233" i="8"/>
  <c r="A233" i="8"/>
  <c r="I257" i="8"/>
  <c r="H257" i="8"/>
  <c r="G257" i="8"/>
  <c r="F257" i="8"/>
  <c r="E257" i="8"/>
  <c r="D257" i="8"/>
  <c r="C257" i="8"/>
  <c r="B257" i="8"/>
  <c r="A257" i="8"/>
  <c r="I281" i="8"/>
  <c r="H281" i="8"/>
  <c r="G281" i="8"/>
  <c r="F281" i="8"/>
  <c r="E281" i="8"/>
  <c r="D281" i="8"/>
  <c r="C281" i="8"/>
  <c r="B281" i="8"/>
  <c r="A281" i="8"/>
  <c r="I305" i="8"/>
  <c r="H305" i="8"/>
  <c r="G305" i="8"/>
  <c r="F305" i="8"/>
  <c r="E305" i="8"/>
  <c r="D305" i="8"/>
  <c r="C305" i="8"/>
  <c r="B305" i="8"/>
  <c r="A305" i="8"/>
  <c r="F311" i="8"/>
  <c r="B311" i="8"/>
  <c r="I311" i="8"/>
  <c r="H311" i="8"/>
  <c r="G311" i="8"/>
  <c r="E311" i="8"/>
  <c r="D311" i="8"/>
  <c r="C311" i="8"/>
  <c r="A311" i="8"/>
  <c r="I327" i="8"/>
  <c r="I349" i="8"/>
  <c r="I77" i="8"/>
  <c r="I89" i="8"/>
  <c r="H100" i="8"/>
  <c r="I101" i="8"/>
  <c r="H112" i="8"/>
  <c r="I113" i="8"/>
  <c r="B118" i="8"/>
  <c r="H124" i="8"/>
  <c r="I125" i="8"/>
  <c r="B130" i="8"/>
  <c r="A142" i="8"/>
  <c r="I142" i="8"/>
  <c r="E142" i="8"/>
  <c r="D145" i="8"/>
  <c r="B145" i="8"/>
  <c r="H145" i="8"/>
  <c r="H159" i="8"/>
  <c r="F159" i="8"/>
  <c r="D159" i="8"/>
  <c r="C159" i="8"/>
  <c r="B159" i="8"/>
  <c r="H161" i="8"/>
  <c r="F161" i="8"/>
  <c r="E161" i="8"/>
  <c r="D161" i="8"/>
  <c r="H163" i="8"/>
  <c r="G163" i="8"/>
  <c r="F163" i="8"/>
  <c r="B163" i="8"/>
  <c r="B165" i="8"/>
  <c r="I165" i="8"/>
  <c r="H165" i="8"/>
  <c r="D165" i="8"/>
  <c r="H167" i="8"/>
  <c r="G169" i="8"/>
  <c r="H179" i="8"/>
  <c r="F181" i="8"/>
  <c r="D181" i="8"/>
  <c r="C181" i="8"/>
  <c r="B181" i="8"/>
  <c r="A181" i="8"/>
  <c r="H181" i="8"/>
  <c r="A185" i="8"/>
  <c r="A197" i="8"/>
  <c r="A209" i="8"/>
  <c r="A223" i="8"/>
  <c r="I246" i="8"/>
  <c r="A306" i="8"/>
  <c r="I306" i="8"/>
  <c r="H306" i="8"/>
  <c r="G306" i="8"/>
  <c r="F306" i="8"/>
  <c r="E306" i="8"/>
  <c r="D306" i="8"/>
  <c r="C306" i="8"/>
  <c r="B306" i="8"/>
  <c r="G312" i="8"/>
  <c r="C312" i="8"/>
  <c r="A312" i="8"/>
  <c r="E312" i="8"/>
  <c r="D312" i="8"/>
  <c r="B312" i="8"/>
  <c r="I312" i="8"/>
  <c r="H312" i="8"/>
  <c r="F312" i="8"/>
  <c r="I366" i="8"/>
  <c r="C118" i="8"/>
  <c r="C130" i="8"/>
  <c r="I150" i="8"/>
  <c r="G150" i="8"/>
  <c r="E150" i="8"/>
  <c r="A150" i="8"/>
  <c r="D155" i="8"/>
  <c r="B155" i="8"/>
  <c r="F155" i="8"/>
  <c r="H171" i="8"/>
  <c r="F171" i="8"/>
  <c r="D171" i="8"/>
  <c r="C171" i="8"/>
  <c r="B171" i="8"/>
  <c r="H173" i="8"/>
  <c r="F173" i="8"/>
  <c r="E173" i="8"/>
  <c r="D173" i="8"/>
  <c r="H175" i="8"/>
  <c r="G175" i="8"/>
  <c r="F175" i="8"/>
  <c r="B175" i="8"/>
  <c r="B177" i="8"/>
  <c r="I177" i="8"/>
  <c r="H177" i="8"/>
  <c r="D177" i="8"/>
  <c r="A189" i="8"/>
  <c r="A201" i="8"/>
  <c r="C213" i="8"/>
  <c r="D215" i="8"/>
  <c r="C215" i="8"/>
  <c r="B215" i="8"/>
  <c r="A215" i="8"/>
  <c r="I215" i="8"/>
  <c r="H215" i="8"/>
  <c r="F215" i="8"/>
  <c r="G218" i="8"/>
  <c r="F218" i="8"/>
  <c r="E218" i="8"/>
  <c r="D218" i="8"/>
  <c r="C218" i="8"/>
  <c r="B218" i="8"/>
  <c r="A218" i="8"/>
  <c r="I218" i="8"/>
  <c r="I234" i="8"/>
  <c r="I258" i="8"/>
  <c r="I282" i="8"/>
  <c r="B307" i="8"/>
  <c r="A307" i="8"/>
  <c r="I307" i="8"/>
  <c r="H307" i="8"/>
  <c r="G307" i="8"/>
  <c r="F307" i="8"/>
  <c r="E307" i="8"/>
  <c r="D307" i="8"/>
  <c r="C307" i="8"/>
  <c r="H313" i="8"/>
  <c r="D313" i="8"/>
  <c r="B313" i="8"/>
  <c r="I313" i="8"/>
  <c r="G313" i="8"/>
  <c r="F313" i="8"/>
  <c r="E313" i="8"/>
  <c r="C313" i="8"/>
  <c r="A313" i="8"/>
  <c r="H323" i="8"/>
  <c r="F323" i="8"/>
  <c r="B323" i="8"/>
  <c r="A323" i="8"/>
  <c r="I323" i="8"/>
  <c r="G323" i="8"/>
  <c r="E323" i="8"/>
  <c r="D323" i="8"/>
  <c r="C323" i="8"/>
  <c r="I333" i="8"/>
  <c r="D118" i="8"/>
  <c r="D130" i="8"/>
  <c r="I138" i="8"/>
  <c r="E138" i="8"/>
  <c r="A138" i="8"/>
  <c r="D167" i="8"/>
  <c r="B167" i="8"/>
  <c r="F167" i="8"/>
  <c r="F169" i="8"/>
  <c r="D169" i="8"/>
  <c r="B169" i="8"/>
  <c r="A169" i="8"/>
  <c r="H169" i="8"/>
  <c r="D179" i="8"/>
  <c r="B179" i="8"/>
  <c r="A179" i="8"/>
  <c r="F179" i="8"/>
  <c r="H185" i="8"/>
  <c r="G185" i="8"/>
  <c r="F185" i="8"/>
  <c r="E185" i="8"/>
  <c r="D185" i="8"/>
  <c r="C185" i="8"/>
  <c r="B185" i="8"/>
  <c r="H197" i="8"/>
  <c r="G197" i="8"/>
  <c r="F197" i="8"/>
  <c r="E197" i="8"/>
  <c r="D197" i="8"/>
  <c r="C197" i="8"/>
  <c r="B197" i="8"/>
  <c r="H209" i="8"/>
  <c r="G209" i="8"/>
  <c r="F209" i="8"/>
  <c r="E209" i="8"/>
  <c r="D209" i="8"/>
  <c r="C209" i="8"/>
  <c r="B209" i="8"/>
  <c r="I223" i="8"/>
  <c r="H223" i="8"/>
  <c r="G223" i="8"/>
  <c r="F223" i="8"/>
  <c r="E223" i="8"/>
  <c r="D223" i="8"/>
  <c r="B223" i="8"/>
  <c r="F241" i="8"/>
  <c r="E241" i="8"/>
  <c r="D241" i="8"/>
  <c r="C241" i="8"/>
  <c r="B241" i="8"/>
  <c r="A241" i="8"/>
  <c r="I241" i="8"/>
  <c r="H241" i="8"/>
  <c r="H267" i="8"/>
  <c r="G267" i="8"/>
  <c r="F267" i="8"/>
  <c r="E267" i="8"/>
  <c r="D267" i="8"/>
  <c r="C267" i="8"/>
  <c r="B267" i="8"/>
  <c r="A267" i="8"/>
  <c r="I267" i="8"/>
  <c r="B273" i="8"/>
  <c r="A273" i="8"/>
  <c r="I273" i="8"/>
  <c r="H273" i="8"/>
  <c r="G273" i="8"/>
  <c r="F273" i="8"/>
  <c r="E273" i="8"/>
  <c r="D273" i="8"/>
  <c r="C273" i="8"/>
  <c r="H291" i="8"/>
  <c r="G291" i="8"/>
  <c r="F291" i="8"/>
  <c r="E291" i="8"/>
  <c r="D291" i="8"/>
  <c r="C291" i="8"/>
  <c r="B291" i="8"/>
  <c r="A291" i="8"/>
  <c r="I291" i="8"/>
  <c r="B297" i="8"/>
  <c r="A297" i="8"/>
  <c r="I297" i="8"/>
  <c r="H297" i="8"/>
  <c r="G297" i="8"/>
  <c r="F297" i="8"/>
  <c r="E297" i="8"/>
  <c r="D297" i="8"/>
  <c r="C297" i="8"/>
  <c r="E118" i="8"/>
  <c r="E130" i="8"/>
  <c r="E140" i="8"/>
  <c r="F147" i="8"/>
  <c r="D147" i="8"/>
  <c r="B147" i="8"/>
  <c r="A152" i="8"/>
  <c r="I152" i="8"/>
  <c r="G152" i="8"/>
  <c r="C152" i="8"/>
  <c r="D156" i="8"/>
  <c r="B168" i="8"/>
  <c r="B172" i="8"/>
  <c r="C174" i="8"/>
  <c r="D176" i="8"/>
  <c r="D191" i="8"/>
  <c r="B191" i="8"/>
  <c r="A191" i="8"/>
  <c r="I191" i="8"/>
  <c r="H191" i="8"/>
  <c r="F191" i="8"/>
  <c r="D203" i="8"/>
  <c r="B203" i="8"/>
  <c r="A203" i="8"/>
  <c r="I203" i="8"/>
  <c r="H203" i="8"/>
  <c r="F203" i="8"/>
  <c r="B213" i="8"/>
  <c r="A213" i="8"/>
  <c r="I213" i="8"/>
  <c r="H213" i="8"/>
  <c r="G213" i="8"/>
  <c r="F213" i="8"/>
  <c r="D213" i="8"/>
  <c r="F229" i="8"/>
  <c r="E229" i="8"/>
  <c r="D229" i="8"/>
  <c r="C229" i="8"/>
  <c r="B229" i="8"/>
  <c r="A229" i="8"/>
  <c r="H229" i="8"/>
  <c r="I247" i="8"/>
  <c r="H247" i="8"/>
  <c r="G247" i="8"/>
  <c r="F247" i="8"/>
  <c r="E247" i="8"/>
  <c r="D247" i="8"/>
  <c r="C247" i="8"/>
  <c r="B247" i="8"/>
  <c r="I259" i="8"/>
  <c r="H259" i="8"/>
  <c r="G259" i="8"/>
  <c r="F259" i="8"/>
  <c r="E259" i="8"/>
  <c r="D259" i="8"/>
  <c r="C259" i="8"/>
  <c r="B259" i="8"/>
  <c r="A259" i="8"/>
  <c r="I268" i="8"/>
  <c r="I283" i="8"/>
  <c r="H283" i="8"/>
  <c r="G283" i="8"/>
  <c r="F283" i="8"/>
  <c r="E283" i="8"/>
  <c r="D283" i="8"/>
  <c r="C283" i="8"/>
  <c r="B283" i="8"/>
  <c r="A283" i="8"/>
  <c r="I292" i="8"/>
  <c r="I339" i="8"/>
  <c r="E45" i="8"/>
  <c r="E57" i="8"/>
  <c r="E69" i="8"/>
  <c r="A77" i="8"/>
  <c r="E81" i="8"/>
  <c r="A89" i="8"/>
  <c r="E93" i="8"/>
  <c r="A101" i="8"/>
  <c r="E105" i="8"/>
  <c r="A113" i="8"/>
  <c r="E117" i="8"/>
  <c r="F118" i="8"/>
  <c r="A125" i="8"/>
  <c r="E129" i="8"/>
  <c r="F130" i="8"/>
  <c r="D136" i="8"/>
  <c r="A139" i="8"/>
  <c r="F140" i="8"/>
  <c r="H141" i="8"/>
  <c r="D141" i="8"/>
  <c r="D143" i="8"/>
  <c r="C144" i="8"/>
  <c r="A144" i="8"/>
  <c r="G144" i="8"/>
  <c r="C151" i="8"/>
  <c r="F156" i="8"/>
  <c r="D168" i="8"/>
  <c r="G182" i="8"/>
  <c r="E182" i="8"/>
  <c r="D182" i="8"/>
  <c r="C182" i="8"/>
  <c r="B182" i="8"/>
  <c r="A182" i="8"/>
  <c r="I182" i="8"/>
  <c r="I186" i="8"/>
  <c r="H186" i="8"/>
  <c r="G186" i="8"/>
  <c r="F186" i="8"/>
  <c r="E186" i="8"/>
  <c r="D186" i="8"/>
  <c r="C186" i="8"/>
  <c r="A186" i="8"/>
  <c r="B189" i="8"/>
  <c r="I189" i="8"/>
  <c r="H189" i="8"/>
  <c r="G189" i="8"/>
  <c r="F189" i="8"/>
  <c r="D189" i="8"/>
  <c r="G194" i="8"/>
  <c r="E194" i="8"/>
  <c r="D194" i="8"/>
  <c r="C194" i="8"/>
  <c r="B194" i="8"/>
  <c r="A194" i="8"/>
  <c r="I194" i="8"/>
  <c r="I198" i="8"/>
  <c r="H198" i="8"/>
  <c r="G198" i="8"/>
  <c r="F198" i="8"/>
  <c r="E198" i="8"/>
  <c r="D198" i="8"/>
  <c r="C198" i="8"/>
  <c r="A198" i="8"/>
  <c r="B201" i="8"/>
  <c r="I201" i="8"/>
  <c r="H201" i="8"/>
  <c r="G201" i="8"/>
  <c r="F201" i="8"/>
  <c r="D201" i="8"/>
  <c r="G206" i="8"/>
  <c r="E206" i="8"/>
  <c r="D206" i="8"/>
  <c r="C206" i="8"/>
  <c r="B206" i="8"/>
  <c r="A206" i="8"/>
  <c r="I206" i="8"/>
  <c r="I210" i="8"/>
  <c r="H210" i="8"/>
  <c r="G210" i="8"/>
  <c r="F210" i="8"/>
  <c r="E210" i="8"/>
  <c r="D210" i="8"/>
  <c r="C210" i="8"/>
  <c r="A210" i="8"/>
  <c r="H219" i="8"/>
  <c r="G219" i="8"/>
  <c r="F219" i="8"/>
  <c r="E219" i="8"/>
  <c r="D219" i="8"/>
  <c r="C219" i="8"/>
  <c r="B219" i="8"/>
  <c r="A219" i="8"/>
  <c r="I235" i="8"/>
  <c r="H235" i="8"/>
  <c r="G235" i="8"/>
  <c r="F235" i="8"/>
  <c r="E235" i="8"/>
  <c r="D235" i="8"/>
  <c r="C235" i="8"/>
  <c r="B235" i="8"/>
  <c r="D263" i="8"/>
  <c r="C263" i="8"/>
  <c r="B263" i="8"/>
  <c r="A263" i="8"/>
  <c r="I263" i="8"/>
  <c r="H263" i="8"/>
  <c r="G263" i="8"/>
  <c r="F263" i="8"/>
  <c r="E263" i="8"/>
  <c r="F277" i="8"/>
  <c r="E277" i="8"/>
  <c r="D277" i="8"/>
  <c r="C277" i="8"/>
  <c r="B277" i="8"/>
  <c r="A277" i="8"/>
  <c r="I277" i="8"/>
  <c r="H277" i="8"/>
  <c r="G277" i="8"/>
  <c r="D287" i="8"/>
  <c r="C287" i="8"/>
  <c r="B287" i="8"/>
  <c r="A287" i="8"/>
  <c r="I287" i="8"/>
  <c r="H287" i="8"/>
  <c r="G287" i="8"/>
  <c r="F287" i="8"/>
  <c r="E287" i="8"/>
  <c r="F301" i="8"/>
  <c r="E301" i="8"/>
  <c r="D301" i="8"/>
  <c r="C301" i="8"/>
  <c r="B301" i="8"/>
  <c r="A301" i="8"/>
  <c r="I301" i="8"/>
  <c r="H301" i="8"/>
  <c r="G301" i="8"/>
  <c r="D329" i="8"/>
  <c r="B329" i="8"/>
  <c r="H329" i="8"/>
  <c r="F329" i="8"/>
  <c r="I329" i="8"/>
  <c r="G329" i="8"/>
  <c r="E329" i="8"/>
  <c r="C329" i="8"/>
  <c r="A329" i="8"/>
  <c r="I347" i="8"/>
  <c r="F45" i="8"/>
  <c r="F57" i="8"/>
  <c r="A64" i="8"/>
  <c r="F69" i="8"/>
  <c r="A76" i="8"/>
  <c r="B77" i="8"/>
  <c r="F81" i="8"/>
  <c r="A88" i="8"/>
  <c r="B89" i="8"/>
  <c r="F93" i="8"/>
  <c r="A100" i="8"/>
  <c r="B101" i="8"/>
  <c r="F105" i="8"/>
  <c r="A112" i="8"/>
  <c r="B113" i="8"/>
  <c r="F117" i="8"/>
  <c r="G118" i="8"/>
  <c r="A124" i="8"/>
  <c r="B125" i="8"/>
  <c r="F129" i="8"/>
  <c r="G130" i="8"/>
  <c r="I132" i="8"/>
  <c r="E136" i="8"/>
  <c r="C139" i="8"/>
  <c r="H140" i="8"/>
  <c r="E143" i="8"/>
  <c r="B148" i="8"/>
  <c r="D151" i="8"/>
  <c r="A153" i="8"/>
  <c r="C154" i="8"/>
  <c r="A154" i="8"/>
  <c r="I154" i="8"/>
  <c r="E154" i="8"/>
  <c r="H156" i="8"/>
  <c r="I160" i="8"/>
  <c r="G160" i="8"/>
  <c r="E160" i="8"/>
  <c r="D160" i="8"/>
  <c r="C160" i="8"/>
  <c r="I162" i="8"/>
  <c r="G162" i="8"/>
  <c r="F162" i="8"/>
  <c r="E162" i="8"/>
  <c r="A162" i="8"/>
  <c r="A164" i="8"/>
  <c r="I164" i="8"/>
  <c r="H164" i="8"/>
  <c r="G164" i="8"/>
  <c r="C164" i="8"/>
  <c r="F168" i="8"/>
  <c r="I220" i="8"/>
  <c r="H220" i="8"/>
  <c r="G220" i="8"/>
  <c r="F220" i="8"/>
  <c r="E220" i="8"/>
  <c r="D220" i="8"/>
  <c r="C220" i="8"/>
  <c r="B220" i="8"/>
  <c r="A220" i="8"/>
  <c r="G230" i="8"/>
  <c r="F230" i="8"/>
  <c r="E230" i="8"/>
  <c r="D230" i="8"/>
  <c r="C230" i="8"/>
  <c r="B230" i="8"/>
  <c r="A230" i="8"/>
  <c r="I230" i="8"/>
  <c r="I269" i="8"/>
  <c r="H269" i="8"/>
  <c r="G269" i="8"/>
  <c r="F269" i="8"/>
  <c r="E269" i="8"/>
  <c r="D269" i="8"/>
  <c r="C269" i="8"/>
  <c r="B269" i="8"/>
  <c r="A269" i="8"/>
  <c r="I293" i="8"/>
  <c r="H293" i="8"/>
  <c r="G293" i="8"/>
  <c r="F293" i="8"/>
  <c r="E293" i="8"/>
  <c r="D293" i="8"/>
  <c r="C293" i="8"/>
  <c r="B293" i="8"/>
  <c r="A293" i="8"/>
  <c r="E330" i="8"/>
  <c r="C330" i="8"/>
  <c r="A330" i="8"/>
  <c r="I330" i="8"/>
  <c r="G330" i="8"/>
  <c r="H330" i="8"/>
  <c r="F330" i="8"/>
  <c r="D330" i="8"/>
  <c r="B330" i="8"/>
  <c r="A51" i="8"/>
  <c r="A63" i="8"/>
  <c r="B64" i="8"/>
  <c r="G69" i="8"/>
  <c r="A75" i="8"/>
  <c r="B76" i="8"/>
  <c r="C77" i="8"/>
  <c r="A87" i="8"/>
  <c r="B88" i="8"/>
  <c r="C89" i="8"/>
  <c r="A99" i="8"/>
  <c r="B100" i="8"/>
  <c r="C101" i="8"/>
  <c r="A111" i="8"/>
  <c r="B112" i="8"/>
  <c r="C113" i="8"/>
  <c r="H118" i="8"/>
  <c r="A123" i="8"/>
  <c r="B124" i="8"/>
  <c r="C125" i="8"/>
  <c r="H130" i="8"/>
  <c r="D139" i="8"/>
  <c r="B142" i="8"/>
  <c r="A145" i="8"/>
  <c r="C153" i="8"/>
  <c r="H168" i="8"/>
  <c r="I172" i="8"/>
  <c r="G172" i="8"/>
  <c r="E172" i="8"/>
  <c r="D172" i="8"/>
  <c r="C172" i="8"/>
  <c r="I174" i="8"/>
  <c r="G174" i="8"/>
  <c r="F174" i="8"/>
  <c r="E174" i="8"/>
  <c r="A174" i="8"/>
  <c r="A176" i="8"/>
  <c r="I176" i="8"/>
  <c r="H176" i="8"/>
  <c r="G176" i="8"/>
  <c r="C176" i="8"/>
  <c r="G183" i="8"/>
  <c r="A187" i="8"/>
  <c r="G195" i="8"/>
  <c r="A199" i="8"/>
  <c r="G207" i="8"/>
  <c r="A211" i="8"/>
  <c r="D251" i="8"/>
  <c r="C251" i="8"/>
  <c r="B251" i="8"/>
  <c r="A251" i="8"/>
  <c r="I251" i="8"/>
  <c r="H251" i="8"/>
  <c r="G251" i="8"/>
  <c r="F251" i="8"/>
  <c r="B317" i="8"/>
  <c r="H317" i="8"/>
  <c r="F317" i="8"/>
  <c r="I317" i="8"/>
  <c r="G317" i="8"/>
  <c r="E317" i="8"/>
  <c r="D317" i="8"/>
  <c r="C317" i="8"/>
  <c r="A317" i="8"/>
  <c r="I337" i="8"/>
  <c r="A50" i="8"/>
  <c r="B51" i="8"/>
  <c r="A62" i="8"/>
  <c r="B63" i="8"/>
  <c r="C64" i="8"/>
  <c r="A74" i="8"/>
  <c r="B75" i="8"/>
  <c r="C76" i="8"/>
  <c r="D77" i="8"/>
  <c r="A86" i="8"/>
  <c r="B87" i="8"/>
  <c r="C88" i="8"/>
  <c r="D89" i="8"/>
  <c r="A98" i="8"/>
  <c r="B99" i="8"/>
  <c r="C100" i="8"/>
  <c r="D101" i="8"/>
  <c r="A110" i="8"/>
  <c r="B111" i="8"/>
  <c r="C112" i="8"/>
  <c r="D113" i="8"/>
  <c r="A122" i="8"/>
  <c r="B123" i="8"/>
  <c r="C124" i="8"/>
  <c r="D125" i="8"/>
  <c r="E139" i="8"/>
  <c r="G140" i="8"/>
  <c r="C140" i="8"/>
  <c r="C142" i="8"/>
  <c r="C145" i="8"/>
  <c r="E153" i="8"/>
  <c r="A155" i="8"/>
  <c r="E156" i="8"/>
  <c r="C156" i="8"/>
  <c r="A156" i="8"/>
  <c r="G156" i="8"/>
  <c r="A161" i="8"/>
  <c r="A163" i="8"/>
  <c r="A165" i="8"/>
  <c r="E180" i="8"/>
  <c r="C180" i="8"/>
  <c r="B180" i="8"/>
  <c r="A180" i="8"/>
  <c r="G180" i="8"/>
  <c r="D227" i="8"/>
  <c r="C227" i="8"/>
  <c r="B227" i="8"/>
  <c r="A227" i="8"/>
  <c r="I227" i="8"/>
  <c r="H227" i="8"/>
  <c r="F227" i="8"/>
  <c r="D239" i="8"/>
  <c r="C239" i="8"/>
  <c r="B239" i="8"/>
  <c r="A239" i="8"/>
  <c r="I239" i="8"/>
  <c r="H239" i="8"/>
  <c r="G239" i="8"/>
  <c r="F239" i="8"/>
  <c r="H243" i="8"/>
  <c r="G243" i="8"/>
  <c r="F243" i="8"/>
  <c r="E243" i="8"/>
  <c r="D243" i="8"/>
  <c r="C243" i="8"/>
  <c r="B243" i="8"/>
  <c r="A243" i="8"/>
  <c r="I270" i="8"/>
  <c r="I294" i="8"/>
  <c r="I321" i="8"/>
  <c r="I325" i="8"/>
  <c r="E168" i="8"/>
  <c r="C168" i="8"/>
  <c r="A168" i="8"/>
  <c r="G168" i="8"/>
  <c r="H183" i="8"/>
  <c r="F183" i="8"/>
  <c r="E183" i="8"/>
  <c r="D183" i="8"/>
  <c r="C183" i="8"/>
  <c r="B183" i="8"/>
  <c r="A183" i="8"/>
  <c r="I187" i="8"/>
  <c r="H187" i="8"/>
  <c r="G187" i="8"/>
  <c r="F187" i="8"/>
  <c r="E187" i="8"/>
  <c r="D187" i="8"/>
  <c r="B187" i="8"/>
  <c r="H195" i="8"/>
  <c r="F195" i="8"/>
  <c r="E195" i="8"/>
  <c r="D195" i="8"/>
  <c r="C195" i="8"/>
  <c r="B195" i="8"/>
  <c r="A195" i="8"/>
  <c r="I199" i="8"/>
  <c r="H199" i="8"/>
  <c r="G199" i="8"/>
  <c r="F199" i="8"/>
  <c r="E199" i="8"/>
  <c r="D199" i="8"/>
  <c r="B199" i="8"/>
  <c r="H207" i="8"/>
  <c r="F207" i="8"/>
  <c r="E207" i="8"/>
  <c r="D207" i="8"/>
  <c r="C207" i="8"/>
  <c r="B207" i="8"/>
  <c r="A207" i="8"/>
  <c r="I211" i="8"/>
  <c r="H211" i="8"/>
  <c r="G211" i="8"/>
  <c r="F211" i="8"/>
  <c r="E211" i="8"/>
  <c r="D211" i="8"/>
  <c r="B211" i="8"/>
  <c r="I221" i="8"/>
  <c r="H221" i="8"/>
  <c r="G221" i="8"/>
  <c r="F221" i="8"/>
  <c r="E221" i="8"/>
  <c r="D221" i="8"/>
  <c r="C221" i="8"/>
  <c r="B221" i="8"/>
  <c r="H231" i="8"/>
  <c r="G231" i="8"/>
  <c r="F231" i="8"/>
  <c r="E231" i="8"/>
  <c r="D231" i="8"/>
  <c r="C231" i="8"/>
  <c r="B231" i="8"/>
  <c r="A231" i="8"/>
  <c r="I244" i="8"/>
  <c r="H244" i="8"/>
  <c r="G244" i="8"/>
  <c r="F244" i="8"/>
  <c r="E244" i="8"/>
  <c r="D244" i="8"/>
  <c r="C244" i="8"/>
  <c r="B244" i="8"/>
  <c r="A244" i="8"/>
  <c r="H255" i="8"/>
  <c r="G255" i="8"/>
  <c r="F255" i="8"/>
  <c r="E255" i="8"/>
  <c r="D255" i="8"/>
  <c r="C255" i="8"/>
  <c r="B255" i="8"/>
  <c r="A255" i="8"/>
  <c r="B261" i="8"/>
  <c r="A261" i="8"/>
  <c r="I261" i="8"/>
  <c r="H261" i="8"/>
  <c r="G261" i="8"/>
  <c r="F261" i="8"/>
  <c r="E261" i="8"/>
  <c r="D261" i="8"/>
  <c r="C261" i="8"/>
  <c r="H279" i="8"/>
  <c r="G279" i="8"/>
  <c r="F279" i="8"/>
  <c r="E279" i="8"/>
  <c r="D279" i="8"/>
  <c r="C279" i="8"/>
  <c r="B279" i="8"/>
  <c r="A279" i="8"/>
  <c r="I279" i="8"/>
  <c r="B285" i="8"/>
  <c r="A285" i="8"/>
  <c r="I285" i="8"/>
  <c r="H285" i="8"/>
  <c r="G285" i="8"/>
  <c r="F285" i="8"/>
  <c r="E285" i="8"/>
  <c r="D285" i="8"/>
  <c r="C285" i="8"/>
  <c r="H303" i="8"/>
  <c r="G303" i="8"/>
  <c r="F303" i="8"/>
  <c r="E303" i="8"/>
  <c r="D303" i="8"/>
  <c r="C303" i="8"/>
  <c r="B303" i="8"/>
  <c r="A303" i="8"/>
  <c r="I303" i="8"/>
  <c r="C50" i="8"/>
  <c r="D51" i="8"/>
  <c r="C62" i="8"/>
  <c r="D63" i="8"/>
  <c r="E64" i="8"/>
  <c r="C74" i="8"/>
  <c r="D75" i="8"/>
  <c r="E76" i="8"/>
  <c r="F77" i="8"/>
  <c r="C86" i="8"/>
  <c r="D87" i="8"/>
  <c r="E88" i="8"/>
  <c r="F89" i="8"/>
  <c r="C98" i="8"/>
  <c r="D99" i="8"/>
  <c r="E100" i="8"/>
  <c r="F101" i="8"/>
  <c r="C110" i="8"/>
  <c r="D111" i="8"/>
  <c r="E112" i="8"/>
  <c r="F113" i="8"/>
  <c r="C122" i="8"/>
  <c r="D123" i="8"/>
  <c r="E124" i="8"/>
  <c r="F125" i="8"/>
  <c r="D134" i="8"/>
  <c r="G136" i="8"/>
  <c r="C136" i="8"/>
  <c r="C138" i="8"/>
  <c r="H139" i="8"/>
  <c r="F142" i="8"/>
  <c r="B143" i="8"/>
  <c r="F143" i="8"/>
  <c r="F145" i="8"/>
  <c r="A147" i="8"/>
  <c r="C150" i="8"/>
  <c r="H151" i="8"/>
  <c r="F151" i="8"/>
  <c r="B151" i="8"/>
  <c r="G153" i="8"/>
  <c r="E155" i="8"/>
  <c r="E159" i="8"/>
  <c r="C161" i="8"/>
  <c r="D163" i="8"/>
  <c r="E165" i="8"/>
  <c r="C167" i="8"/>
  <c r="A171" i="8"/>
  <c r="B173" i="8"/>
  <c r="C175" i="8"/>
  <c r="C179" i="8"/>
  <c r="B225" i="8"/>
  <c r="A225" i="8"/>
  <c r="I225" i="8"/>
  <c r="H225" i="8"/>
  <c r="G225" i="8"/>
  <c r="F225" i="8"/>
  <c r="D225" i="8"/>
  <c r="I232" i="8"/>
  <c r="H232" i="8"/>
  <c r="G232" i="8"/>
  <c r="F232" i="8"/>
  <c r="E232" i="8"/>
  <c r="D232" i="8"/>
  <c r="C232" i="8"/>
  <c r="B232" i="8"/>
  <c r="A232" i="8"/>
  <c r="B249" i="8"/>
  <c r="A249" i="8"/>
  <c r="I249" i="8"/>
  <c r="H249" i="8"/>
  <c r="G249" i="8"/>
  <c r="F249" i="8"/>
  <c r="E249" i="8"/>
  <c r="D249" i="8"/>
  <c r="I256" i="8"/>
  <c r="H256" i="8"/>
  <c r="G256" i="8"/>
  <c r="F256" i="8"/>
  <c r="E256" i="8"/>
  <c r="D256" i="8"/>
  <c r="C256" i="8"/>
  <c r="B256" i="8"/>
  <c r="A256" i="8"/>
  <c r="I271" i="8"/>
  <c r="H271" i="8"/>
  <c r="G271" i="8"/>
  <c r="F271" i="8"/>
  <c r="E271" i="8"/>
  <c r="D271" i="8"/>
  <c r="C271" i="8"/>
  <c r="B271" i="8"/>
  <c r="A271" i="8"/>
  <c r="I280" i="8"/>
  <c r="I295" i="8"/>
  <c r="H295" i="8"/>
  <c r="G295" i="8"/>
  <c r="F295" i="8"/>
  <c r="E295" i="8"/>
  <c r="D295" i="8"/>
  <c r="C295" i="8"/>
  <c r="B295" i="8"/>
  <c r="A295" i="8"/>
  <c r="I304" i="8"/>
  <c r="I310" i="8"/>
  <c r="I335" i="8"/>
  <c r="D341" i="8"/>
  <c r="B341" i="8"/>
  <c r="I341" i="8"/>
  <c r="H341" i="8"/>
  <c r="F341" i="8"/>
  <c r="E341" i="8"/>
  <c r="C341" i="8"/>
  <c r="A341" i="8"/>
  <c r="G341" i="8"/>
  <c r="E134" i="8"/>
  <c r="D138" i="8"/>
  <c r="I139" i="8"/>
  <c r="B141" i="8"/>
  <c r="G142" i="8"/>
  <c r="B144" i="8"/>
  <c r="G145" i="8"/>
  <c r="C147" i="8"/>
  <c r="G148" i="8"/>
  <c r="E148" i="8"/>
  <c r="C148" i="8"/>
  <c r="D150" i="8"/>
  <c r="B152" i="8"/>
  <c r="I153" i="8"/>
  <c r="G155" i="8"/>
  <c r="G159" i="8"/>
  <c r="G161" i="8"/>
  <c r="E163" i="8"/>
  <c r="F165" i="8"/>
  <c r="E167" i="8"/>
  <c r="C169" i="8"/>
  <c r="E171" i="8"/>
  <c r="C173" i="8"/>
  <c r="E179" i="8"/>
  <c r="I184" i="8"/>
  <c r="G184" i="8"/>
  <c r="F184" i="8"/>
  <c r="E184" i="8"/>
  <c r="D184" i="8"/>
  <c r="C184" i="8"/>
  <c r="B184" i="8"/>
  <c r="A184" i="8"/>
  <c r="I196" i="8"/>
  <c r="G196" i="8"/>
  <c r="F196" i="8"/>
  <c r="E196" i="8"/>
  <c r="D196" i="8"/>
  <c r="C196" i="8"/>
  <c r="B196" i="8"/>
  <c r="A196" i="8"/>
  <c r="I208" i="8"/>
  <c r="G208" i="8"/>
  <c r="F208" i="8"/>
  <c r="E208" i="8"/>
  <c r="D208" i="8"/>
  <c r="C208" i="8"/>
  <c r="B208" i="8"/>
  <c r="A208" i="8"/>
  <c r="I222" i="8"/>
  <c r="B237" i="8"/>
  <c r="A237" i="8"/>
  <c r="I237" i="8"/>
  <c r="H237" i="8"/>
  <c r="G237" i="8"/>
  <c r="F237" i="8"/>
  <c r="E237" i="8"/>
  <c r="D237" i="8"/>
  <c r="I245" i="8"/>
  <c r="H245" i="8"/>
  <c r="G245" i="8"/>
  <c r="F245" i="8"/>
  <c r="E245" i="8"/>
  <c r="D245" i="8"/>
  <c r="C245" i="8"/>
  <c r="B245" i="8"/>
  <c r="A245" i="8"/>
  <c r="F265" i="8"/>
  <c r="E265" i="8"/>
  <c r="D265" i="8"/>
  <c r="C265" i="8"/>
  <c r="B265" i="8"/>
  <c r="A265" i="8"/>
  <c r="I265" i="8"/>
  <c r="H265" i="8"/>
  <c r="G265" i="8"/>
  <c r="D275" i="8"/>
  <c r="C275" i="8"/>
  <c r="B275" i="8"/>
  <c r="A275" i="8"/>
  <c r="I275" i="8"/>
  <c r="H275" i="8"/>
  <c r="G275" i="8"/>
  <c r="F275" i="8"/>
  <c r="E275" i="8"/>
  <c r="F289" i="8"/>
  <c r="E289" i="8"/>
  <c r="D289" i="8"/>
  <c r="C289" i="8"/>
  <c r="B289" i="8"/>
  <c r="A289" i="8"/>
  <c r="I289" i="8"/>
  <c r="H289" i="8"/>
  <c r="G289" i="8"/>
  <c r="D299" i="8"/>
  <c r="C299" i="8"/>
  <c r="B299" i="8"/>
  <c r="A299" i="8"/>
  <c r="I299" i="8"/>
  <c r="H299" i="8"/>
  <c r="G299" i="8"/>
  <c r="F299" i="8"/>
  <c r="E299" i="8"/>
  <c r="I319" i="8"/>
  <c r="I355" i="8"/>
  <c r="I324" i="8"/>
  <c r="G324" i="8"/>
  <c r="C324" i="8"/>
  <c r="A324" i="8"/>
  <c r="F331" i="8"/>
  <c r="D331" i="8"/>
  <c r="B331" i="8"/>
  <c r="H331" i="8"/>
  <c r="H345" i="8"/>
  <c r="F345" i="8"/>
  <c r="D345" i="8"/>
  <c r="B345" i="8"/>
  <c r="A345" i="8"/>
  <c r="A350" i="8"/>
  <c r="I350" i="8"/>
  <c r="G350" i="8"/>
  <c r="F350" i="8"/>
  <c r="E350" i="8"/>
  <c r="C350" i="8"/>
  <c r="D353" i="8"/>
  <c r="C353" i="8"/>
  <c r="B353" i="8"/>
  <c r="A353" i="8"/>
  <c r="I353" i="8"/>
  <c r="H353" i="8"/>
  <c r="F353" i="8"/>
  <c r="I358" i="8"/>
  <c r="H358" i="8"/>
  <c r="G358" i="8"/>
  <c r="F358" i="8"/>
  <c r="E358" i="8"/>
  <c r="D358" i="8"/>
  <c r="C358" i="8"/>
  <c r="B358" i="8"/>
  <c r="A358" i="8"/>
  <c r="D404" i="8"/>
  <c r="A404" i="8"/>
  <c r="I404" i="8"/>
  <c r="G404" i="8"/>
  <c r="F404" i="8"/>
  <c r="H404" i="8"/>
  <c r="E404" i="8"/>
  <c r="C404" i="8"/>
  <c r="B404" i="8"/>
  <c r="D599" i="8"/>
  <c r="I599" i="8"/>
  <c r="H599" i="8"/>
  <c r="G599" i="8"/>
  <c r="F599" i="8"/>
  <c r="E599" i="8"/>
  <c r="C599" i="8"/>
  <c r="B599" i="8"/>
  <c r="A599" i="8"/>
  <c r="E166" i="8"/>
  <c r="E178" i="8"/>
  <c r="C188" i="8"/>
  <c r="E190" i="8"/>
  <c r="G192" i="8"/>
  <c r="H193" i="8"/>
  <c r="C200" i="8"/>
  <c r="E202" i="8"/>
  <c r="G204" i="8"/>
  <c r="H205" i="8"/>
  <c r="C212" i="8"/>
  <c r="E214" i="8"/>
  <c r="G216" i="8"/>
  <c r="H217" i="8"/>
  <c r="A222" i="8"/>
  <c r="C224" i="8"/>
  <c r="E226" i="8"/>
  <c r="G228" i="8"/>
  <c r="A234" i="8"/>
  <c r="C236" i="8"/>
  <c r="E238" i="8"/>
  <c r="G240" i="8"/>
  <c r="I242" i="8"/>
  <c r="A246" i="8"/>
  <c r="C248" i="8"/>
  <c r="E250" i="8"/>
  <c r="G252" i="8"/>
  <c r="H253" i="8"/>
  <c r="I254" i="8"/>
  <c r="A258" i="8"/>
  <c r="C260" i="8"/>
  <c r="E262" i="8"/>
  <c r="G264" i="8"/>
  <c r="I266" i="8"/>
  <c r="A270" i="8"/>
  <c r="C272" i="8"/>
  <c r="E274" i="8"/>
  <c r="G276" i="8"/>
  <c r="I278" i="8"/>
  <c r="A282" i="8"/>
  <c r="C284" i="8"/>
  <c r="E286" i="8"/>
  <c r="G288" i="8"/>
  <c r="I290" i="8"/>
  <c r="A294" i="8"/>
  <c r="C296" i="8"/>
  <c r="E298" i="8"/>
  <c r="G300" i="8"/>
  <c r="I302" i="8"/>
  <c r="F308" i="8"/>
  <c r="I309" i="8"/>
  <c r="A332" i="8"/>
  <c r="F343" i="8"/>
  <c r="D343" i="8"/>
  <c r="B343" i="8"/>
  <c r="H343" i="8"/>
  <c r="D346" i="8"/>
  <c r="F354" i="8"/>
  <c r="F365" i="8"/>
  <c r="E365" i="8"/>
  <c r="D365" i="8"/>
  <c r="C365" i="8"/>
  <c r="B365" i="8"/>
  <c r="A365" i="8"/>
  <c r="H365" i="8"/>
  <c r="E376" i="8"/>
  <c r="A376" i="8"/>
  <c r="I376" i="8"/>
  <c r="H376" i="8"/>
  <c r="G376" i="8"/>
  <c r="F376" i="8"/>
  <c r="D376" i="8"/>
  <c r="C376" i="8"/>
  <c r="E388" i="8"/>
  <c r="B388" i="8"/>
  <c r="I388" i="8"/>
  <c r="H388" i="8"/>
  <c r="G388" i="8"/>
  <c r="F388" i="8"/>
  <c r="D388" i="8"/>
  <c r="C388" i="8"/>
  <c r="E400" i="8"/>
  <c r="C400" i="8"/>
  <c r="B400" i="8"/>
  <c r="I400" i="8"/>
  <c r="H400" i="8"/>
  <c r="G400" i="8"/>
  <c r="F400" i="8"/>
  <c r="D400" i="8"/>
  <c r="A400" i="8"/>
  <c r="C318" i="8"/>
  <c r="A318" i="8"/>
  <c r="I318" i="8"/>
  <c r="G318" i="8"/>
  <c r="F321" i="8"/>
  <c r="D321" i="8"/>
  <c r="A326" i="8"/>
  <c r="I326" i="8"/>
  <c r="E326" i="8"/>
  <c r="C326" i="8"/>
  <c r="H333" i="8"/>
  <c r="F333" i="8"/>
  <c r="D333" i="8"/>
  <c r="H335" i="8"/>
  <c r="F335" i="8"/>
  <c r="C335" i="8"/>
  <c r="B335" i="8"/>
  <c r="H337" i="8"/>
  <c r="E337" i="8"/>
  <c r="D337" i="8"/>
  <c r="B337" i="8"/>
  <c r="B339" i="8"/>
  <c r="G339" i="8"/>
  <c r="F339" i="8"/>
  <c r="D339" i="8"/>
  <c r="B344" i="8"/>
  <c r="I348" i="8"/>
  <c r="G348" i="8"/>
  <c r="E348" i="8"/>
  <c r="D348" i="8"/>
  <c r="C348" i="8"/>
  <c r="A348" i="8"/>
  <c r="E371" i="8"/>
  <c r="E188" i="8"/>
  <c r="E200" i="8"/>
  <c r="E212" i="8"/>
  <c r="C222" i="8"/>
  <c r="E224" i="8"/>
  <c r="I228" i="8"/>
  <c r="C234" i="8"/>
  <c r="E236" i="8"/>
  <c r="I240" i="8"/>
  <c r="C246" i="8"/>
  <c r="E248" i="8"/>
  <c r="C258" i="8"/>
  <c r="E260" i="8"/>
  <c r="I264" i="8"/>
  <c r="A268" i="8"/>
  <c r="C270" i="8"/>
  <c r="E272" i="8"/>
  <c r="I276" i="8"/>
  <c r="A280" i="8"/>
  <c r="C282" i="8"/>
  <c r="E284" i="8"/>
  <c r="I288" i="8"/>
  <c r="A292" i="8"/>
  <c r="C294" i="8"/>
  <c r="E296" i="8"/>
  <c r="I300" i="8"/>
  <c r="A304" i="8"/>
  <c r="B310" i="8"/>
  <c r="E354" i="8"/>
  <c r="D354" i="8"/>
  <c r="C354" i="8"/>
  <c r="B354" i="8"/>
  <c r="A354" i="8"/>
  <c r="I354" i="8"/>
  <c r="G354" i="8"/>
  <c r="I359" i="8"/>
  <c r="H359" i="8"/>
  <c r="G359" i="8"/>
  <c r="F359" i="8"/>
  <c r="E359" i="8"/>
  <c r="D359" i="8"/>
  <c r="C359" i="8"/>
  <c r="B359" i="8"/>
  <c r="G366" i="8"/>
  <c r="H366" i="8"/>
  <c r="F366" i="8"/>
  <c r="E366" i="8"/>
  <c r="D366" i="8"/>
  <c r="C366" i="8"/>
  <c r="B366" i="8"/>
  <c r="A366" i="8"/>
  <c r="I381" i="8"/>
  <c r="F389" i="8"/>
  <c r="C389" i="8"/>
  <c r="D389" i="8"/>
  <c r="B389" i="8"/>
  <c r="A389" i="8"/>
  <c r="I389" i="8"/>
  <c r="H389" i="8"/>
  <c r="G389" i="8"/>
  <c r="I401" i="8"/>
  <c r="I417" i="8"/>
  <c r="G461" i="8"/>
  <c r="F461" i="8"/>
  <c r="D461" i="8"/>
  <c r="C461" i="8"/>
  <c r="I461" i="8"/>
  <c r="H461" i="8"/>
  <c r="E461" i="8"/>
  <c r="B461" i="8"/>
  <c r="A461" i="8"/>
  <c r="F188" i="8"/>
  <c r="F200" i="8"/>
  <c r="F212" i="8"/>
  <c r="D222" i="8"/>
  <c r="F224" i="8"/>
  <c r="D234" i="8"/>
  <c r="F236" i="8"/>
  <c r="D246" i="8"/>
  <c r="F248" i="8"/>
  <c r="D258" i="8"/>
  <c r="F260" i="8"/>
  <c r="B268" i="8"/>
  <c r="D270" i="8"/>
  <c r="F272" i="8"/>
  <c r="B280" i="8"/>
  <c r="D282" i="8"/>
  <c r="F284" i="8"/>
  <c r="B292" i="8"/>
  <c r="D294" i="8"/>
  <c r="F296" i="8"/>
  <c r="B304" i="8"/>
  <c r="C308" i="8"/>
  <c r="I308" i="8"/>
  <c r="C310" i="8"/>
  <c r="F315" i="8"/>
  <c r="D315" i="8"/>
  <c r="A319" i="8"/>
  <c r="A327" i="8"/>
  <c r="C328" i="8"/>
  <c r="A328" i="8"/>
  <c r="G328" i="8"/>
  <c r="E328" i="8"/>
  <c r="I346" i="8"/>
  <c r="G346" i="8"/>
  <c r="E346" i="8"/>
  <c r="C346" i="8"/>
  <c r="B346" i="8"/>
  <c r="A346" i="8"/>
  <c r="H367" i="8"/>
  <c r="I367" i="8"/>
  <c r="G367" i="8"/>
  <c r="F367" i="8"/>
  <c r="E367" i="8"/>
  <c r="D367" i="8"/>
  <c r="C367" i="8"/>
  <c r="B367" i="8"/>
  <c r="A367" i="8"/>
  <c r="D371" i="8"/>
  <c r="C371" i="8"/>
  <c r="B371" i="8"/>
  <c r="A371" i="8"/>
  <c r="I371" i="8"/>
  <c r="H371" i="8"/>
  <c r="F371" i="8"/>
  <c r="F406" i="8"/>
  <c r="C406" i="8"/>
  <c r="I406" i="8"/>
  <c r="H406" i="8"/>
  <c r="G406" i="8"/>
  <c r="E406" i="8"/>
  <c r="D406" i="8"/>
  <c r="B406" i="8"/>
  <c r="A406" i="8"/>
  <c r="I166" i="8"/>
  <c r="I178" i="8"/>
  <c r="G188" i="8"/>
  <c r="I190" i="8"/>
  <c r="G200" i="8"/>
  <c r="I202" i="8"/>
  <c r="G212" i="8"/>
  <c r="I214" i="8"/>
  <c r="E222" i="8"/>
  <c r="G224" i="8"/>
  <c r="I226" i="8"/>
  <c r="E234" i="8"/>
  <c r="G236" i="8"/>
  <c r="I238" i="8"/>
  <c r="A242" i="8"/>
  <c r="E246" i="8"/>
  <c r="G248" i="8"/>
  <c r="I250" i="8"/>
  <c r="A254" i="8"/>
  <c r="E258" i="8"/>
  <c r="G260" i="8"/>
  <c r="I262" i="8"/>
  <c r="A266" i="8"/>
  <c r="C268" i="8"/>
  <c r="E270" i="8"/>
  <c r="G272" i="8"/>
  <c r="I274" i="8"/>
  <c r="A278" i="8"/>
  <c r="C280" i="8"/>
  <c r="E282" i="8"/>
  <c r="G284" i="8"/>
  <c r="I286" i="8"/>
  <c r="A290" i="8"/>
  <c r="C292" i="8"/>
  <c r="E294" i="8"/>
  <c r="G296" i="8"/>
  <c r="I298" i="8"/>
  <c r="A302" i="8"/>
  <c r="C304" i="8"/>
  <c r="D310" i="8"/>
  <c r="B316" i="8"/>
  <c r="C319" i="8"/>
  <c r="E320" i="8"/>
  <c r="C320" i="8"/>
  <c r="I320" i="8"/>
  <c r="D322" i="8"/>
  <c r="F325" i="8"/>
  <c r="C327" i="8"/>
  <c r="C349" i="8"/>
  <c r="B351" i="8"/>
  <c r="A351" i="8"/>
  <c r="H351" i="8"/>
  <c r="G351" i="8"/>
  <c r="F351" i="8"/>
  <c r="D351" i="8"/>
  <c r="G390" i="8"/>
  <c r="D390" i="8"/>
  <c r="H390" i="8"/>
  <c r="F390" i="8"/>
  <c r="E390" i="8"/>
  <c r="C390" i="8"/>
  <c r="B390" i="8"/>
  <c r="A390" i="8"/>
  <c r="H188" i="8"/>
  <c r="A193" i="8"/>
  <c r="H200" i="8"/>
  <c r="A205" i="8"/>
  <c r="H212" i="8"/>
  <c r="A217" i="8"/>
  <c r="F222" i="8"/>
  <c r="H224" i="8"/>
  <c r="F234" i="8"/>
  <c r="H236" i="8"/>
  <c r="B242" i="8"/>
  <c r="F246" i="8"/>
  <c r="H248" i="8"/>
  <c r="A253" i="8"/>
  <c r="B254" i="8"/>
  <c r="F258" i="8"/>
  <c r="H260" i="8"/>
  <c r="B266" i="8"/>
  <c r="D268" i="8"/>
  <c r="F270" i="8"/>
  <c r="H272" i="8"/>
  <c r="B278" i="8"/>
  <c r="D280" i="8"/>
  <c r="F282" i="8"/>
  <c r="H284" i="8"/>
  <c r="B290" i="8"/>
  <c r="D292" i="8"/>
  <c r="F294" i="8"/>
  <c r="H296" i="8"/>
  <c r="B302" i="8"/>
  <c r="D304" i="8"/>
  <c r="A309" i="8"/>
  <c r="F310" i="8"/>
  <c r="E319" i="8"/>
  <c r="G325" i="8"/>
  <c r="E327" i="8"/>
  <c r="G332" i="8"/>
  <c r="E332" i="8"/>
  <c r="C332" i="8"/>
  <c r="I332" i="8"/>
  <c r="G344" i="8"/>
  <c r="E344" i="8"/>
  <c r="C344" i="8"/>
  <c r="A344" i="8"/>
  <c r="I344" i="8"/>
  <c r="A347" i="8"/>
  <c r="F355" i="8"/>
  <c r="E355" i="8"/>
  <c r="D355" i="8"/>
  <c r="C355" i="8"/>
  <c r="B355" i="8"/>
  <c r="A355" i="8"/>
  <c r="H355" i="8"/>
  <c r="I368" i="8"/>
  <c r="H368" i="8"/>
  <c r="G368" i="8"/>
  <c r="F368" i="8"/>
  <c r="E368" i="8"/>
  <c r="D368" i="8"/>
  <c r="C368" i="8"/>
  <c r="A368" i="8"/>
  <c r="H391" i="8"/>
  <c r="E391" i="8"/>
  <c r="I391" i="8"/>
  <c r="G391" i="8"/>
  <c r="F391" i="8"/>
  <c r="D391" i="8"/>
  <c r="C391" i="8"/>
  <c r="B391" i="8"/>
  <c r="A391" i="8"/>
  <c r="I188" i="8"/>
  <c r="A192" i="8"/>
  <c r="B193" i="8"/>
  <c r="I200" i="8"/>
  <c r="A204" i="8"/>
  <c r="B205" i="8"/>
  <c r="I212" i="8"/>
  <c r="A216" i="8"/>
  <c r="B217" i="8"/>
  <c r="G222" i="8"/>
  <c r="I224" i="8"/>
  <c r="A228" i="8"/>
  <c r="G234" i="8"/>
  <c r="I236" i="8"/>
  <c r="A240" i="8"/>
  <c r="C242" i="8"/>
  <c r="G246" i="8"/>
  <c r="I248" i="8"/>
  <c r="A252" i="8"/>
  <c r="B253" i="8"/>
  <c r="C254" i="8"/>
  <c r="G258" i="8"/>
  <c r="I260" i="8"/>
  <c r="A264" i="8"/>
  <c r="C266" i="8"/>
  <c r="E268" i="8"/>
  <c r="G270" i="8"/>
  <c r="I272" i="8"/>
  <c r="A276" i="8"/>
  <c r="C278" i="8"/>
  <c r="E280" i="8"/>
  <c r="G282" i="8"/>
  <c r="I284" i="8"/>
  <c r="A288" i="8"/>
  <c r="C290" i="8"/>
  <c r="E292" i="8"/>
  <c r="G294" i="8"/>
  <c r="I296" i="8"/>
  <c r="A300" i="8"/>
  <c r="C302" i="8"/>
  <c r="E304" i="8"/>
  <c r="B309" i="8"/>
  <c r="G310" i="8"/>
  <c r="I314" i="8"/>
  <c r="E314" i="8"/>
  <c r="C314" i="8"/>
  <c r="D316" i="8"/>
  <c r="F319" i="8"/>
  <c r="A321" i="8"/>
  <c r="B324" i="8"/>
  <c r="G327" i="8"/>
  <c r="A331" i="8"/>
  <c r="I334" i="8"/>
  <c r="G334" i="8"/>
  <c r="E334" i="8"/>
  <c r="B334" i="8"/>
  <c r="A334" i="8"/>
  <c r="I336" i="8"/>
  <c r="G336" i="8"/>
  <c r="D336" i="8"/>
  <c r="C336" i="8"/>
  <c r="A336" i="8"/>
  <c r="A338" i="8"/>
  <c r="I338" i="8"/>
  <c r="F338" i="8"/>
  <c r="E338" i="8"/>
  <c r="C338" i="8"/>
  <c r="C340" i="8"/>
  <c r="A340" i="8"/>
  <c r="H340" i="8"/>
  <c r="G340" i="8"/>
  <c r="E340" i="8"/>
  <c r="E342" i="8"/>
  <c r="C342" i="8"/>
  <c r="A342" i="8"/>
  <c r="I342" i="8"/>
  <c r="G342" i="8"/>
  <c r="E347" i="8"/>
  <c r="I360" i="8"/>
  <c r="B363" i="8"/>
  <c r="A363" i="8"/>
  <c r="I363" i="8"/>
  <c r="H363" i="8"/>
  <c r="G363" i="8"/>
  <c r="F363" i="8"/>
  <c r="D363" i="8"/>
  <c r="A372" i="8"/>
  <c r="F372" i="8"/>
  <c r="E372" i="8"/>
  <c r="D372" i="8"/>
  <c r="C372" i="8"/>
  <c r="B372" i="8"/>
  <c r="H372" i="8"/>
  <c r="G378" i="8"/>
  <c r="E378" i="8"/>
  <c r="D378" i="8"/>
  <c r="C378" i="8"/>
  <c r="B378" i="8"/>
  <c r="A378" i="8"/>
  <c r="I378" i="8"/>
  <c r="H378" i="8"/>
  <c r="I414" i="8"/>
  <c r="B435" i="8"/>
  <c r="I435" i="8"/>
  <c r="H435" i="8"/>
  <c r="G435" i="8"/>
  <c r="F435" i="8"/>
  <c r="E435" i="8"/>
  <c r="D435" i="8"/>
  <c r="C435" i="8"/>
  <c r="A435" i="8"/>
  <c r="B192" i="8"/>
  <c r="C193" i="8"/>
  <c r="B204" i="8"/>
  <c r="C205" i="8"/>
  <c r="B216" i="8"/>
  <c r="C217" i="8"/>
  <c r="H222" i="8"/>
  <c r="B228" i="8"/>
  <c r="H234" i="8"/>
  <c r="B240" i="8"/>
  <c r="D242" i="8"/>
  <c r="H246" i="8"/>
  <c r="B252" i="8"/>
  <c r="C253" i="8"/>
  <c r="D254" i="8"/>
  <c r="H258" i="8"/>
  <c r="B264" i="8"/>
  <c r="D266" i="8"/>
  <c r="F268" i="8"/>
  <c r="H270" i="8"/>
  <c r="B276" i="8"/>
  <c r="D278" i="8"/>
  <c r="F280" i="8"/>
  <c r="H282" i="8"/>
  <c r="B288" i="8"/>
  <c r="D290" i="8"/>
  <c r="F292" i="8"/>
  <c r="H294" i="8"/>
  <c r="B300" i="8"/>
  <c r="D302" i="8"/>
  <c r="F304" i="8"/>
  <c r="C309" i="8"/>
  <c r="H310" i="8"/>
  <c r="G319" i="8"/>
  <c r="B321" i="8"/>
  <c r="D324" i="8"/>
  <c r="H325" i="8"/>
  <c r="D325" i="8"/>
  <c r="B325" i="8"/>
  <c r="H327" i="8"/>
  <c r="C331" i="8"/>
  <c r="A333" i="8"/>
  <c r="C345" i="8"/>
  <c r="G347" i="8"/>
  <c r="H349" i="8"/>
  <c r="F349" i="8"/>
  <c r="E349" i="8"/>
  <c r="D349" i="8"/>
  <c r="B349" i="8"/>
  <c r="C352" i="8"/>
  <c r="B352" i="8"/>
  <c r="A352" i="8"/>
  <c r="I352" i="8"/>
  <c r="H352" i="8"/>
  <c r="G352" i="8"/>
  <c r="E352" i="8"/>
  <c r="G356" i="8"/>
  <c r="F356" i="8"/>
  <c r="E356" i="8"/>
  <c r="D356" i="8"/>
  <c r="C356" i="8"/>
  <c r="B356" i="8"/>
  <c r="A356" i="8"/>
  <c r="I356" i="8"/>
  <c r="D364" i="8"/>
  <c r="I395" i="8"/>
  <c r="H395" i="8"/>
  <c r="G395" i="8"/>
  <c r="F395" i="8"/>
  <c r="E395" i="8"/>
  <c r="D395" i="8"/>
  <c r="C395" i="8"/>
  <c r="B395" i="8"/>
  <c r="A395" i="8"/>
  <c r="I402" i="8"/>
  <c r="A166" i="8"/>
  <c r="A178" i="8"/>
  <c r="A190" i="8"/>
  <c r="C192" i="8"/>
  <c r="D193" i="8"/>
  <c r="A202" i="8"/>
  <c r="C204" i="8"/>
  <c r="D205" i="8"/>
  <c r="A214" i="8"/>
  <c r="C216" i="8"/>
  <c r="D217" i="8"/>
  <c r="A226" i="8"/>
  <c r="C228" i="8"/>
  <c r="A238" i="8"/>
  <c r="C240" i="8"/>
  <c r="E242" i="8"/>
  <c r="A250" i="8"/>
  <c r="C252" i="8"/>
  <c r="D253" i="8"/>
  <c r="E254" i="8"/>
  <c r="A262" i="8"/>
  <c r="C264" i="8"/>
  <c r="E266" i="8"/>
  <c r="G268" i="8"/>
  <c r="A274" i="8"/>
  <c r="C276" i="8"/>
  <c r="E278" i="8"/>
  <c r="G280" i="8"/>
  <c r="A286" i="8"/>
  <c r="C288" i="8"/>
  <c r="E290" i="8"/>
  <c r="G292" i="8"/>
  <c r="A298" i="8"/>
  <c r="C300" i="8"/>
  <c r="E302" i="8"/>
  <c r="G304" i="8"/>
  <c r="A308" i="8"/>
  <c r="E309" i="8"/>
  <c r="A315" i="8"/>
  <c r="B318" i="8"/>
  <c r="C321" i="8"/>
  <c r="G322" i="8"/>
  <c r="E322" i="8"/>
  <c r="A322" i="8"/>
  <c r="E324" i="8"/>
  <c r="B326" i="8"/>
  <c r="E331" i="8"/>
  <c r="B333" i="8"/>
  <c r="A335" i="8"/>
  <c r="A337" i="8"/>
  <c r="A339" i="8"/>
  <c r="E345" i="8"/>
  <c r="B350" i="8"/>
  <c r="B373" i="8"/>
  <c r="H373" i="8"/>
  <c r="G373" i="8"/>
  <c r="F373" i="8"/>
  <c r="E373" i="8"/>
  <c r="D373" i="8"/>
  <c r="C373" i="8"/>
  <c r="A373" i="8"/>
  <c r="H379" i="8"/>
  <c r="G379" i="8"/>
  <c r="F379" i="8"/>
  <c r="E379" i="8"/>
  <c r="D379" i="8"/>
  <c r="C379" i="8"/>
  <c r="B379" i="8"/>
  <c r="A379" i="8"/>
  <c r="F242" i="8"/>
  <c r="F254" i="8"/>
  <c r="F266" i="8"/>
  <c r="H268" i="8"/>
  <c r="F278" i="8"/>
  <c r="H280" i="8"/>
  <c r="F290" i="8"/>
  <c r="H292" i="8"/>
  <c r="F302" i="8"/>
  <c r="H304" i="8"/>
  <c r="F309" i="8"/>
  <c r="E310" i="8"/>
  <c r="A310" i="8"/>
  <c r="D318" i="8"/>
  <c r="D319" i="8"/>
  <c r="B319" i="8"/>
  <c r="H319" i="8"/>
  <c r="E321" i="8"/>
  <c r="F324" i="8"/>
  <c r="D326" i="8"/>
  <c r="B327" i="8"/>
  <c r="F327" i="8"/>
  <c r="D327" i="8"/>
  <c r="G331" i="8"/>
  <c r="C333" i="8"/>
  <c r="D335" i="8"/>
  <c r="G345" i="8"/>
  <c r="H347" i="8"/>
  <c r="F347" i="8"/>
  <c r="D347" i="8"/>
  <c r="C347" i="8"/>
  <c r="B347" i="8"/>
  <c r="D350" i="8"/>
  <c r="E353" i="8"/>
  <c r="E364" i="8"/>
  <c r="C364" i="8"/>
  <c r="B364" i="8"/>
  <c r="A364" i="8"/>
  <c r="I364" i="8"/>
  <c r="H364" i="8"/>
  <c r="F364" i="8"/>
  <c r="C374" i="8"/>
  <c r="I374" i="8"/>
  <c r="H374" i="8"/>
  <c r="G374" i="8"/>
  <c r="F374" i="8"/>
  <c r="E374" i="8"/>
  <c r="D374" i="8"/>
  <c r="B374" i="8"/>
  <c r="A374" i="8"/>
  <c r="I380" i="8"/>
  <c r="H380" i="8"/>
  <c r="G380" i="8"/>
  <c r="F380" i="8"/>
  <c r="E380" i="8"/>
  <c r="D380" i="8"/>
  <c r="C380" i="8"/>
  <c r="B380" i="8"/>
  <c r="A380" i="8"/>
  <c r="B383" i="8"/>
  <c r="A383" i="8"/>
  <c r="I383" i="8"/>
  <c r="H383" i="8"/>
  <c r="G383" i="8"/>
  <c r="F383" i="8"/>
  <c r="E383" i="8"/>
  <c r="D383" i="8"/>
  <c r="C386" i="8"/>
  <c r="H386" i="8"/>
  <c r="G386" i="8"/>
  <c r="F386" i="8"/>
  <c r="E386" i="8"/>
  <c r="D386" i="8"/>
  <c r="B386" i="8"/>
  <c r="A386" i="8"/>
  <c r="C398" i="8"/>
  <c r="A398" i="8"/>
  <c r="E398" i="8"/>
  <c r="D398" i="8"/>
  <c r="B398" i="8"/>
  <c r="I398" i="8"/>
  <c r="H398" i="8"/>
  <c r="G398" i="8"/>
  <c r="D308" i="8"/>
  <c r="G309" i="8"/>
  <c r="C315" i="8"/>
  <c r="A316" i="8"/>
  <c r="G316" i="8"/>
  <c r="E316" i="8"/>
  <c r="E318" i="8"/>
  <c r="G321" i="8"/>
  <c r="H324" i="8"/>
  <c r="F326" i="8"/>
  <c r="B328" i="8"/>
  <c r="I331" i="8"/>
  <c r="E333" i="8"/>
  <c r="E335" i="8"/>
  <c r="F337" i="8"/>
  <c r="E339" i="8"/>
  <c r="I345" i="8"/>
  <c r="H350" i="8"/>
  <c r="G353" i="8"/>
  <c r="H357" i="8"/>
  <c r="G357" i="8"/>
  <c r="F357" i="8"/>
  <c r="E357" i="8"/>
  <c r="D357" i="8"/>
  <c r="C357" i="8"/>
  <c r="B357" i="8"/>
  <c r="A357" i="8"/>
  <c r="I361" i="8"/>
  <c r="H361" i="8"/>
  <c r="G361" i="8"/>
  <c r="F361" i="8"/>
  <c r="E361" i="8"/>
  <c r="D361" i="8"/>
  <c r="B361" i="8"/>
  <c r="D375" i="8"/>
  <c r="I375" i="8"/>
  <c r="H375" i="8"/>
  <c r="G375" i="8"/>
  <c r="F375" i="8"/>
  <c r="E375" i="8"/>
  <c r="C375" i="8"/>
  <c r="B375" i="8"/>
  <c r="A375" i="8"/>
  <c r="D387" i="8"/>
  <c r="A387" i="8"/>
  <c r="I387" i="8"/>
  <c r="H387" i="8"/>
  <c r="G387" i="8"/>
  <c r="F387" i="8"/>
  <c r="E387" i="8"/>
  <c r="C387" i="8"/>
  <c r="B387" i="8"/>
  <c r="D399" i="8"/>
  <c r="B399" i="8"/>
  <c r="A399" i="8"/>
  <c r="I399" i="8"/>
  <c r="H399" i="8"/>
  <c r="G399" i="8"/>
  <c r="F399" i="8"/>
  <c r="E399" i="8"/>
  <c r="C399" i="8"/>
  <c r="C403" i="8"/>
  <c r="H403" i="8"/>
  <c r="F403" i="8"/>
  <c r="E403" i="8"/>
  <c r="I403" i="8"/>
  <c r="G403" i="8"/>
  <c r="D403" i="8"/>
  <c r="B403" i="8"/>
  <c r="A360" i="8"/>
  <c r="C362" i="8"/>
  <c r="C369" i="8"/>
  <c r="E370" i="8"/>
  <c r="E377" i="8"/>
  <c r="A381" i="8"/>
  <c r="C382" i="8"/>
  <c r="F384" i="8"/>
  <c r="H385" i="8"/>
  <c r="B392" i="8"/>
  <c r="E393" i="8"/>
  <c r="I394" i="8"/>
  <c r="D397" i="8"/>
  <c r="H401" i="8"/>
  <c r="A405" i="8"/>
  <c r="B410" i="8"/>
  <c r="A412" i="8"/>
  <c r="F414" i="8"/>
  <c r="D428" i="8"/>
  <c r="C428" i="8"/>
  <c r="B428" i="8"/>
  <c r="A428" i="8"/>
  <c r="I428" i="8"/>
  <c r="H428" i="8"/>
  <c r="G428" i="8"/>
  <c r="F428" i="8"/>
  <c r="H474" i="8"/>
  <c r="G474" i="8"/>
  <c r="E474" i="8"/>
  <c r="D474" i="8"/>
  <c r="C474" i="8"/>
  <c r="B474" i="8"/>
  <c r="A474" i="8"/>
  <c r="I474" i="8"/>
  <c r="F474" i="8"/>
  <c r="G384" i="8"/>
  <c r="C392" i="8"/>
  <c r="F393" i="8"/>
  <c r="E397" i="8"/>
  <c r="B407" i="8"/>
  <c r="E417" i="8"/>
  <c r="D417" i="8"/>
  <c r="C417" i="8"/>
  <c r="B417" i="8"/>
  <c r="A417" i="8"/>
  <c r="H417" i="8"/>
  <c r="G417" i="8"/>
  <c r="C436" i="8"/>
  <c r="B436" i="8"/>
  <c r="A436" i="8"/>
  <c r="I436" i="8"/>
  <c r="H436" i="8"/>
  <c r="G436" i="8"/>
  <c r="F436" i="8"/>
  <c r="E436" i="8"/>
  <c r="H441" i="8"/>
  <c r="I441" i="8"/>
  <c r="G441" i="8"/>
  <c r="F441" i="8"/>
  <c r="E441" i="8"/>
  <c r="D441" i="8"/>
  <c r="C441" i="8"/>
  <c r="B441" i="8"/>
  <c r="H462" i="8"/>
  <c r="G462" i="8"/>
  <c r="E462" i="8"/>
  <c r="D462" i="8"/>
  <c r="A462" i="8"/>
  <c r="I462" i="8"/>
  <c r="F462" i="8"/>
  <c r="C462" i="8"/>
  <c r="C360" i="8"/>
  <c r="E362" i="8"/>
  <c r="E369" i="8"/>
  <c r="G370" i="8"/>
  <c r="H377" i="8"/>
  <c r="C381" i="8"/>
  <c r="E382" i="8"/>
  <c r="H384" i="8"/>
  <c r="D392" i="8"/>
  <c r="H393" i="8"/>
  <c r="F397" i="8"/>
  <c r="A401" i="8"/>
  <c r="F401" i="8"/>
  <c r="D401" i="8"/>
  <c r="C401" i="8"/>
  <c r="C407" i="8"/>
  <c r="B414" i="8"/>
  <c r="A414" i="8"/>
  <c r="H414" i="8"/>
  <c r="G414" i="8"/>
  <c r="E414" i="8"/>
  <c r="D414" i="8"/>
  <c r="I424" i="8"/>
  <c r="E429" i="8"/>
  <c r="D429" i="8"/>
  <c r="C429" i="8"/>
  <c r="B429" i="8"/>
  <c r="A429" i="8"/>
  <c r="I429" i="8"/>
  <c r="H429" i="8"/>
  <c r="G429" i="8"/>
  <c r="I463" i="8"/>
  <c r="H463" i="8"/>
  <c r="F463" i="8"/>
  <c r="E463" i="8"/>
  <c r="G463" i="8"/>
  <c r="D463" i="8"/>
  <c r="C463" i="8"/>
  <c r="B463" i="8"/>
  <c r="A463" i="8"/>
  <c r="D535" i="8"/>
  <c r="B535" i="8"/>
  <c r="I535" i="8"/>
  <c r="H535" i="8"/>
  <c r="G535" i="8"/>
  <c r="F535" i="8"/>
  <c r="E535" i="8"/>
  <c r="C535" i="8"/>
  <c r="A535" i="8"/>
  <c r="D360" i="8"/>
  <c r="F362" i="8"/>
  <c r="F369" i="8"/>
  <c r="H370" i="8"/>
  <c r="I377" i="8"/>
  <c r="D381" i="8"/>
  <c r="F382" i="8"/>
  <c r="I384" i="8"/>
  <c r="I393" i="8"/>
  <c r="G397" i="8"/>
  <c r="E407" i="8"/>
  <c r="F418" i="8"/>
  <c r="E418" i="8"/>
  <c r="D418" i="8"/>
  <c r="C418" i="8"/>
  <c r="B418" i="8"/>
  <c r="A418" i="8"/>
  <c r="I418" i="8"/>
  <c r="H418" i="8"/>
  <c r="D437" i="8"/>
  <c r="E437" i="8"/>
  <c r="C437" i="8"/>
  <c r="B437" i="8"/>
  <c r="A437" i="8"/>
  <c r="I437" i="8"/>
  <c r="H437" i="8"/>
  <c r="G437" i="8"/>
  <c r="I442" i="8"/>
  <c r="B442" i="8"/>
  <c r="A442" i="8"/>
  <c r="H442" i="8"/>
  <c r="G442" i="8"/>
  <c r="F442" i="8"/>
  <c r="E442" i="8"/>
  <c r="D442" i="8"/>
  <c r="G445" i="8"/>
  <c r="F445" i="8"/>
  <c r="E445" i="8"/>
  <c r="D445" i="8"/>
  <c r="C445" i="8"/>
  <c r="B445" i="8"/>
  <c r="A445" i="8"/>
  <c r="I445" i="8"/>
  <c r="D458" i="8"/>
  <c r="C458" i="8"/>
  <c r="A458" i="8"/>
  <c r="I458" i="8"/>
  <c r="H458" i="8"/>
  <c r="G458" i="8"/>
  <c r="F458" i="8"/>
  <c r="E458" i="8"/>
  <c r="B458" i="8"/>
  <c r="I519" i="8"/>
  <c r="I531" i="8"/>
  <c r="E360" i="8"/>
  <c r="G362" i="8"/>
  <c r="G369" i="8"/>
  <c r="I370" i="8"/>
  <c r="F407" i="8"/>
  <c r="I412" i="8"/>
  <c r="F412" i="8"/>
  <c r="E412" i="8"/>
  <c r="C412" i="8"/>
  <c r="B412" i="8"/>
  <c r="I421" i="8"/>
  <c r="H421" i="8"/>
  <c r="G421" i="8"/>
  <c r="F421" i="8"/>
  <c r="E421" i="8"/>
  <c r="D421" i="8"/>
  <c r="C421" i="8"/>
  <c r="B421" i="8"/>
  <c r="A421" i="8"/>
  <c r="I433" i="8"/>
  <c r="H433" i="8"/>
  <c r="G433" i="8"/>
  <c r="F433" i="8"/>
  <c r="E433" i="8"/>
  <c r="D433" i="8"/>
  <c r="C433" i="8"/>
  <c r="B433" i="8"/>
  <c r="A433" i="8"/>
  <c r="D446" i="8"/>
  <c r="A446" i="8"/>
  <c r="I446" i="8"/>
  <c r="H446" i="8"/>
  <c r="G446" i="8"/>
  <c r="F446" i="8"/>
  <c r="E446" i="8"/>
  <c r="C446" i="8"/>
  <c r="B446" i="8"/>
  <c r="H369" i="8"/>
  <c r="H382" i="8"/>
  <c r="E405" i="8"/>
  <c r="B405" i="8"/>
  <c r="H405" i="8"/>
  <c r="G405" i="8"/>
  <c r="G410" i="8"/>
  <c r="D410" i="8"/>
  <c r="C410" i="8"/>
  <c r="A410" i="8"/>
  <c r="A425" i="8"/>
  <c r="I425" i="8"/>
  <c r="H425" i="8"/>
  <c r="G425" i="8"/>
  <c r="F425" i="8"/>
  <c r="E425" i="8"/>
  <c r="D425" i="8"/>
  <c r="C425" i="8"/>
  <c r="E438" i="8"/>
  <c r="G438" i="8"/>
  <c r="F438" i="8"/>
  <c r="D438" i="8"/>
  <c r="C438" i="8"/>
  <c r="B438" i="8"/>
  <c r="A438" i="8"/>
  <c r="I438" i="8"/>
  <c r="E447" i="8"/>
  <c r="B447" i="8"/>
  <c r="I447" i="8"/>
  <c r="H447" i="8"/>
  <c r="G447" i="8"/>
  <c r="F447" i="8"/>
  <c r="D447" i="8"/>
  <c r="C447" i="8"/>
  <c r="A447" i="8"/>
  <c r="I459" i="8"/>
  <c r="I508" i="8"/>
  <c r="G360" i="8"/>
  <c r="I362" i="8"/>
  <c r="I369" i="8"/>
  <c r="G381" i="8"/>
  <c r="I382" i="8"/>
  <c r="I392" i="8"/>
  <c r="F392" i="8"/>
  <c r="G407" i="8"/>
  <c r="D407" i="8"/>
  <c r="A407" i="8"/>
  <c r="I407" i="8"/>
  <c r="D409" i="8"/>
  <c r="C411" i="8"/>
  <c r="B413" i="8"/>
  <c r="C415" i="8"/>
  <c r="B415" i="8"/>
  <c r="A415" i="8"/>
  <c r="I415" i="8"/>
  <c r="H415" i="8"/>
  <c r="F415" i="8"/>
  <c r="E415" i="8"/>
  <c r="G419" i="8"/>
  <c r="F419" i="8"/>
  <c r="E419" i="8"/>
  <c r="D419" i="8"/>
  <c r="C419" i="8"/>
  <c r="B419" i="8"/>
  <c r="A419" i="8"/>
  <c r="I419" i="8"/>
  <c r="I422" i="8"/>
  <c r="H422" i="8"/>
  <c r="G422" i="8"/>
  <c r="F422" i="8"/>
  <c r="E422" i="8"/>
  <c r="D422" i="8"/>
  <c r="C422" i="8"/>
  <c r="B422" i="8"/>
  <c r="A422" i="8"/>
  <c r="F439" i="8"/>
  <c r="I439" i="8"/>
  <c r="H439" i="8"/>
  <c r="G439" i="8"/>
  <c r="E439" i="8"/>
  <c r="D439" i="8"/>
  <c r="C439" i="8"/>
  <c r="B439" i="8"/>
  <c r="A439" i="8"/>
  <c r="I456" i="8"/>
  <c r="I521" i="8"/>
  <c r="H521" i="8"/>
  <c r="G521" i="8"/>
  <c r="F521" i="8"/>
  <c r="E521" i="8"/>
  <c r="D521" i="8"/>
  <c r="C521" i="8"/>
  <c r="B521" i="8"/>
  <c r="A521" i="8"/>
  <c r="C394" i="8"/>
  <c r="H396" i="8"/>
  <c r="H402" i="8"/>
  <c r="E409" i="8"/>
  <c r="F411" i="8"/>
  <c r="E413" i="8"/>
  <c r="G431" i="8"/>
  <c r="F431" i="8"/>
  <c r="E431" i="8"/>
  <c r="D431" i="8"/>
  <c r="C431" i="8"/>
  <c r="B431" i="8"/>
  <c r="A431" i="8"/>
  <c r="I431" i="8"/>
  <c r="F448" i="8"/>
  <c r="C448" i="8"/>
  <c r="B448" i="8"/>
  <c r="A448" i="8"/>
  <c r="I448" i="8"/>
  <c r="H448" i="8"/>
  <c r="G448" i="8"/>
  <c r="E448" i="8"/>
  <c r="I509" i="8"/>
  <c r="H509" i="8"/>
  <c r="G509" i="8"/>
  <c r="F509" i="8"/>
  <c r="E509" i="8"/>
  <c r="D509" i="8"/>
  <c r="C509" i="8"/>
  <c r="B509" i="8"/>
  <c r="A509" i="8"/>
  <c r="A370" i="8"/>
  <c r="A377" i="8"/>
  <c r="B384" i="8"/>
  <c r="A393" i="8"/>
  <c r="B370" i="8"/>
  <c r="B377" i="8"/>
  <c r="C384" i="8"/>
  <c r="E385" i="8"/>
  <c r="B393" i="8"/>
  <c r="E394" i="8"/>
  <c r="B401" i="8"/>
  <c r="B402" i="8"/>
  <c r="G402" i="8"/>
  <c r="E402" i="8"/>
  <c r="D402" i="8"/>
  <c r="G449" i="8"/>
  <c r="D449" i="8"/>
  <c r="F449" i="8"/>
  <c r="E449" i="8"/>
  <c r="C449" i="8"/>
  <c r="B449" i="8"/>
  <c r="A449" i="8"/>
  <c r="I449" i="8"/>
  <c r="I460" i="8"/>
  <c r="I469" i="8"/>
  <c r="I485" i="8"/>
  <c r="H485" i="8"/>
  <c r="G485" i="8"/>
  <c r="F485" i="8"/>
  <c r="D485" i="8"/>
  <c r="C485" i="8"/>
  <c r="B485" i="8"/>
  <c r="A485" i="8"/>
  <c r="E485" i="8"/>
  <c r="I497" i="8"/>
  <c r="H497" i="8"/>
  <c r="G497" i="8"/>
  <c r="F497" i="8"/>
  <c r="E497" i="8"/>
  <c r="D497" i="8"/>
  <c r="C497" i="8"/>
  <c r="B497" i="8"/>
  <c r="A497" i="8"/>
  <c r="C377" i="8"/>
  <c r="D384" i="8"/>
  <c r="C393" i="8"/>
  <c r="F394" i="8"/>
  <c r="A397" i="8"/>
  <c r="E401" i="8"/>
  <c r="I409" i="8"/>
  <c r="F409" i="8"/>
  <c r="C409" i="8"/>
  <c r="B409" i="8"/>
  <c r="H411" i="8"/>
  <c r="E411" i="8"/>
  <c r="D411" i="8"/>
  <c r="B411" i="8"/>
  <c r="A411" i="8"/>
  <c r="A413" i="8"/>
  <c r="G413" i="8"/>
  <c r="F413" i="8"/>
  <c r="D413" i="8"/>
  <c r="C413" i="8"/>
  <c r="D416" i="8"/>
  <c r="C416" i="8"/>
  <c r="B416" i="8"/>
  <c r="A416" i="8"/>
  <c r="I416" i="8"/>
  <c r="G416" i="8"/>
  <c r="F416" i="8"/>
  <c r="C427" i="8"/>
  <c r="B427" i="8"/>
  <c r="A427" i="8"/>
  <c r="I427" i="8"/>
  <c r="H427" i="8"/>
  <c r="G427" i="8"/>
  <c r="F427" i="8"/>
  <c r="E427" i="8"/>
  <c r="H450" i="8"/>
  <c r="E450" i="8"/>
  <c r="I450" i="8"/>
  <c r="G450" i="8"/>
  <c r="F450" i="8"/>
  <c r="D450" i="8"/>
  <c r="C450" i="8"/>
  <c r="B450" i="8"/>
  <c r="A450" i="8"/>
  <c r="I473" i="8"/>
  <c r="A423" i="8"/>
  <c r="B424" i="8"/>
  <c r="D426" i="8"/>
  <c r="H430" i="8"/>
  <c r="F443" i="8"/>
  <c r="H444" i="8"/>
  <c r="A451" i="8"/>
  <c r="D452" i="8"/>
  <c r="G453" i="8"/>
  <c r="I454" i="8"/>
  <c r="D456" i="8"/>
  <c r="A464" i="8"/>
  <c r="I466" i="8"/>
  <c r="H466" i="8"/>
  <c r="F482" i="8"/>
  <c r="E482" i="8"/>
  <c r="D482" i="8"/>
  <c r="C482" i="8"/>
  <c r="A482" i="8"/>
  <c r="I482" i="8"/>
  <c r="G495" i="8"/>
  <c r="F495" i="8"/>
  <c r="E495" i="8"/>
  <c r="D495" i="8"/>
  <c r="C495" i="8"/>
  <c r="B495" i="8"/>
  <c r="A495" i="8"/>
  <c r="I511" i="8"/>
  <c r="I540" i="8"/>
  <c r="G540" i="8"/>
  <c r="H540" i="8"/>
  <c r="F540" i="8"/>
  <c r="E540" i="8"/>
  <c r="D540" i="8"/>
  <c r="C540" i="8"/>
  <c r="B540" i="8"/>
  <c r="A540" i="8"/>
  <c r="B423" i="8"/>
  <c r="C424" i="8"/>
  <c r="E426" i="8"/>
  <c r="I430" i="8"/>
  <c r="B434" i="8"/>
  <c r="A440" i="8"/>
  <c r="I444" i="8"/>
  <c r="B451" i="8"/>
  <c r="E456" i="8"/>
  <c r="C459" i="8"/>
  <c r="F460" i="8"/>
  <c r="E460" i="8"/>
  <c r="C460" i="8"/>
  <c r="B460" i="8"/>
  <c r="B464" i="8"/>
  <c r="C469" i="8"/>
  <c r="B469" i="8"/>
  <c r="H469" i="8"/>
  <c r="G473" i="8"/>
  <c r="F473" i="8"/>
  <c r="D473" i="8"/>
  <c r="C473" i="8"/>
  <c r="B473" i="8"/>
  <c r="A473" i="8"/>
  <c r="I486" i="8"/>
  <c r="H486" i="8"/>
  <c r="G486" i="8"/>
  <c r="E486" i="8"/>
  <c r="D486" i="8"/>
  <c r="C486" i="8"/>
  <c r="B486" i="8"/>
  <c r="A486" i="8"/>
  <c r="I500" i="8"/>
  <c r="H500" i="8"/>
  <c r="G500" i="8"/>
  <c r="F500" i="8"/>
  <c r="E500" i="8"/>
  <c r="D500" i="8"/>
  <c r="C500" i="8"/>
  <c r="I522" i="8"/>
  <c r="H522" i="8"/>
  <c r="G522" i="8"/>
  <c r="F522" i="8"/>
  <c r="E522" i="8"/>
  <c r="D522" i="8"/>
  <c r="C522" i="8"/>
  <c r="B522" i="8"/>
  <c r="A522" i="8"/>
  <c r="I528" i="8"/>
  <c r="F528" i="8"/>
  <c r="E528" i="8"/>
  <c r="D528" i="8"/>
  <c r="C528" i="8"/>
  <c r="B528" i="8"/>
  <c r="A528" i="8"/>
  <c r="H528" i="8"/>
  <c r="E536" i="8"/>
  <c r="C536" i="8"/>
  <c r="I536" i="8"/>
  <c r="H536" i="8"/>
  <c r="G536" i="8"/>
  <c r="F536" i="8"/>
  <c r="D536" i="8"/>
  <c r="B536" i="8"/>
  <c r="A536" i="8"/>
  <c r="D424" i="8"/>
  <c r="F426" i="8"/>
  <c r="C451" i="8"/>
  <c r="F456" i="8"/>
  <c r="F459" i="8"/>
  <c r="C464" i="8"/>
  <c r="B467" i="8"/>
  <c r="I476" i="8"/>
  <c r="G476" i="8"/>
  <c r="F476" i="8"/>
  <c r="E476" i="8"/>
  <c r="D476" i="8"/>
  <c r="C476" i="8"/>
  <c r="C491" i="8"/>
  <c r="B491" i="8"/>
  <c r="A491" i="8"/>
  <c r="I491" i="8"/>
  <c r="H491" i="8"/>
  <c r="G491" i="8"/>
  <c r="F491" i="8"/>
  <c r="H496" i="8"/>
  <c r="G496" i="8"/>
  <c r="F496" i="8"/>
  <c r="E496" i="8"/>
  <c r="D496" i="8"/>
  <c r="C496" i="8"/>
  <c r="B496" i="8"/>
  <c r="A496" i="8"/>
  <c r="I547" i="8"/>
  <c r="H579" i="8"/>
  <c r="G579" i="8"/>
  <c r="F579" i="8"/>
  <c r="E579" i="8"/>
  <c r="D579" i="8"/>
  <c r="C579" i="8"/>
  <c r="B579" i="8"/>
  <c r="A579" i="8"/>
  <c r="I579" i="8"/>
  <c r="A420" i="8"/>
  <c r="D423" i="8"/>
  <c r="E424" i="8"/>
  <c r="G426" i="8"/>
  <c r="A432" i="8"/>
  <c r="D434" i="8"/>
  <c r="C440" i="8"/>
  <c r="I443" i="8"/>
  <c r="D451" i="8"/>
  <c r="H452" i="8"/>
  <c r="C455" i="8"/>
  <c r="G456" i="8"/>
  <c r="C457" i="8"/>
  <c r="B457" i="8"/>
  <c r="G459" i="8"/>
  <c r="D464" i="8"/>
  <c r="C467" i="8"/>
  <c r="B470" i="8"/>
  <c r="E471" i="8"/>
  <c r="D471" i="8"/>
  <c r="B471" i="8"/>
  <c r="A471" i="8"/>
  <c r="B478" i="8"/>
  <c r="A478" i="8"/>
  <c r="I478" i="8"/>
  <c r="H478" i="8"/>
  <c r="G478" i="8"/>
  <c r="F478" i="8"/>
  <c r="E478" i="8"/>
  <c r="G507" i="8"/>
  <c r="F507" i="8"/>
  <c r="E507" i="8"/>
  <c r="D507" i="8"/>
  <c r="C507" i="8"/>
  <c r="B507" i="8"/>
  <c r="A507" i="8"/>
  <c r="F537" i="8"/>
  <c r="D537" i="8"/>
  <c r="A537" i="8"/>
  <c r="I537" i="8"/>
  <c r="H537" i="8"/>
  <c r="G537" i="8"/>
  <c r="E537" i="8"/>
  <c r="C537" i="8"/>
  <c r="E423" i="8"/>
  <c r="F424" i="8"/>
  <c r="H426" i="8"/>
  <c r="E434" i="8"/>
  <c r="D440" i="8"/>
  <c r="E451" i="8"/>
  <c r="I452" i="8"/>
  <c r="D455" i="8"/>
  <c r="H456" i="8"/>
  <c r="H459" i="8"/>
  <c r="E464" i="8"/>
  <c r="D467" i="8"/>
  <c r="E470" i="8"/>
  <c r="D472" i="8"/>
  <c r="G483" i="8"/>
  <c r="F483" i="8"/>
  <c r="E483" i="8"/>
  <c r="D483" i="8"/>
  <c r="B483" i="8"/>
  <c r="A483" i="8"/>
  <c r="I487" i="8"/>
  <c r="I512" i="8"/>
  <c r="H512" i="8"/>
  <c r="G512" i="8"/>
  <c r="F512" i="8"/>
  <c r="E512" i="8"/>
  <c r="D512" i="8"/>
  <c r="C512" i="8"/>
  <c r="I523" i="8"/>
  <c r="D552" i="8"/>
  <c r="C552" i="8"/>
  <c r="A552" i="8"/>
  <c r="I552" i="8"/>
  <c r="H552" i="8"/>
  <c r="G552" i="8"/>
  <c r="F552" i="8"/>
  <c r="E552" i="8"/>
  <c r="B552" i="8"/>
  <c r="I567" i="8"/>
  <c r="G424" i="8"/>
  <c r="I426" i="8"/>
  <c r="A430" i="8"/>
  <c r="F434" i="8"/>
  <c r="E440" i="8"/>
  <c r="A444" i="8"/>
  <c r="E467" i="8"/>
  <c r="D479" i="8"/>
  <c r="C503" i="8"/>
  <c r="B503" i="8"/>
  <c r="A503" i="8"/>
  <c r="I503" i="8"/>
  <c r="H503" i="8"/>
  <c r="G503" i="8"/>
  <c r="F503" i="8"/>
  <c r="H508" i="8"/>
  <c r="G508" i="8"/>
  <c r="F508" i="8"/>
  <c r="E508" i="8"/>
  <c r="D508" i="8"/>
  <c r="C508" i="8"/>
  <c r="B508" i="8"/>
  <c r="A508" i="8"/>
  <c r="H519" i="8"/>
  <c r="B430" i="8"/>
  <c r="B444" i="8"/>
  <c r="B456" i="8"/>
  <c r="A456" i="8"/>
  <c r="E459" i="8"/>
  <c r="D459" i="8"/>
  <c r="B459" i="8"/>
  <c r="A459" i="8"/>
  <c r="I464" i="8"/>
  <c r="G464" i="8"/>
  <c r="F464" i="8"/>
  <c r="I498" i="8"/>
  <c r="H498" i="8"/>
  <c r="G498" i="8"/>
  <c r="F498" i="8"/>
  <c r="E498" i="8"/>
  <c r="D498" i="8"/>
  <c r="C498" i="8"/>
  <c r="B498" i="8"/>
  <c r="A498" i="8"/>
  <c r="G526" i="8"/>
  <c r="B526" i="8"/>
  <c r="A526" i="8"/>
  <c r="I526" i="8"/>
  <c r="H526" i="8"/>
  <c r="F526" i="8"/>
  <c r="E526" i="8"/>
  <c r="D526" i="8"/>
  <c r="C430" i="8"/>
  <c r="E432" i="8"/>
  <c r="H434" i="8"/>
  <c r="H440" i="8"/>
  <c r="C444" i="8"/>
  <c r="I451" i="8"/>
  <c r="F451" i="8"/>
  <c r="G467" i="8"/>
  <c r="A469" i="8"/>
  <c r="C479" i="8"/>
  <c r="B479" i="8"/>
  <c r="A479" i="8"/>
  <c r="I479" i="8"/>
  <c r="H479" i="8"/>
  <c r="G479" i="8"/>
  <c r="F479" i="8"/>
  <c r="H484" i="8"/>
  <c r="G484" i="8"/>
  <c r="F484" i="8"/>
  <c r="E484" i="8"/>
  <c r="C484" i="8"/>
  <c r="B484" i="8"/>
  <c r="A484" i="8"/>
  <c r="G519" i="8"/>
  <c r="F519" i="8"/>
  <c r="E519" i="8"/>
  <c r="D519" i="8"/>
  <c r="C519" i="8"/>
  <c r="B519" i="8"/>
  <c r="A519" i="8"/>
  <c r="I524" i="8"/>
  <c r="H524" i="8"/>
  <c r="G524" i="8"/>
  <c r="F524" i="8"/>
  <c r="E524" i="8"/>
  <c r="D524" i="8"/>
  <c r="C524" i="8"/>
  <c r="B524" i="8"/>
  <c r="I544" i="8"/>
  <c r="I548" i="8"/>
  <c r="I557" i="8"/>
  <c r="H557" i="8"/>
  <c r="F557" i="8"/>
  <c r="E557" i="8"/>
  <c r="D557" i="8"/>
  <c r="C557" i="8"/>
  <c r="B557" i="8"/>
  <c r="A557" i="8"/>
  <c r="G557" i="8"/>
  <c r="D430" i="8"/>
  <c r="D444" i="8"/>
  <c r="C453" i="8"/>
  <c r="A460" i="8"/>
  <c r="D469" i="8"/>
  <c r="D470" i="8"/>
  <c r="C470" i="8"/>
  <c r="A470" i="8"/>
  <c r="I470" i="8"/>
  <c r="F472" i="8"/>
  <c r="E472" i="8"/>
  <c r="C472" i="8"/>
  <c r="B472" i="8"/>
  <c r="A472" i="8"/>
  <c r="C515" i="8"/>
  <c r="B515" i="8"/>
  <c r="A515" i="8"/>
  <c r="I515" i="8"/>
  <c r="H515" i="8"/>
  <c r="G515" i="8"/>
  <c r="F515" i="8"/>
  <c r="B533" i="8"/>
  <c r="C533" i="8"/>
  <c r="A533" i="8"/>
  <c r="I533" i="8"/>
  <c r="H533" i="8"/>
  <c r="G533" i="8"/>
  <c r="F533" i="8"/>
  <c r="E533" i="8"/>
  <c r="A426" i="8"/>
  <c r="E430" i="8"/>
  <c r="E444" i="8"/>
  <c r="A467" i="8"/>
  <c r="I467" i="8"/>
  <c r="E469" i="8"/>
  <c r="I475" i="8"/>
  <c r="H475" i="8"/>
  <c r="F475" i="8"/>
  <c r="E475" i="8"/>
  <c r="D475" i="8"/>
  <c r="C475" i="8"/>
  <c r="B475" i="8"/>
  <c r="I488" i="8"/>
  <c r="G488" i="8"/>
  <c r="F488" i="8"/>
  <c r="E488" i="8"/>
  <c r="D488" i="8"/>
  <c r="C488" i="8"/>
  <c r="I499" i="8"/>
  <c r="I510" i="8"/>
  <c r="H510" i="8"/>
  <c r="G510" i="8"/>
  <c r="F510" i="8"/>
  <c r="E510" i="8"/>
  <c r="D510" i="8"/>
  <c r="C510" i="8"/>
  <c r="B510" i="8"/>
  <c r="A510" i="8"/>
  <c r="H520" i="8"/>
  <c r="G520" i="8"/>
  <c r="F520" i="8"/>
  <c r="E520" i="8"/>
  <c r="D520" i="8"/>
  <c r="C520" i="8"/>
  <c r="B520" i="8"/>
  <c r="A520" i="8"/>
  <c r="A549" i="8"/>
  <c r="G549" i="8"/>
  <c r="F549" i="8"/>
  <c r="E549" i="8"/>
  <c r="D549" i="8"/>
  <c r="I549" i="8"/>
  <c r="H549" i="8"/>
  <c r="C549" i="8"/>
  <c r="B549" i="8"/>
  <c r="B452" i="8"/>
  <c r="E453" i="8"/>
  <c r="E457" i="8"/>
  <c r="G460" i="8"/>
  <c r="F469" i="8"/>
  <c r="C471" i="8"/>
  <c r="E473" i="8"/>
  <c r="B490" i="8"/>
  <c r="A490" i="8"/>
  <c r="I490" i="8"/>
  <c r="H490" i="8"/>
  <c r="G490" i="8"/>
  <c r="F490" i="8"/>
  <c r="E490" i="8"/>
  <c r="C534" i="8"/>
  <c r="A534" i="8"/>
  <c r="F534" i="8"/>
  <c r="E534" i="8"/>
  <c r="D534" i="8"/>
  <c r="B534" i="8"/>
  <c r="I534" i="8"/>
  <c r="H534" i="8"/>
  <c r="H539" i="8"/>
  <c r="F539" i="8"/>
  <c r="I539" i="8"/>
  <c r="G539" i="8"/>
  <c r="E539" i="8"/>
  <c r="D539" i="8"/>
  <c r="C539" i="8"/>
  <c r="B539" i="8"/>
  <c r="A539" i="8"/>
  <c r="C545" i="8"/>
  <c r="B545" i="8"/>
  <c r="A545" i="8"/>
  <c r="I545" i="8"/>
  <c r="H545" i="8"/>
  <c r="G545" i="8"/>
  <c r="F545" i="8"/>
  <c r="E545" i="8"/>
  <c r="D546" i="8"/>
  <c r="C546" i="8"/>
  <c r="B546" i="8"/>
  <c r="A546" i="8"/>
  <c r="G555" i="8"/>
  <c r="F555" i="8"/>
  <c r="D555" i="8"/>
  <c r="C555" i="8"/>
  <c r="B555" i="8"/>
  <c r="A555" i="8"/>
  <c r="H559" i="8"/>
  <c r="G559" i="8"/>
  <c r="F559" i="8"/>
  <c r="E559" i="8"/>
  <c r="D559" i="8"/>
  <c r="C559" i="8"/>
  <c r="B559" i="8"/>
  <c r="E564" i="8"/>
  <c r="D564" i="8"/>
  <c r="C564" i="8"/>
  <c r="B564" i="8"/>
  <c r="A564" i="8"/>
  <c r="I564" i="8"/>
  <c r="H564" i="8"/>
  <c r="G564" i="8"/>
  <c r="I569" i="8"/>
  <c r="H569" i="8"/>
  <c r="G569" i="8"/>
  <c r="F569" i="8"/>
  <c r="E569" i="8"/>
  <c r="D569" i="8"/>
  <c r="C569" i="8"/>
  <c r="B569" i="8"/>
  <c r="A569" i="8"/>
  <c r="D575" i="8"/>
  <c r="C575" i="8"/>
  <c r="B575" i="8"/>
  <c r="A575" i="8"/>
  <c r="I575" i="8"/>
  <c r="H575" i="8"/>
  <c r="G575" i="8"/>
  <c r="F575" i="8"/>
  <c r="I580" i="8"/>
  <c r="H580" i="8"/>
  <c r="G580" i="8"/>
  <c r="F580" i="8"/>
  <c r="E580" i="8"/>
  <c r="D580" i="8"/>
  <c r="C580" i="8"/>
  <c r="B580" i="8"/>
  <c r="A580" i="8"/>
  <c r="C586" i="8"/>
  <c r="B586" i="8"/>
  <c r="A586" i="8"/>
  <c r="I586" i="8"/>
  <c r="H586" i="8"/>
  <c r="G586" i="8"/>
  <c r="F586" i="8"/>
  <c r="E586" i="8"/>
  <c r="H591" i="8"/>
  <c r="G591" i="8"/>
  <c r="F591" i="8"/>
  <c r="E591" i="8"/>
  <c r="D591" i="8"/>
  <c r="C591" i="8"/>
  <c r="B591" i="8"/>
  <c r="A591" i="8"/>
  <c r="B603" i="8"/>
  <c r="H603" i="8"/>
  <c r="D603" i="8"/>
  <c r="I603" i="8"/>
  <c r="G603" i="8"/>
  <c r="F603" i="8"/>
  <c r="E603" i="8"/>
  <c r="C603" i="8"/>
  <c r="A603" i="8"/>
  <c r="F607" i="8"/>
  <c r="D607" i="8"/>
  <c r="B607" i="8"/>
  <c r="H607" i="8"/>
  <c r="G607" i="8"/>
  <c r="E607" i="8"/>
  <c r="C607" i="8"/>
  <c r="A607" i="8"/>
  <c r="H481" i="8"/>
  <c r="B487" i="8"/>
  <c r="H493" i="8"/>
  <c r="I494" i="8"/>
  <c r="B499" i="8"/>
  <c r="E502" i="8"/>
  <c r="H505" i="8"/>
  <c r="I506" i="8"/>
  <c r="B511" i="8"/>
  <c r="E514" i="8"/>
  <c r="H517" i="8"/>
  <c r="I518" i="8"/>
  <c r="B523" i="8"/>
  <c r="G527" i="8"/>
  <c r="B531" i="8"/>
  <c r="D541" i="8"/>
  <c r="B550" i="8"/>
  <c r="A550" i="8"/>
  <c r="H550" i="8"/>
  <c r="G550" i="8"/>
  <c r="F550" i="8"/>
  <c r="E550" i="8"/>
  <c r="I570" i="8"/>
  <c r="H570" i="8"/>
  <c r="G570" i="8"/>
  <c r="F570" i="8"/>
  <c r="E570" i="8"/>
  <c r="D570" i="8"/>
  <c r="C570" i="8"/>
  <c r="B570" i="8"/>
  <c r="A570" i="8"/>
  <c r="I592" i="8"/>
  <c r="H592" i="8"/>
  <c r="G592" i="8"/>
  <c r="F592" i="8"/>
  <c r="E592" i="8"/>
  <c r="D592" i="8"/>
  <c r="C592" i="8"/>
  <c r="B592" i="8"/>
  <c r="A592" i="8"/>
  <c r="G608" i="8"/>
  <c r="E608" i="8"/>
  <c r="C608" i="8"/>
  <c r="A608" i="8"/>
  <c r="I608" i="8"/>
  <c r="H608" i="8"/>
  <c r="F608" i="8"/>
  <c r="D608" i="8"/>
  <c r="B608" i="8"/>
  <c r="F619" i="8"/>
  <c r="D619" i="8"/>
  <c r="B619" i="8"/>
  <c r="H619" i="8"/>
  <c r="I619" i="8"/>
  <c r="G619" i="8"/>
  <c r="E619" i="8"/>
  <c r="C619" i="8"/>
  <c r="A619" i="8"/>
  <c r="B627" i="8"/>
  <c r="H627" i="8"/>
  <c r="F627" i="8"/>
  <c r="D627" i="8"/>
  <c r="I627" i="8"/>
  <c r="G627" i="8"/>
  <c r="E627" i="8"/>
  <c r="C627" i="8"/>
  <c r="A627" i="8"/>
  <c r="I481" i="8"/>
  <c r="C487" i="8"/>
  <c r="C499" i="8"/>
  <c r="F502" i="8"/>
  <c r="C511" i="8"/>
  <c r="F514" i="8"/>
  <c r="C523" i="8"/>
  <c r="B530" i="8"/>
  <c r="C531" i="8"/>
  <c r="E532" i="8"/>
  <c r="G538" i="8"/>
  <c r="E538" i="8"/>
  <c r="E541" i="8"/>
  <c r="C544" i="8"/>
  <c r="A547" i="8"/>
  <c r="F548" i="8"/>
  <c r="E548" i="8"/>
  <c r="D548" i="8"/>
  <c r="C548" i="8"/>
  <c r="A560" i="8"/>
  <c r="I560" i="8"/>
  <c r="H560" i="8"/>
  <c r="G560" i="8"/>
  <c r="F560" i="8"/>
  <c r="E560" i="8"/>
  <c r="D560" i="8"/>
  <c r="C560" i="8"/>
  <c r="F565" i="8"/>
  <c r="E565" i="8"/>
  <c r="D565" i="8"/>
  <c r="C565" i="8"/>
  <c r="B565" i="8"/>
  <c r="A565" i="8"/>
  <c r="I565" i="8"/>
  <c r="H565" i="8"/>
  <c r="E576" i="8"/>
  <c r="D576" i="8"/>
  <c r="C576" i="8"/>
  <c r="B576" i="8"/>
  <c r="A576" i="8"/>
  <c r="I576" i="8"/>
  <c r="H576" i="8"/>
  <c r="G576" i="8"/>
  <c r="I581" i="8"/>
  <c r="H581" i="8"/>
  <c r="G581" i="8"/>
  <c r="F581" i="8"/>
  <c r="E581" i="8"/>
  <c r="D581" i="8"/>
  <c r="C581" i="8"/>
  <c r="B581" i="8"/>
  <c r="A581" i="8"/>
  <c r="D587" i="8"/>
  <c r="C587" i="8"/>
  <c r="B587" i="8"/>
  <c r="A587" i="8"/>
  <c r="I587" i="8"/>
  <c r="H587" i="8"/>
  <c r="G587" i="8"/>
  <c r="F587" i="8"/>
  <c r="D487" i="8"/>
  <c r="D499" i="8"/>
  <c r="G502" i="8"/>
  <c r="D511" i="8"/>
  <c r="G514" i="8"/>
  <c r="D523" i="8"/>
  <c r="A529" i="8"/>
  <c r="D531" i="8"/>
  <c r="F541" i="8"/>
  <c r="I542" i="8"/>
  <c r="D544" i="8"/>
  <c r="F547" i="8"/>
  <c r="A551" i="8"/>
  <c r="E553" i="8"/>
  <c r="D553" i="8"/>
  <c r="B553" i="8"/>
  <c r="A553" i="8"/>
  <c r="I553" i="8"/>
  <c r="H553" i="8"/>
  <c r="H556" i="8"/>
  <c r="G556" i="8"/>
  <c r="E556" i="8"/>
  <c r="D556" i="8"/>
  <c r="C556" i="8"/>
  <c r="B556" i="8"/>
  <c r="A556" i="8"/>
  <c r="I571" i="8"/>
  <c r="H571" i="8"/>
  <c r="G571" i="8"/>
  <c r="F571" i="8"/>
  <c r="E571" i="8"/>
  <c r="D571" i="8"/>
  <c r="C571" i="8"/>
  <c r="B571" i="8"/>
  <c r="I582" i="8"/>
  <c r="H582" i="8"/>
  <c r="G582" i="8"/>
  <c r="F582" i="8"/>
  <c r="E582" i="8"/>
  <c r="D582" i="8"/>
  <c r="C582" i="8"/>
  <c r="B582" i="8"/>
  <c r="A582" i="8"/>
  <c r="A596" i="8"/>
  <c r="C596" i="8"/>
  <c r="B596" i="8"/>
  <c r="I596" i="8"/>
  <c r="H596" i="8"/>
  <c r="G596" i="8"/>
  <c r="F596" i="8"/>
  <c r="E596" i="8"/>
  <c r="F601" i="8"/>
  <c r="B601" i="8"/>
  <c r="C601" i="8"/>
  <c r="A601" i="8"/>
  <c r="I601" i="8"/>
  <c r="H601" i="8"/>
  <c r="G601" i="8"/>
  <c r="E601" i="8"/>
  <c r="E487" i="8"/>
  <c r="E499" i="8"/>
  <c r="H502" i="8"/>
  <c r="E511" i="8"/>
  <c r="H514" i="8"/>
  <c r="E523" i="8"/>
  <c r="B529" i="8"/>
  <c r="D530" i="8"/>
  <c r="E531" i="8"/>
  <c r="G532" i="8"/>
  <c r="G541" i="8"/>
  <c r="E544" i="8"/>
  <c r="G547" i="8"/>
  <c r="D551" i="8"/>
  <c r="F577" i="8"/>
  <c r="E577" i="8"/>
  <c r="D577" i="8"/>
  <c r="C577" i="8"/>
  <c r="B577" i="8"/>
  <c r="A577" i="8"/>
  <c r="I577" i="8"/>
  <c r="H577" i="8"/>
  <c r="E588" i="8"/>
  <c r="D588" i="8"/>
  <c r="C588" i="8"/>
  <c r="B588" i="8"/>
  <c r="A588" i="8"/>
  <c r="I588" i="8"/>
  <c r="H588" i="8"/>
  <c r="G588" i="8"/>
  <c r="H621" i="8"/>
  <c r="F621" i="8"/>
  <c r="D621" i="8"/>
  <c r="B621" i="8"/>
  <c r="I621" i="8"/>
  <c r="G621" i="8"/>
  <c r="E621" i="8"/>
  <c r="C621" i="8"/>
  <c r="A621" i="8"/>
  <c r="F487" i="8"/>
  <c r="A494" i="8"/>
  <c r="F499" i="8"/>
  <c r="I502" i="8"/>
  <c r="A506" i="8"/>
  <c r="F511" i="8"/>
  <c r="I514" i="8"/>
  <c r="A518" i="8"/>
  <c r="F523" i="8"/>
  <c r="C529" i="8"/>
  <c r="E530" i="8"/>
  <c r="F531" i="8"/>
  <c r="H532" i="8"/>
  <c r="I541" i="8"/>
  <c r="B543" i="8"/>
  <c r="F544" i="8"/>
  <c r="H547" i="8"/>
  <c r="B561" i="8"/>
  <c r="A561" i="8"/>
  <c r="I561" i="8"/>
  <c r="H561" i="8"/>
  <c r="G561" i="8"/>
  <c r="F561" i="8"/>
  <c r="E561" i="8"/>
  <c r="D561" i="8"/>
  <c r="I583" i="8"/>
  <c r="H583" i="8"/>
  <c r="G583" i="8"/>
  <c r="F583" i="8"/>
  <c r="E583" i="8"/>
  <c r="D583" i="8"/>
  <c r="C583" i="8"/>
  <c r="B583" i="8"/>
  <c r="B597" i="8"/>
  <c r="E597" i="8"/>
  <c r="D597" i="8"/>
  <c r="C597" i="8"/>
  <c r="A597" i="8"/>
  <c r="I597" i="8"/>
  <c r="H597" i="8"/>
  <c r="G597" i="8"/>
  <c r="D529" i="8"/>
  <c r="C551" i="8"/>
  <c r="B551" i="8"/>
  <c r="I551" i="8"/>
  <c r="H551" i="8"/>
  <c r="G551" i="8"/>
  <c r="F551" i="8"/>
  <c r="F589" i="8"/>
  <c r="E589" i="8"/>
  <c r="D589" i="8"/>
  <c r="C589" i="8"/>
  <c r="B589" i="8"/>
  <c r="A589" i="8"/>
  <c r="I589" i="8"/>
  <c r="H589" i="8"/>
  <c r="D605" i="8"/>
  <c r="B605" i="8"/>
  <c r="F605" i="8"/>
  <c r="I605" i="8"/>
  <c r="H605" i="8"/>
  <c r="G605" i="8"/>
  <c r="E605" i="8"/>
  <c r="C605" i="8"/>
  <c r="A605" i="8"/>
  <c r="A614" i="8"/>
  <c r="I614" i="8"/>
  <c r="G614" i="8"/>
  <c r="C614" i="8"/>
  <c r="H614" i="8"/>
  <c r="F614" i="8"/>
  <c r="E614" i="8"/>
  <c r="D614" i="8"/>
  <c r="B614" i="8"/>
  <c r="A468" i="8"/>
  <c r="A480" i="8"/>
  <c r="B481" i="8"/>
  <c r="H487" i="8"/>
  <c r="A492" i="8"/>
  <c r="B493" i="8"/>
  <c r="C494" i="8"/>
  <c r="H499" i="8"/>
  <c r="A504" i="8"/>
  <c r="B505" i="8"/>
  <c r="C506" i="8"/>
  <c r="H511" i="8"/>
  <c r="A516" i="8"/>
  <c r="B517" i="8"/>
  <c r="C518" i="8"/>
  <c r="H523" i="8"/>
  <c r="A527" i="8"/>
  <c r="E529" i="8"/>
  <c r="G530" i="8"/>
  <c r="H531" i="8"/>
  <c r="D543" i="8"/>
  <c r="E546" i="8"/>
  <c r="E547" i="8"/>
  <c r="D547" i="8"/>
  <c r="C547" i="8"/>
  <c r="B547" i="8"/>
  <c r="C562" i="8"/>
  <c r="B562" i="8"/>
  <c r="A562" i="8"/>
  <c r="I562" i="8"/>
  <c r="H562" i="8"/>
  <c r="G562" i="8"/>
  <c r="F562" i="8"/>
  <c r="E562" i="8"/>
  <c r="H623" i="8"/>
  <c r="F623" i="8"/>
  <c r="D623" i="8"/>
  <c r="B623" i="8"/>
  <c r="I623" i="8"/>
  <c r="G623" i="8"/>
  <c r="E623" i="8"/>
  <c r="C623" i="8"/>
  <c r="A623" i="8"/>
  <c r="B480" i="8"/>
  <c r="C481" i="8"/>
  <c r="B492" i="8"/>
  <c r="C493" i="8"/>
  <c r="D494" i="8"/>
  <c r="B504" i="8"/>
  <c r="C505" i="8"/>
  <c r="D506" i="8"/>
  <c r="C517" i="8"/>
  <c r="D518" i="8"/>
  <c r="B527" i="8"/>
  <c r="F529" i="8"/>
  <c r="B538" i="8"/>
  <c r="E543" i="8"/>
  <c r="F546" i="8"/>
  <c r="B573" i="8"/>
  <c r="A573" i="8"/>
  <c r="I573" i="8"/>
  <c r="H573" i="8"/>
  <c r="G573" i="8"/>
  <c r="F573" i="8"/>
  <c r="E573" i="8"/>
  <c r="D573" i="8"/>
  <c r="A502" i="8"/>
  <c r="A514" i="8"/>
  <c r="G529" i="8"/>
  <c r="F543" i="8"/>
  <c r="B544" i="8"/>
  <c r="A544" i="8"/>
  <c r="G546" i="8"/>
  <c r="E555" i="8"/>
  <c r="I558" i="8"/>
  <c r="G558" i="8"/>
  <c r="F558" i="8"/>
  <c r="E558" i="8"/>
  <c r="D558" i="8"/>
  <c r="C558" i="8"/>
  <c r="B558" i="8"/>
  <c r="A558" i="8"/>
  <c r="H567" i="8"/>
  <c r="G567" i="8"/>
  <c r="F567" i="8"/>
  <c r="E567" i="8"/>
  <c r="D567" i="8"/>
  <c r="C567" i="8"/>
  <c r="B567" i="8"/>
  <c r="A567" i="8"/>
  <c r="D527" i="8"/>
  <c r="D538" i="8"/>
  <c r="A541" i="8"/>
  <c r="G543" i="8"/>
  <c r="H546" i="8"/>
  <c r="B548" i="8"/>
  <c r="H555" i="8"/>
  <c r="A559" i="8"/>
  <c r="I568" i="8"/>
  <c r="H568" i="8"/>
  <c r="G568" i="8"/>
  <c r="F568" i="8"/>
  <c r="E568" i="8"/>
  <c r="D568" i="8"/>
  <c r="C568" i="8"/>
  <c r="B568" i="8"/>
  <c r="A568" i="8"/>
  <c r="C574" i="8"/>
  <c r="B574" i="8"/>
  <c r="A574" i="8"/>
  <c r="I574" i="8"/>
  <c r="H574" i="8"/>
  <c r="G574" i="8"/>
  <c r="F574" i="8"/>
  <c r="E574" i="8"/>
  <c r="B585" i="8"/>
  <c r="A585" i="8"/>
  <c r="I585" i="8"/>
  <c r="H585" i="8"/>
  <c r="G585" i="8"/>
  <c r="F585" i="8"/>
  <c r="E585" i="8"/>
  <c r="D585" i="8"/>
  <c r="H625" i="8"/>
  <c r="F625" i="8"/>
  <c r="D625" i="8"/>
  <c r="B625" i="8"/>
  <c r="I625" i="8"/>
  <c r="G625" i="8"/>
  <c r="E625" i="8"/>
  <c r="C625" i="8"/>
  <c r="A625" i="8"/>
  <c r="D629" i="8"/>
  <c r="B629" i="8"/>
  <c r="H629" i="8"/>
  <c r="F629" i="8"/>
  <c r="F631" i="8"/>
  <c r="D631" i="8"/>
  <c r="B631" i="8"/>
  <c r="H631" i="8"/>
  <c r="H633" i="8"/>
  <c r="F633" i="8"/>
  <c r="D633" i="8"/>
  <c r="B633" i="8"/>
  <c r="H635" i="8"/>
  <c r="F635" i="8"/>
  <c r="D635" i="8"/>
  <c r="B635" i="8"/>
  <c r="D687" i="8"/>
  <c r="B687" i="8"/>
  <c r="H687" i="8"/>
  <c r="A687" i="8"/>
  <c r="I687" i="8"/>
  <c r="G687" i="8"/>
  <c r="F687" i="8"/>
  <c r="E687" i="8"/>
  <c r="C687" i="8"/>
  <c r="H691" i="8"/>
  <c r="F691" i="8"/>
  <c r="D691" i="8"/>
  <c r="B691" i="8"/>
  <c r="I691" i="8"/>
  <c r="G691" i="8"/>
  <c r="E691" i="8"/>
  <c r="C691" i="8"/>
  <c r="A691" i="8"/>
  <c r="I728" i="8"/>
  <c r="H728" i="8"/>
  <c r="G728" i="8"/>
  <c r="F728" i="8"/>
  <c r="E728" i="8"/>
  <c r="D728" i="8"/>
  <c r="C728" i="8"/>
  <c r="B728" i="8"/>
  <c r="A728" i="8"/>
  <c r="I554" i="8"/>
  <c r="F563" i="8"/>
  <c r="I566" i="8"/>
  <c r="C572" i="8"/>
  <c r="I578" i="8"/>
  <c r="C584" i="8"/>
  <c r="I590" i="8"/>
  <c r="B594" i="8"/>
  <c r="C595" i="8"/>
  <c r="I598" i="8"/>
  <c r="B600" i="8"/>
  <c r="A602" i="8"/>
  <c r="G602" i="8"/>
  <c r="C602" i="8"/>
  <c r="F604" i="8"/>
  <c r="B606" i="8"/>
  <c r="E611" i="8"/>
  <c r="C613" i="8"/>
  <c r="B620" i="8"/>
  <c r="B622" i="8"/>
  <c r="B624" i="8"/>
  <c r="B626" i="8"/>
  <c r="B628" i="8"/>
  <c r="B630" i="8"/>
  <c r="B632" i="8"/>
  <c r="B634" i="8"/>
  <c r="B636" i="8"/>
  <c r="C640" i="8"/>
  <c r="A640" i="8"/>
  <c r="I640" i="8"/>
  <c r="G640" i="8"/>
  <c r="E640" i="8"/>
  <c r="D640" i="8"/>
  <c r="A643" i="8"/>
  <c r="C664" i="8"/>
  <c r="F664" i="8"/>
  <c r="D664" i="8"/>
  <c r="B664" i="8"/>
  <c r="A664" i="8"/>
  <c r="I664" i="8"/>
  <c r="H664" i="8"/>
  <c r="G664" i="8"/>
  <c r="F667" i="8"/>
  <c r="I667" i="8"/>
  <c r="H667" i="8"/>
  <c r="G667" i="8"/>
  <c r="E667" i="8"/>
  <c r="D667" i="8"/>
  <c r="C667" i="8"/>
  <c r="B667" i="8"/>
  <c r="A667" i="8"/>
  <c r="F735" i="8"/>
  <c r="H735" i="8"/>
  <c r="G735" i="8"/>
  <c r="E735" i="8"/>
  <c r="D735" i="8"/>
  <c r="C735" i="8"/>
  <c r="B735" i="8"/>
  <c r="A735" i="8"/>
  <c r="I735" i="8"/>
  <c r="G563" i="8"/>
  <c r="D572" i="8"/>
  <c r="D584" i="8"/>
  <c r="A593" i="8"/>
  <c r="D595" i="8"/>
  <c r="C600" i="8"/>
  <c r="H609" i="8"/>
  <c r="F609" i="8"/>
  <c r="D609" i="8"/>
  <c r="B609" i="8"/>
  <c r="G611" i="8"/>
  <c r="D613" i="8"/>
  <c r="A615" i="8"/>
  <c r="C616" i="8"/>
  <c r="A616" i="8"/>
  <c r="I616" i="8"/>
  <c r="E616" i="8"/>
  <c r="D620" i="8"/>
  <c r="D622" i="8"/>
  <c r="D624" i="8"/>
  <c r="D626" i="8"/>
  <c r="D628" i="8"/>
  <c r="D630" i="8"/>
  <c r="D632" i="8"/>
  <c r="D634" i="8"/>
  <c r="D636" i="8"/>
  <c r="C643" i="8"/>
  <c r="H647" i="8"/>
  <c r="F647" i="8"/>
  <c r="D647" i="8"/>
  <c r="B647" i="8"/>
  <c r="A647" i="8"/>
  <c r="A650" i="8"/>
  <c r="I650" i="8"/>
  <c r="G650" i="8"/>
  <c r="E650" i="8"/>
  <c r="D650" i="8"/>
  <c r="C650" i="8"/>
  <c r="B650" i="8"/>
  <c r="H563" i="8"/>
  <c r="E572" i="8"/>
  <c r="E584" i="8"/>
  <c r="B593" i="8"/>
  <c r="D594" i="8"/>
  <c r="E595" i="8"/>
  <c r="D600" i="8"/>
  <c r="F606" i="8"/>
  <c r="A610" i="8"/>
  <c r="E613" i="8"/>
  <c r="C615" i="8"/>
  <c r="F620" i="8"/>
  <c r="F622" i="8"/>
  <c r="F624" i="8"/>
  <c r="F626" i="8"/>
  <c r="F628" i="8"/>
  <c r="F630" i="8"/>
  <c r="F632" i="8"/>
  <c r="F634" i="8"/>
  <c r="F636" i="8"/>
  <c r="A638" i="8"/>
  <c r="I638" i="8"/>
  <c r="G638" i="8"/>
  <c r="E638" i="8"/>
  <c r="C638" i="8"/>
  <c r="B638" i="8"/>
  <c r="A641" i="8"/>
  <c r="E643" i="8"/>
  <c r="H645" i="8"/>
  <c r="F645" i="8"/>
  <c r="D645" i="8"/>
  <c r="B645" i="8"/>
  <c r="I645" i="8"/>
  <c r="D648" i="8"/>
  <c r="D653" i="8"/>
  <c r="B653" i="8"/>
  <c r="H653" i="8"/>
  <c r="G653" i="8"/>
  <c r="F653" i="8"/>
  <c r="E653" i="8"/>
  <c r="H659" i="8"/>
  <c r="F659" i="8"/>
  <c r="E659" i="8"/>
  <c r="D659" i="8"/>
  <c r="C659" i="8"/>
  <c r="B659" i="8"/>
  <c r="A659" i="8"/>
  <c r="D665" i="8"/>
  <c r="H665" i="8"/>
  <c r="F665" i="8"/>
  <c r="E665" i="8"/>
  <c r="C665" i="8"/>
  <c r="B665" i="8"/>
  <c r="A665" i="8"/>
  <c r="I665" i="8"/>
  <c r="I563" i="8"/>
  <c r="F572" i="8"/>
  <c r="F584" i="8"/>
  <c r="C593" i="8"/>
  <c r="E594" i="8"/>
  <c r="F595" i="8"/>
  <c r="F600" i="8"/>
  <c r="C604" i="8"/>
  <c r="A604" i="8"/>
  <c r="I604" i="8"/>
  <c r="E604" i="8"/>
  <c r="B610" i="8"/>
  <c r="H611" i="8"/>
  <c r="F611" i="8"/>
  <c r="D611" i="8"/>
  <c r="G613" i="8"/>
  <c r="E615" i="8"/>
  <c r="A617" i="8"/>
  <c r="E618" i="8"/>
  <c r="C618" i="8"/>
  <c r="A618" i="8"/>
  <c r="G618" i="8"/>
  <c r="C641" i="8"/>
  <c r="F648" i="8"/>
  <c r="A651" i="8"/>
  <c r="B654" i="8"/>
  <c r="E657" i="8"/>
  <c r="A674" i="8"/>
  <c r="G674" i="8"/>
  <c r="I674" i="8"/>
  <c r="H674" i="8"/>
  <c r="F674" i="8"/>
  <c r="E674" i="8"/>
  <c r="D674" i="8"/>
  <c r="C674" i="8"/>
  <c r="B674" i="8"/>
  <c r="A554" i="8"/>
  <c r="A566" i="8"/>
  <c r="G572" i="8"/>
  <c r="A578" i="8"/>
  <c r="G584" i="8"/>
  <c r="A590" i="8"/>
  <c r="D593" i="8"/>
  <c r="F594" i="8"/>
  <c r="G595" i="8"/>
  <c r="G600" i="8"/>
  <c r="D610" i="8"/>
  <c r="B612" i="8"/>
  <c r="F615" i="8"/>
  <c r="C617" i="8"/>
  <c r="G620" i="8"/>
  <c r="E620" i="8"/>
  <c r="C620" i="8"/>
  <c r="A620" i="8"/>
  <c r="I620" i="8"/>
  <c r="I622" i="8"/>
  <c r="G622" i="8"/>
  <c r="E622" i="8"/>
  <c r="C622" i="8"/>
  <c r="A622" i="8"/>
  <c r="I624" i="8"/>
  <c r="G624" i="8"/>
  <c r="E624" i="8"/>
  <c r="C624" i="8"/>
  <c r="A624" i="8"/>
  <c r="A626" i="8"/>
  <c r="I626" i="8"/>
  <c r="G626" i="8"/>
  <c r="E626" i="8"/>
  <c r="C626" i="8"/>
  <c r="C628" i="8"/>
  <c r="A628" i="8"/>
  <c r="I628" i="8"/>
  <c r="G628" i="8"/>
  <c r="E628" i="8"/>
  <c r="E630" i="8"/>
  <c r="C630" i="8"/>
  <c r="A630" i="8"/>
  <c r="I630" i="8"/>
  <c r="G630" i="8"/>
  <c r="G632" i="8"/>
  <c r="E632" i="8"/>
  <c r="C632" i="8"/>
  <c r="A632" i="8"/>
  <c r="I632" i="8"/>
  <c r="I634" i="8"/>
  <c r="G634" i="8"/>
  <c r="E634" i="8"/>
  <c r="C634" i="8"/>
  <c r="A634" i="8"/>
  <c r="I636" i="8"/>
  <c r="G636" i="8"/>
  <c r="E636" i="8"/>
  <c r="C636" i="8"/>
  <c r="A636" i="8"/>
  <c r="A639" i="8"/>
  <c r="G641" i="8"/>
  <c r="F643" i="8"/>
  <c r="D643" i="8"/>
  <c r="B643" i="8"/>
  <c r="H643" i="8"/>
  <c r="G643" i="8"/>
  <c r="G651" i="8"/>
  <c r="I660" i="8"/>
  <c r="G660" i="8"/>
  <c r="F660" i="8"/>
  <c r="E660" i="8"/>
  <c r="D660" i="8"/>
  <c r="C660" i="8"/>
  <c r="B660" i="8"/>
  <c r="A660" i="8"/>
  <c r="H669" i="8"/>
  <c r="B669" i="8"/>
  <c r="E669" i="8"/>
  <c r="C669" i="8"/>
  <c r="A669" i="8"/>
  <c r="I669" i="8"/>
  <c r="G669" i="8"/>
  <c r="F669" i="8"/>
  <c r="B554" i="8"/>
  <c r="B566" i="8"/>
  <c r="H572" i="8"/>
  <c r="B578" i="8"/>
  <c r="H584" i="8"/>
  <c r="B590" i="8"/>
  <c r="E593" i="8"/>
  <c r="H595" i="8"/>
  <c r="A598" i="8"/>
  <c r="H600" i="8"/>
  <c r="E606" i="8"/>
  <c r="C606" i="8"/>
  <c r="A606" i="8"/>
  <c r="G606" i="8"/>
  <c r="F610" i="8"/>
  <c r="C612" i="8"/>
  <c r="H613" i="8"/>
  <c r="F613" i="8"/>
  <c r="B613" i="8"/>
  <c r="G615" i="8"/>
  <c r="E617" i="8"/>
  <c r="I648" i="8"/>
  <c r="G648" i="8"/>
  <c r="E648" i="8"/>
  <c r="C648" i="8"/>
  <c r="B648" i="8"/>
  <c r="A648" i="8"/>
  <c r="E654" i="8"/>
  <c r="C654" i="8"/>
  <c r="A654" i="8"/>
  <c r="I654" i="8"/>
  <c r="H654" i="8"/>
  <c r="G654" i="8"/>
  <c r="F654" i="8"/>
  <c r="H657" i="8"/>
  <c r="F657" i="8"/>
  <c r="D657" i="8"/>
  <c r="C657" i="8"/>
  <c r="B657" i="8"/>
  <c r="A657" i="8"/>
  <c r="I657" i="8"/>
  <c r="B675" i="8"/>
  <c r="H675" i="8"/>
  <c r="I675" i="8"/>
  <c r="G675" i="8"/>
  <c r="F675" i="8"/>
  <c r="E675" i="8"/>
  <c r="D675" i="8"/>
  <c r="C675" i="8"/>
  <c r="A675" i="8"/>
  <c r="H715" i="8"/>
  <c r="F715" i="8"/>
  <c r="E715" i="8"/>
  <c r="D715" i="8"/>
  <c r="C715" i="8"/>
  <c r="B715" i="8"/>
  <c r="A715" i="8"/>
  <c r="I715" i="8"/>
  <c r="G715" i="8"/>
  <c r="C554" i="8"/>
  <c r="C566" i="8"/>
  <c r="I572" i="8"/>
  <c r="C578" i="8"/>
  <c r="I584" i="8"/>
  <c r="C590" i="8"/>
  <c r="F593" i="8"/>
  <c r="I595" i="8"/>
  <c r="B598" i="8"/>
  <c r="A629" i="8"/>
  <c r="A631" i="8"/>
  <c r="A633" i="8"/>
  <c r="A635" i="8"/>
  <c r="C637" i="8"/>
  <c r="D641" i="8"/>
  <c r="B641" i="8"/>
  <c r="H641" i="8"/>
  <c r="F641" i="8"/>
  <c r="E641" i="8"/>
  <c r="B651" i="8"/>
  <c r="H651" i="8"/>
  <c r="F651" i="8"/>
  <c r="E651" i="8"/>
  <c r="D651" i="8"/>
  <c r="C651" i="8"/>
  <c r="I670" i="8"/>
  <c r="G670" i="8"/>
  <c r="C670" i="8"/>
  <c r="F670" i="8"/>
  <c r="E670" i="8"/>
  <c r="D670" i="8"/>
  <c r="B670" i="8"/>
  <c r="A670" i="8"/>
  <c r="H683" i="8"/>
  <c r="D683" i="8"/>
  <c r="I683" i="8"/>
  <c r="G683" i="8"/>
  <c r="F683" i="8"/>
  <c r="E683" i="8"/>
  <c r="C683" i="8"/>
  <c r="B683" i="8"/>
  <c r="A683" i="8"/>
  <c r="I716" i="8"/>
  <c r="G716" i="8"/>
  <c r="F716" i="8"/>
  <c r="E716" i="8"/>
  <c r="D716" i="8"/>
  <c r="C716" i="8"/>
  <c r="B716" i="8"/>
  <c r="A716" i="8"/>
  <c r="H716" i="8"/>
  <c r="A563" i="8"/>
  <c r="E600" i="8"/>
  <c r="A600" i="8"/>
  <c r="I610" i="8"/>
  <c r="G610" i="8"/>
  <c r="E610" i="8"/>
  <c r="C610" i="8"/>
  <c r="B615" i="8"/>
  <c r="H615" i="8"/>
  <c r="D615" i="8"/>
  <c r="C629" i="8"/>
  <c r="C631" i="8"/>
  <c r="C633" i="8"/>
  <c r="C635" i="8"/>
  <c r="E637" i="8"/>
  <c r="H661" i="8"/>
  <c r="G661" i="8"/>
  <c r="F661" i="8"/>
  <c r="E661" i="8"/>
  <c r="D661" i="8"/>
  <c r="C661" i="8"/>
  <c r="B661" i="8"/>
  <c r="A661" i="8"/>
  <c r="C676" i="8"/>
  <c r="A676" i="8"/>
  <c r="I676" i="8"/>
  <c r="E676" i="8"/>
  <c r="B676" i="8"/>
  <c r="H676" i="8"/>
  <c r="G676" i="8"/>
  <c r="F676" i="8"/>
  <c r="E554" i="8"/>
  <c r="B563" i="8"/>
  <c r="E566" i="8"/>
  <c r="E578" i="8"/>
  <c r="E590" i="8"/>
  <c r="H593" i="8"/>
  <c r="E598" i="8"/>
  <c r="A609" i="8"/>
  <c r="E629" i="8"/>
  <c r="E631" i="8"/>
  <c r="E633" i="8"/>
  <c r="E635" i="8"/>
  <c r="G637" i="8"/>
  <c r="B639" i="8"/>
  <c r="H639" i="8"/>
  <c r="F639" i="8"/>
  <c r="D639" i="8"/>
  <c r="C639" i="8"/>
  <c r="D642" i="8"/>
  <c r="G644" i="8"/>
  <c r="E644" i="8"/>
  <c r="C644" i="8"/>
  <c r="A644" i="8"/>
  <c r="I644" i="8"/>
  <c r="H644" i="8"/>
  <c r="G649" i="8"/>
  <c r="A662" i="8"/>
  <c r="B662" i="8"/>
  <c r="I662" i="8"/>
  <c r="H662" i="8"/>
  <c r="G662" i="8"/>
  <c r="F662" i="8"/>
  <c r="E662" i="8"/>
  <c r="D662" i="8"/>
  <c r="C662" i="8"/>
  <c r="H679" i="8"/>
  <c r="F679" i="8"/>
  <c r="D679" i="8"/>
  <c r="C679" i="8"/>
  <c r="A679" i="8"/>
  <c r="I679" i="8"/>
  <c r="G679" i="8"/>
  <c r="E679" i="8"/>
  <c r="H703" i="8"/>
  <c r="F703" i="8"/>
  <c r="E703" i="8"/>
  <c r="D703" i="8"/>
  <c r="B703" i="8"/>
  <c r="A703" i="8"/>
  <c r="G703" i="8"/>
  <c r="C703" i="8"/>
  <c r="I703" i="8"/>
  <c r="C563" i="8"/>
  <c r="F590" i="8"/>
  <c r="I612" i="8"/>
  <c r="G612" i="8"/>
  <c r="E612" i="8"/>
  <c r="A612" i="8"/>
  <c r="D617" i="8"/>
  <c r="B617" i="8"/>
  <c r="F617" i="8"/>
  <c r="G629" i="8"/>
  <c r="G631" i="8"/>
  <c r="G633" i="8"/>
  <c r="G635" i="8"/>
  <c r="B640" i="8"/>
  <c r="C647" i="8"/>
  <c r="C652" i="8"/>
  <c r="A652" i="8"/>
  <c r="I652" i="8"/>
  <c r="G652" i="8"/>
  <c r="F652" i="8"/>
  <c r="E652" i="8"/>
  <c r="D652" i="8"/>
  <c r="F655" i="8"/>
  <c r="D655" i="8"/>
  <c r="B655" i="8"/>
  <c r="A655" i="8"/>
  <c r="I655" i="8"/>
  <c r="H655" i="8"/>
  <c r="G655" i="8"/>
  <c r="I680" i="8"/>
  <c r="G680" i="8"/>
  <c r="E680" i="8"/>
  <c r="A680" i="8"/>
  <c r="H680" i="8"/>
  <c r="F680" i="8"/>
  <c r="D680" i="8"/>
  <c r="C680" i="8"/>
  <c r="B680" i="8"/>
  <c r="I704" i="8"/>
  <c r="G704" i="8"/>
  <c r="F704" i="8"/>
  <c r="E704" i="8"/>
  <c r="C704" i="8"/>
  <c r="B704" i="8"/>
  <c r="A704" i="8"/>
  <c r="H704" i="8"/>
  <c r="D704" i="8"/>
  <c r="G598" i="8"/>
  <c r="I629" i="8"/>
  <c r="I631" i="8"/>
  <c r="I633" i="8"/>
  <c r="I635" i="8"/>
  <c r="H637" i="8"/>
  <c r="F637" i="8"/>
  <c r="D637" i="8"/>
  <c r="B637" i="8"/>
  <c r="A637" i="8"/>
  <c r="E642" i="8"/>
  <c r="C642" i="8"/>
  <c r="A642" i="8"/>
  <c r="I642" i="8"/>
  <c r="G642" i="8"/>
  <c r="F642" i="8"/>
  <c r="H649" i="8"/>
  <c r="F649" i="8"/>
  <c r="D649" i="8"/>
  <c r="C649" i="8"/>
  <c r="B649" i="8"/>
  <c r="A649" i="8"/>
  <c r="B663" i="8"/>
  <c r="D663" i="8"/>
  <c r="A663" i="8"/>
  <c r="I663" i="8"/>
  <c r="H663" i="8"/>
  <c r="G663" i="8"/>
  <c r="F663" i="8"/>
  <c r="E663" i="8"/>
  <c r="H727" i="8"/>
  <c r="G727" i="8"/>
  <c r="F727" i="8"/>
  <c r="E727" i="8"/>
  <c r="D727" i="8"/>
  <c r="C727" i="8"/>
  <c r="B727" i="8"/>
  <c r="A727" i="8"/>
  <c r="I727" i="8"/>
  <c r="H656" i="8"/>
  <c r="C668" i="8"/>
  <c r="D672" i="8"/>
  <c r="H673" i="8"/>
  <c r="D677" i="8"/>
  <c r="B677" i="8"/>
  <c r="A681" i="8"/>
  <c r="H685" i="8"/>
  <c r="E688" i="8"/>
  <c r="C688" i="8"/>
  <c r="A688" i="8"/>
  <c r="I688" i="8"/>
  <c r="D692" i="8"/>
  <c r="H695" i="8"/>
  <c r="F695" i="8"/>
  <c r="D695" i="8"/>
  <c r="G697" i="8"/>
  <c r="F699" i="8"/>
  <c r="G701" i="8"/>
  <c r="I718" i="8"/>
  <c r="H718" i="8"/>
  <c r="G718" i="8"/>
  <c r="F718" i="8"/>
  <c r="E718" i="8"/>
  <c r="D718" i="8"/>
  <c r="C718" i="8"/>
  <c r="B743" i="8"/>
  <c r="I743" i="8"/>
  <c r="H743" i="8"/>
  <c r="G743" i="8"/>
  <c r="F743" i="8"/>
  <c r="E743" i="8"/>
  <c r="D743" i="8"/>
  <c r="C743" i="8"/>
  <c r="A743" i="8"/>
  <c r="H753" i="8"/>
  <c r="I753" i="8"/>
  <c r="G753" i="8"/>
  <c r="F753" i="8"/>
  <c r="E753" i="8"/>
  <c r="D753" i="8"/>
  <c r="C753" i="8"/>
  <c r="B753" i="8"/>
  <c r="B759" i="8"/>
  <c r="F759" i="8"/>
  <c r="D759" i="8"/>
  <c r="C759" i="8"/>
  <c r="A759" i="8"/>
  <c r="I759" i="8"/>
  <c r="H759" i="8"/>
  <c r="G759" i="8"/>
  <c r="I656" i="8"/>
  <c r="D668" i="8"/>
  <c r="A671" i="8"/>
  <c r="F672" i="8"/>
  <c r="I673" i="8"/>
  <c r="C681" i="8"/>
  <c r="I682" i="8"/>
  <c r="G682" i="8"/>
  <c r="C682" i="8"/>
  <c r="F692" i="8"/>
  <c r="B696" i="8"/>
  <c r="G699" i="8"/>
  <c r="H701" i="8"/>
  <c r="C710" i="8"/>
  <c r="A710" i="8"/>
  <c r="I710" i="8"/>
  <c r="H710" i="8"/>
  <c r="G710" i="8"/>
  <c r="D723" i="8"/>
  <c r="C723" i="8"/>
  <c r="B723" i="8"/>
  <c r="A723" i="8"/>
  <c r="I723" i="8"/>
  <c r="H723" i="8"/>
  <c r="H737" i="8"/>
  <c r="I737" i="8"/>
  <c r="G737" i="8"/>
  <c r="F737" i="8"/>
  <c r="E737" i="8"/>
  <c r="D737" i="8"/>
  <c r="C737" i="8"/>
  <c r="D757" i="8"/>
  <c r="I757" i="8"/>
  <c r="H757" i="8"/>
  <c r="G757" i="8"/>
  <c r="F757" i="8"/>
  <c r="E757" i="8"/>
  <c r="C757" i="8"/>
  <c r="B757" i="8"/>
  <c r="A757" i="8"/>
  <c r="C760" i="8"/>
  <c r="A760" i="8"/>
  <c r="G760" i="8"/>
  <c r="I760" i="8"/>
  <c r="H760" i="8"/>
  <c r="F760" i="8"/>
  <c r="E760" i="8"/>
  <c r="D760" i="8"/>
  <c r="B760" i="8"/>
  <c r="D773" i="8"/>
  <c r="B773" i="8"/>
  <c r="H773" i="8"/>
  <c r="C773" i="8"/>
  <c r="A773" i="8"/>
  <c r="I773" i="8"/>
  <c r="G773" i="8"/>
  <c r="F773" i="8"/>
  <c r="H815" i="8"/>
  <c r="F815" i="8"/>
  <c r="D815" i="8"/>
  <c r="G815" i="8"/>
  <c r="E815" i="8"/>
  <c r="C815" i="8"/>
  <c r="B815" i="8"/>
  <c r="A815" i="8"/>
  <c r="I815" i="8"/>
  <c r="E668" i="8"/>
  <c r="B671" i="8"/>
  <c r="G672" i="8"/>
  <c r="D681" i="8"/>
  <c r="B685" i="8"/>
  <c r="F685" i="8"/>
  <c r="A689" i="8"/>
  <c r="G690" i="8"/>
  <c r="E690" i="8"/>
  <c r="C690" i="8"/>
  <c r="A690" i="8"/>
  <c r="C696" i="8"/>
  <c r="B697" i="8"/>
  <c r="H697" i="8"/>
  <c r="F697" i="8"/>
  <c r="I706" i="8"/>
  <c r="H706" i="8"/>
  <c r="G706" i="8"/>
  <c r="E706" i="8"/>
  <c r="D706" i="8"/>
  <c r="C706" i="8"/>
  <c r="E713" i="8"/>
  <c r="G726" i="8"/>
  <c r="F726" i="8"/>
  <c r="E726" i="8"/>
  <c r="D726" i="8"/>
  <c r="C726" i="8"/>
  <c r="B726" i="8"/>
  <c r="A726" i="8"/>
  <c r="D733" i="8"/>
  <c r="C733" i="8"/>
  <c r="B733" i="8"/>
  <c r="A733" i="8"/>
  <c r="I733" i="8"/>
  <c r="H733" i="8"/>
  <c r="E774" i="8"/>
  <c r="C774" i="8"/>
  <c r="A774" i="8"/>
  <c r="I774" i="8"/>
  <c r="H774" i="8"/>
  <c r="G774" i="8"/>
  <c r="F774" i="8"/>
  <c r="D774" i="8"/>
  <c r="B774" i="8"/>
  <c r="A646" i="8"/>
  <c r="A658" i="8"/>
  <c r="F668" i="8"/>
  <c r="C671" i="8"/>
  <c r="E681" i="8"/>
  <c r="C689" i="8"/>
  <c r="I692" i="8"/>
  <c r="G692" i="8"/>
  <c r="E692" i="8"/>
  <c r="C692" i="8"/>
  <c r="A692" i="8"/>
  <c r="D696" i="8"/>
  <c r="B698" i="8"/>
  <c r="D699" i="8"/>
  <c r="B699" i="8"/>
  <c r="A699" i="8"/>
  <c r="H699" i="8"/>
  <c r="F701" i="8"/>
  <c r="D701" i="8"/>
  <c r="C701" i="8"/>
  <c r="B701" i="8"/>
  <c r="A709" i="8"/>
  <c r="G713" i="8"/>
  <c r="B721" i="8"/>
  <c r="A721" i="8"/>
  <c r="I721" i="8"/>
  <c r="H721" i="8"/>
  <c r="G721" i="8"/>
  <c r="F721" i="8"/>
  <c r="A731" i="8"/>
  <c r="G734" i="8"/>
  <c r="D761" i="8"/>
  <c r="B761" i="8"/>
  <c r="H761" i="8"/>
  <c r="I761" i="8"/>
  <c r="G761" i="8"/>
  <c r="F761" i="8"/>
  <c r="E761" i="8"/>
  <c r="C761" i="8"/>
  <c r="A761" i="8"/>
  <c r="H777" i="8"/>
  <c r="F777" i="8"/>
  <c r="D777" i="8"/>
  <c r="I777" i="8"/>
  <c r="G777" i="8"/>
  <c r="E777" i="8"/>
  <c r="C777" i="8"/>
  <c r="B777" i="8"/>
  <c r="A777" i="8"/>
  <c r="H668" i="8"/>
  <c r="E671" i="8"/>
  <c r="I672" i="8"/>
  <c r="E672" i="8"/>
  <c r="G681" i="8"/>
  <c r="D686" i="8"/>
  <c r="E689" i="8"/>
  <c r="I694" i="8"/>
  <c r="G694" i="8"/>
  <c r="E694" i="8"/>
  <c r="C694" i="8"/>
  <c r="F696" i="8"/>
  <c r="D698" i="8"/>
  <c r="D700" i="8"/>
  <c r="B702" i="8"/>
  <c r="A707" i="8"/>
  <c r="C709" i="8"/>
  <c r="H713" i="8"/>
  <c r="I778" i="8"/>
  <c r="G778" i="8"/>
  <c r="E778" i="8"/>
  <c r="A778" i="8"/>
  <c r="H778" i="8"/>
  <c r="F778" i="8"/>
  <c r="D778" i="8"/>
  <c r="C778" i="8"/>
  <c r="B778" i="8"/>
  <c r="I838" i="8"/>
  <c r="G838" i="8"/>
  <c r="F838" i="8"/>
  <c r="E838" i="8"/>
  <c r="D838" i="8"/>
  <c r="C838" i="8"/>
  <c r="B838" i="8"/>
  <c r="H838" i="8"/>
  <c r="A838" i="8"/>
  <c r="C646" i="8"/>
  <c r="A656" i="8"/>
  <c r="C658" i="8"/>
  <c r="C666" i="8"/>
  <c r="F671" i="8"/>
  <c r="A677" i="8"/>
  <c r="A684" i="8"/>
  <c r="I684" i="8"/>
  <c r="E684" i="8"/>
  <c r="E686" i="8"/>
  <c r="G689" i="8"/>
  <c r="A693" i="8"/>
  <c r="E698" i="8"/>
  <c r="F700" i="8"/>
  <c r="F702" i="8"/>
  <c r="B707" i="8"/>
  <c r="D709" i="8"/>
  <c r="I719" i="8"/>
  <c r="H719" i="8"/>
  <c r="G719" i="8"/>
  <c r="F719" i="8"/>
  <c r="E719" i="8"/>
  <c r="D719" i="8"/>
  <c r="I738" i="8"/>
  <c r="A738" i="8"/>
  <c r="H738" i="8"/>
  <c r="G738" i="8"/>
  <c r="F738" i="8"/>
  <c r="E738" i="8"/>
  <c r="H795" i="8"/>
  <c r="G795" i="8"/>
  <c r="F795" i="8"/>
  <c r="D795" i="8"/>
  <c r="B795" i="8"/>
  <c r="A795" i="8"/>
  <c r="I795" i="8"/>
  <c r="E795" i="8"/>
  <c r="C795" i="8"/>
  <c r="G668" i="8"/>
  <c r="A668" i="8"/>
  <c r="G671" i="8"/>
  <c r="H681" i="8"/>
  <c r="F681" i="8"/>
  <c r="B681" i="8"/>
  <c r="H689" i="8"/>
  <c r="C693" i="8"/>
  <c r="A696" i="8"/>
  <c r="I696" i="8"/>
  <c r="G696" i="8"/>
  <c r="E696" i="8"/>
  <c r="C707" i="8"/>
  <c r="F713" i="8"/>
  <c r="D713" i="8"/>
  <c r="C713" i="8"/>
  <c r="B713" i="8"/>
  <c r="A713" i="8"/>
  <c r="I731" i="8"/>
  <c r="H731" i="8"/>
  <c r="G731" i="8"/>
  <c r="F731" i="8"/>
  <c r="E731" i="8"/>
  <c r="D731" i="8"/>
  <c r="E734" i="8"/>
  <c r="F734" i="8"/>
  <c r="D734" i="8"/>
  <c r="C734" i="8"/>
  <c r="B734" i="8"/>
  <c r="A734" i="8"/>
  <c r="E812" i="8"/>
  <c r="C812" i="8"/>
  <c r="A812" i="8"/>
  <c r="H812" i="8"/>
  <c r="G812" i="8"/>
  <c r="F812" i="8"/>
  <c r="D812" i="8"/>
  <c r="B812" i="8"/>
  <c r="I812" i="8"/>
  <c r="E646" i="8"/>
  <c r="C656" i="8"/>
  <c r="E658" i="8"/>
  <c r="B673" i="8"/>
  <c r="E677" i="8"/>
  <c r="G678" i="8"/>
  <c r="E678" i="8"/>
  <c r="C678" i="8"/>
  <c r="A682" i="8"/>
  <c r="A685" i="8"/>
  <c r="B688" i="8"/>
  <c r="E693" i="8"/>
  <c r="B695" i="8"/>
  <c r="A705" i="8"/>
  <c r="D711" i="8"/>
  <c r="B711" i="8"/>
  <c r="A711" i="8"/>
  <c r="I711" i="8"/>
  <c r="H711" i="8"/>
  <c r="F714" i="8"/>
  <c r="A717" i="8"/>
  <c r="B732" i="8"/>
  <c r="A746" i="8"/>
  <c r="E746" i="8"/>
  <c r="F746" i="8"/>
  <c r="D746" i="8"/>
  <c r="C746" i="8"/>
  <c r="B746" i="8"/>
  <c r="I746" i="8"/>
  <c r="H746" i="8"/>
  <c r="I768" i="8"/>
  <c r="G768" i="8"/>
  <c r="C768" i="8"/>
  <c r="H768" i="8"/>
  <c r="F768" i="8"/>
  <c r="E768" i="8"/>
  <c r="D768" i="8"/>
  <c r="B768" i="8"/>
  <c r="A768" i="8"/>
  <c r="F801" i="8"/>
  <c r="H801" i="8"/>
  <c r="G801" i="8"/>
  <c r="E801" i="8"/>
  <c r="C801" i="8"/>
  <c r="A801" i="8"/>
  <c r="I801" i="8"/>
  <c r="D801" i="8"/>
  <c r="B801" i="8"/>
  <c r="H671" i="8"/>
  <c r="D671" i="8"/>
  <c r="F689" i="8"/>
  <c r="D689" i="8"/>
  <c r="B689" i="8"/>
  <c r="G693" i="8"/>
  <c r="C698" i="8"/>
  <c r="A698" i="8"/>
  <c r="I698" i="8"/>
  <c r="G698" i="8"/>
  <c r="E700" i="8"/>
  <c r="C700" i="8"/>
  <c r="B700" i="8"/>
  <c r="A700" i="8"/>
  <c r="I700" i="8"/>
  <c r="G702" i="8"/>
  <c r="E702" i="8"/>
  <c r="D702" i="8"/>
  <c r="C702" i="8"/>
  <c r="A702" i="8"/>
  <c r="E705" i="8"/>
  <c r="I707" i="8"/>
  <c r="H707" i="8"/>
  <c r="F707" i="8"/>
  <c r="E707" i="8"/>
  <c r="D707" i="8"/>
  <c r="B709" i="8"/>
  <c r="H709" i="8"/>
  <c r="G709" i="8"/>
  <c r="F709" i="8"/>
  <c r="H714" i="8"/>
  <c r="D732" i="8"/>
  <c r="F741" i="8"/>
  <c r="E741" i="8"/>
  <c r="D741" i="8"/>
  <c r="C741" i="8"/>
  <c r="B741" i="8"/>
  <c r="A741" i="8"/>
  <c r="B747" i="8"/>
  <c r="F747" i="8"/>
  <c r="I747" i="8"/>
  <c r="H747" i="8"/>
  <c r="G747" i="8"/>
  <c r="E747" i="8"/>
  <c r="D747" i="8"/>
  <c r="C747" i="8"/>
  <c r="A747" i="8"/>
  <c r="G646" i="8"/>
  <c r="E656" i="8"/>
  <c r="G658" i="8"/>
  <c r="A672" i="8"/>
  <c r="D673" i="8"/>
  <c r="G677" i="8"/>
  <c r="C686" i="8"/>
  <c r="A686" i="8"/>
  <c r="G686" i="8"/>
  <c r="H717" i="8"/>
  <c r="G717" i="8"/>
  <c r="F717" i="8"/>
  <c r="E717" i="8"/>
  <c r="D717" i="8"/>
  <c r="C717" i="8"/>
  <c r="B717" i="8"/>
  <c r="H693" i="8"/>
  <c r="F693" i="8"/>
  <c r="D693" i="8"/>
  <c r="B693" i="8"/>
  <c r="H705" i="8"/>
  <c r="G705" i="8"/>
  <c r="F705" i="8"/>
  <c r="D705" i="8"/>
  <c r="C705" i="8"/>
  <c r="B705" i="8"/>
  <c r="G714" i="8"/>
  <c r="E714" i="8"/>
  <c r="D714" i="8"/>
  <c r="C714" i="8"/>
  <c r="B714" i="8"/>
  <c r="A714" i="8"/>
  <c r="I729" i="8"/>
  <c r="H729" i="8"/>
  <c r="G729" i="8"/>
  <c r="F729" i="8"/>
  <c r="E729" i="8"/>
  <c r="D729" i="8"/>
  <c r="C729" i="8"/>
  <c r="B729" i="8"/>
  <c r="C732" i="8"/>
  <c r="A732" i="8"/>
  <c r="I732" i="8"/>
  <c r="H732" i="8"/>
  <c r="G732" i="8"/>
  <c r="F732" i="8"/>
  <c r="G736" i="8"/>
  <c r="I736" i="8"/>
  <c r="H736" i="8"/>
  <c r="F736" i="8"/>
  <c r="E736" i="8"/>
  <c r="D736" i="8"/>
  <c r="C736" i="8"/>
  <c r="B736" i="8"/>
  <c r="A736" i="8"/>
  <c r="A742" i="8"/>
  <c r="H742" i="8"/>
  <c r="G742" i="8"/>
  <c r="F742" i="8"/>
  <c r="E742" i="8"/>
  <c r="D742" i="8"/>
  <c r="C742" i="8"/>
  <c r="B742" i="8"/>
  <c r="B668" i="8"/>
  <c r="C672" i="8"/>
  <c r="G673" i="8"/>
  <c r="I677" i="8"/>
  <c r="F682" i="8"/>
  <c r="B684" i="8"/>
  <c r="G685" i="8"/>
  <c r="H688" i="8"/>
  <c r="F690" i="8"/>
  <c r="B692" i="8"/>
  <c r="A694" i="8"/>
  <c r="I695" i="8"/>
  <c r="E697" i="8"/>
  <c r="E699" i="8"/>
  <c r="E701" i="8"/>
  <c r="A706" i="8"/>
  <c r="E710" i="8"/>
  <c r="B718" i="8"/>
  <c r="F723" i="8"/>
  <c r="F725" i="8"/>
  <c r="E725" i="8"/>
  <c r="D725" i="8"/>
  <c r="C725" i="8"/>
  <c r="B725" i="8"/>
  <c r="A725" i="8"/>
  <c r="E733" i="8"/>
  <c r="A737" i="8"/>
  <c r="A753" i="8"/>
  <c r="C756" i="8"/>
  <c r="I756" i="8"/>
  <c r="H756" i="8"/>
  <c r="G756" i="8"/>
  <c r="F756" i="8"/>
  <c r="E756" i="8"/>
  <c r="D756" i="8"/>
  <c r="B756" i="8"/>
  <c r="A756" i="8"/>
  <c r="E759" i="8"/>
  <c r="A782" i="8"/>
  <c r="I782" i="8"/>
  <c r="E782" i="8"/>
  <c r="D785" i="8"/>
  <c r="B785" i="8"/>
  <c r="H785" i="8"/>
  <c r="I804" i="8"/>
  <c r="A804" i="8"/>
  <c r="G804" i="8"/>
  <c r="F804" i="8"/>
  <c r="E804" i="8"/>
  <c r="F813" i="8"/>
  <c r="D813" i="8"/>
  <c r="B813" i="8"/>
  <c r="I813" i="8"/>
  <c r="H813" i="8"/>
  <c r="G813" i="8"/>
  <c r="E813" i="8"/>
  <c r="C813" i="8"/>
  <c r="A813" i="8"/>
  <c r="G826" i="8"/>
  <c r="E826" i="8"/>
  <c r="C826" i="8"/>
  <c r="I826" i="8"/>
  <c r="H826" i="8"/>
  <c r="F826" i="8"/>
  <c r="D826" i="8"/>
  <c r="B826" i="8"/>
  <c r="A826" i="8"/>
  <c r="I889" i="8"/>
  <c r="H889" i="8"/>
  <c r="F889" i="8"/>
  <c r="E889" i="8"/>
  <c r="D889" i="8"/>
  <c r="C889" i="8"/>
  <c r="G889" i="8"/>
  <c r="B889" i="8"/>
  <c r="A889" i="8"/>
  <c r="F18" i="9"/>
  <c r="E18" i="9"/>
  <c r="D18" i="9"/>
  <c r="C18" i="9"/>
  <c r="B18" i="9"/>
  <c r="I18" i="9"/>
  <c r="H18" i="9"/>
  <c r="G18" i="9"/>
  <c r="A18" i="9"/>
  <c r="F100" i="9"/>
  <c r="E100" i="9"/>
  <c r="D100" i="9"/>
  <c r="C100" i="9"/>
  <c r="B100" i="9"/>
  <c r="A100" i="9"/>
  <c r="I100" i="9"/>
  <c r="H100" i="9"/>
  <c r="G100" i="9"/>
  <c r="B771" i="8"/>
  <c r="F771" i="8"/>
  <c r="H779" i="8"/>
  <c r="F779" i="8"/>
  <c r="B779" i="8"/>
  <c r="F789" i="8"/>
  <c r="H789" i="8"/>
  <c r="E789" i="8"/>
  <c r="C789" i="8"/>
  <c r="B789" i="8"/>
  <c r="A789" i="8"/>
  <c r="D799" i="8"/>
  <c r="C799" i="8"/>
  <c r="B799" i="8"/>
  <c r="A799" i="8"/>
  <c r="I799" i="8"/>
  <c r="H799" i="8"/>
  <c r="D805" i="8"/>
  <c r="D823" i="8"/>
  <c r="B823" i="8"/>
  <c r="I823" i="8"/>
  <c r="H823" i="8"/>
  <c r="G823" i="8"/>
  <c r="F823" i="8"/>
  <c r="E823" i="8"/>
  <c r="C823" i="8"/>
  <c r="A823" i="8"/>
  <c r="D926" i="8"/>
  <c r="B926" i="8"/>
  <c r="A926" i="8"/>
  <c r="I926" i="8"/>
  <c r="H926" i="8"/>
  <c r="G926" i="8"/>
  <c r="F926" i="8"/>
  <c r="E926" i="8"/>
  <c r="C926" i="8"/>
  <c r="E708" i="8"/>
  <c r="I712" i="8"/>
  <c r="E720" i="8"/>
  <c r="G722" i="8"/>
  <c r="I724" i="8"/>
  <c r="C730" i="8"/>
  <c r="G739" i="8"/>
  <c r="I740" i="8"/>
  <c r="D744" i="8"/>
  <c r="F745" i="8"/>
  <c r="A748" i="8"/>
  <c r="E749" i="8"/>
  <c r="A752" i="8"/>
  <c r="F754" i="8"/>
  <c r="I755" i="8"/>
  <c r="D764" i="8"/>
  <c r="H765" i="8"/>
  <c r="F765" i="8"/>
  <c r="D765" i="8"/>
  <c r="E767" i="8"/>
  <c r="A769" i="8"/>
  <c r="B772" i="8"/>
  <c r="G776" i="8"/>
  <c r="E776" i="8"/>
  <c r="C776" i="8"/>
  <c r="A780" i="8"/>
  <c r="A783" i="8"/>
  <c r="G794" i="8"/>
  <c r="F794" i="8"/>
  <c r="E794" i="8"/>
  <c r="C794" i="8"/>
  <c r="A794" i="8"/>
  <c r="G802" i="8"/>
  <c r="I802" i="8"/>
  <c r="H802" i="8"/>
  <c r="E802" i="8"/>
  <c r="C802" i="8"/>
  <c r="B802" i="8"/>
  <c r="A802" i="8"/>
  <c r="F708" i="8"/>
  <c r="F720" i="8"/>
  <c r="H722" i="8"/>
  <c r="D730" i="8"/>
  <c r="H739" i="8"/>
  <c r="B748" i="8"/>
  <c r="E750" i="8"/>
  <c r="I750" i="8"/>
  <c r="G754" i="8"/>
  <c r="E762" i="8"/>
  <c r="C762" i="8"/>
  <c r="A762" i="8"/>
  <c r="I762" i="8"/>
  <c r="F764" i="8"/>
  <c r="G767" i="8"/>
  <c r="B769" i="8"/>
  <c r="D772" i="8"/>
  <c r="E775" i="8"/>
  <c r="B780" i="8"/>
  <c r="G781" i="8"/>
  <c r="C783" i="8"/>
  <c r="F787" i="8"/>
  <c r="D787" i="8"/>
  <c r="B787" i="8"/>
  <c r="B790" i="8"/>
  <c r="I792" i="8"/>
  <c r="C792" i="8"/>
  <c r="B792" i="8"/>
  <c r="A792" i="8"/>
  <c r="H792" i="8"/>
  <c r="G792" i="8"/>
  <c r="G800" i="8"/>
  <c r="A827" i="8"/>
  <c r="H827" i="8"/>
  <c r="F827" i="8"/>
  <c r="D827" i="8"/>
  <c r="I827" i="8"/>
  <c r="G827" i="8"/>
  <c r="E827" i="8"/>
  <c r="G708" i="8"/>
  <c r="G720" i="8"/>
  <c r="I722" i="8"/>
  <c r="E730" i="8"/>
  <c r="I739" i="8"/>
  <c r="D748" i="8"/>
  <c r="C752" i="8"/>
  <c r="B766" i="8"/>
  <c r="C769" i="8"/>
  <c r="A770" i="8"/>
  <c r="I770" i="8"/>
  <c r="E770" i="8"/>
  <c r="E772" i="8"/>
  <c r="D780" i="8"/>
  <c r="D783" i="8"/>
  <c r="C784" i="8"/>
  <c r="A784" i="8"/>
  <c r="G784" i="8"/>
  <c r="B788" i="8"/>
  <c r="F790" i="8"/>
  <c r="B797" i="8"/>
  <c r="H797" i="8"/>
  <c r="F797" i="8"/>
  <c r="E797" i="8"/>
  <c r="D797" i="8"/>
  <c r="H800" i="8"/>
  <c r="C805" i="8"/>
  <c r="B805" i="8"/>
  <c r="A805" i="8"/>
  <c r="I805" i="8"/>
  <c r="H805" i="8"/>
  <c r="G805" i="8"/>
  <c r="F807" i="8"/>
  <c r="E807" i="8"/>
  <c r="D807" i="8"/>
  <c r="C807" i="8"/>
  <c r="B807" i="8"/>
  <c r="E824" i="8"/>
  <c r="C824" i="8"/>
  <c r="A824" i="8"/>
  <c r="I824" i="8"/>
  <c r="H824" i="8"/>
  <c r="G824" i="8"/>
  <c r="F824" i="8"/>
  <c r="B828" i="8"/>
  <c r="I828" i="8"/>
  <c r="G828" i="8"/>
  <c r="E828" i="8"/>
  <c r="H828" i="8"/>
  <c r="F828" i="8"/>
  <c r="D828" i="8"/>
  <c r="C828" i="8"/>
  <c r="A828" i="8"/>
  <c r="F730" i="8"/>
  <c r="E748" i="8"/>
  <c r="A751" i="8"/>
  <c r="I754" i="8"/>
  <c r="A754" i="8"/>
  <c r="A763" i="8"/>
  <c r="C766" i="8"/>
  <c r="H767" i="8"/>
  <c r="F767" i="8"/>
  <c r="B767" i="8"/>
  <c r="E769" i="8"/>
  <c r="E780" i="8"/>
  <c r="H781" i="8"/>
  <c r="D781" i="8"/>
  <c r="E783" i="8"/>
  <c r="D788" i="8"/>
  <c r="B798" i="8"/>
  <c r="E811" i="8"/>
  <c r="I708" i="8"/>
  <c r="A712" i="8"/>
  <c r="I720" i="8"/>
  <c r="A724" i="8"/>
  <c r="G730" i="8"/>
  <c r="A740" i="8"/>
  <c r="F748" i="8"/>
  <c r="D749" i="8"/>
  <c r="H749" i="8"/>
  <c r="B751" i="8"/>
  <c r="C763" i="8"/>
  <c r="G764" i="8"/>
  <c r="E764" i="8"/>
  <c r="C764" i="8"/>
  <c r="D766" i="8"/>
  <c r="F769" i="8"/>
  <c r="A771" i="8"/>
  <c r="H772" i="8"/>
  <c r="F780" i="8"/>
  <c r="B782" i="8"/>
  <c r="G783" i="8"/>
  <c r="A785" i="8"/>
  <c r="G788" i="8"/>
  <c r="G790" i="8"/>
  <c r="H790" i="8"/>
  <c r="E790" i="8"/>
  <c r="D790" i="8"/>
  <c r="C790" i="8"/>
  <c r="E800" i="8"/>
  <c r="F800" i="8"/>
  <c r="D800" i="8"/>
  <c r="C800" i="8"/>
  <c r="A800" i="8"/>
  <c r="F811" i="8"/>
  <c r="C841" i="8"/>
  <c r="I841" i="8"/>
  <c r="H841" i="8"/>
  <c r="G841" i="8"/>
  <c r="F841" i="8"/>
  <c r="E841" i="8"/>
  <c r="D841" i="8"/>
  <c r="B841" i="8"/>
  <c r="A841" i="8"/>
  <c r="B712" i="8"/>
  <c r="B724" i="8"/>
  <c r="H730" i="8"/>
  <c r="B740" i="8"/>
  <c r="H748" i="8"/>
  <c r="C751" i="8"/>
  <c r="F752" i="8"/>
  <c r="A755" i="8"/>
  <c r="A758" i="8"/>
  <c r="E758" i="8"/>
  <c r="E763" i="8"/>
  <c r="F766" i="8"/>
  <c r="G769" i="8"/>
  <c r="C771" i="8"/>
  <c r="F775" i="8"/>
  <c r="D775" i="8"/>
  <c r="B775" i="8"/>
  <c r="A779" i="8"/>
  <c r="C782" i="8"/>
  <c r="H783" i="8"/>
  <c r="C785" i="8"/>
  <c r="E786" i="8"/>
  <c r="C786" i="8"/>
  <c r="A786" i="8"/>
  <c r="I786" i="8"/>
  <c r="B791" i="8"/>
  <c r="H803" i="8"/>
  <c r="G803" i="8"/>
  <c r="E803" i="8"/>
  <c r="D803" i="8"/>
  <c r="C803" i="8"/>
  <c r="A808" i="8"/>
  <c r="H808" i="8"/>
  <c r="G808" i="8"/>
  <c r="F808" i="8"/>
  <c r="E808" i="8"/>
  <c r="D808" i="8"/>
  <c r="B808" i="8"/>
  <c r="C712" i="8"/>
  <c r="A722" i="8"/>
  <c r="C724" i="8"/>
  <c r="A739" i="8"/>
  <c r="C740" i="8"/>
  <c r="A750" i="8"/>
  <c r="D751" i="8"/>
  <c r="C755" i="8"/>
  <c r="G763" i="8"/>
  <c r="D771" i="8"/>
  <c r="C772" i="8"/>
  <c r="A772" i="8"/>
  <c r="G772" i="8"/>
  <c r="C779" i="8"/>
  <c r="I780" i="8"/>
  <c r="G780" i="8"/>
  <c r="C780" i="8"/>
  <c r="D782" i="8"/>
  <c r="E785" i="8"/>
  <c r="E788" i="8"/>
  <c r="H788" i="8"/>
  <c r="F788" i="8"/>
  <c r="C788" i="8"/>
  <c r="A788" i="8"/>
  <c r="C791" i="8"/>
  <c r="B804" i="8"/>
  <c r="D811" i="8"/>
  <c r="B811" i="8"/>
  <c r="C811" i="8"/>
  <c r="A811" i="8"/>
  <c r="I811" i="8"/>
  <c r="H811" i="8"/>
  <c r="F863" i="8"/>
  <c r="B863" i="8"/>
  <c r="I863" i="8"/>
  <c r="H863" i="8"/>
  <c r="G863" i="8"/>
  <c r="E863" i="8"/>
  <c r="D863" i="8"/>
  <c r="A863" i="8"/>
  <c r="C748" i="8"/>
  <c r="G748" i="8"/>
  <c r="E751" i="8"/>
  <c r="H763" i="8"/>
  <c r="I766" i="8"/>
  <c r="G766" i="8"/>
  <c r="E766" i="8"/>
  <c r="A766" i="8"/>
  <c r="H769" i="8"/>
  <c r="D769" i="8"/>
  <c r="E771" i="8"/>
  <c r="D779" i="8"/>
  <c r="F782" i="8"/>
  <c r="B783" i="8"/>
  <c r="F783" i="8"/>
  <c r="F785" i="8"/>
  <c r="D791" i="8"/>
  <c r="E796" i="8"/>
  <c r="C798" i="8"/>
  <c r="A798" i="8"/>
  <c r="H798" i="8"/>
  <c r="G798" i="8"/>
  <c r="F798" i="8"/>
  <c r="C804" i="8"/>
  <c r="I818" i="8"/>
  <c r="G818" i="8"/>
  <c r="E818" i="8"/>
  <c r="D818" i="8"/>
  <c r="C818" i="8"/>
  <c r="B818" i="8"/>
  <c r="A818" i="8"/>
  <c r="A745" i="8"/>
  <c r="C750" i="8"/>
  <c r="G751" i="8"/>
  <c r="B754" i="8"/>
  <c r="E755" i="8"/>
  <c r="G771" i="8"/>
  <c r="D776" i="8"/>
  <c r="E779" i="8"/>
  <c r="G782" i="8"/>
  <c r="G785" i="8"/>
  <c r="D789" i="8"/>
  <c r="B794" i="8"/>
  <c r="E799" i="8"/>
  <c r="D804" i="8"/>
  <c r="B809" i="8"/>
  <c r="I809" i="8"/>
  <c r="H809" i="8"/>
  <c r="G809" i="8"/>
  <c r="F809" i="8"/>
  <c r="D809" i="8"/>
  <c r="C809" i="8"/>
  <c r="A809" i="8"/>
  <c r="C848" i="8"/>
  <c r="H848" i="8"/>
  <c r="F848" i="8"/>
  <c r="E848" i="8"/>
  <c r="D848" i="8"/>
  <c r="B848" i="8"/>
  <c r="A848" i="8"/>
  <c r="I848" i="8"/>
  <c r="G848" i="8"/>
  <c r="B859" i="8"/>
  <c r="G859" i="8"/>
  <c r="E859" i="8"/>
  <c r="D859" i="8"/>
  <c r="C859" i="8"/>
  <c r="A859" i="8"/>
  <c r="I859" i="8"/>
  <c r="F859" i="8"/>
  <c r="F763" i="8"/>
  <c r="D763" i="8"/>
  <c r="B763" i="8"/>
  <c r="H782" i="8"/>
  <c r="I785" i="8"/>
  <c r="H791" i="8"/>
  <c r="A791" i="8"/>
  <c r="G791" i="8"/>
  <c r="F791" i="8"/>
  <c r="E791" i="8"/>
  <c r="A796" i="8"/>
  <c r="I796" i="8"/>
  <c r="H796" i="8"/>
  <c r="F796" i="8"/>
  <c r="D796" i="8"/>
  <c r="C796" i="8"/>
  <c r="B796" i="8"/>
  <c r="H804" i="8"/>
  <c r="H819" i="8"/>
  <c r="I819" i="8"/>
  <c r="G819" i="8"/>
  <c r="F819" i="8"/>
  <c r="E819" i="8"/>
  <c r="D819" i="8"/>
  <c r="C819" i="8"/>
  <c r="B819" i="8"/>
  <c r="A819" i="8"/>
  <c r="C822" i="8"/>
  <c r="A822" i="8"/>
  <c r="H822" i="8"/>
  <c r="G822" i="8"/>
  <c r="F822" i="8"/>
  <c r="E822" i="8"/>
  <c r="D822" i="8"/>
  <c r="B822" i="8"/>
  <c r="I793" i="8"/>
  <c r="I806" i="8"/>
  <c r="E810" i="8"/>
  <c r="H814" i="8"/>
  <c r="A816" i="8"/>
  <c r="E817" i="8"/>
  <c r="D820" i="8"/>
  <c r="G821" i="8"/>
  <c r="F825" i="8"/>
  <c r="D825" i="8"/>
  <c r="B825" i="8"/>
  <c r="A829" i="8"/>
  <c r="D830" i="8"/>
  <c r="A830" i="8"/>
  <c r="I830" i="8"/>
  <c r="G830" i="8"/>
  <c r="G832" i="8"/>
  <c r="G834" i="8"/>
  <c r="H836" i="8"/>
  <c r="B839" i="8"/>
  <c r="A849" i="8"/>
  <c r="G852" i="8"/>
  <c r="F852" i="8"/>
  <c r="D852" i="8"/>
  <c r="C852" i="8"/>
  <c r="A852" i="8"/>
  <c r="I852" i="8"/>
  <c r="C864" i="8"/>
  <c r="F810" i="8"/>
  <c r="B816" i="8"/>
  <c r="E820" i="8"/>
  <c r="H821" i="8"/>
  <c r="B829" i="8"/>
  <c r="B856" i="8"/>
  <c r="I856" i="8"/>
  <c r="H856" i="8"/>
  <c r="G856" i="8"/>
  <c r="F856" i="8"/>
  <c r="E856" i="8"/>
  <c r="D856" i="8"/>
  <c r="C860" i="8"/>
  <c r="I860" i="8"/>
  <c r="G860" i="8"/>
  <c r="F860" i="8"/>
  <c r="E860" i="8"/>
  <c r="D860" i="8"/>
  <c r="B860" i="8"/>
  <c r="A860" i="8"/>
  <c r="I913" i="8"/>
  <c r="H913" i="8"/>
  <c r="F913" i="8"/>
  <c r="E913" i="8"/>
  <c r="D913" i="8"/>
  <c r="C913" i="8"/>
  <c r="B913" i="8"/>
  <c r="A913" i="8"/>
  <c r="G913" i="8"/>
  <c r="G814" i="8"/>
  <c r="E814" i="8"/>
  <c r="C814" i="8"/>
  <c r="F832" i="8"/>
  <c r="C832" i="8"/>
  <c r="A832" i="8"/>
  <c r="I832" i="8"/>
  <c r="H834" i="8"/>
  <c r="E834" i="8"/>
  <c r="C834" i="8"/>
  <c r="B834" i="8"/>
  <c r="A834" i="8"/>
  <c r="G836" i="8"/>
  <c r="E836" i="8"/>
  <c r="D836" i="8"/>
  <c r="C836" i="8"/>
  <c r="A836" i="8"/>
  <c r="A839" i="8"/>
  <c r="H839" i="8"/>
  <c r="G839" i="8"/>
  <c r="F839" i="8"/>
  <c r="E839" i="8"/>
  <c r="D839" i="8"/>
  <c r="C839" i="8"/>
  <c r="D849" i="8"/>
  <c r="H849" i="8"/>
  <c r="G849" i="8"/>
  <c r="F849" i="8"/>
  <c r="E849" i="8"/>
  <c r="C849" i="8"/>
  <c r="B849" i="8"/>
  <c r="G864" i="8"/>
  <c r="D864" i="8"/>
  <c r="B864" i="8"/>
  <c r="A864" i="8"/>
  <c r="I864" i="8"/>
  <c r="H864" i="8"/>
  <c r="F864" i="8"/>
  <c r="I878" i="8"/>
  <c r="F878" i="8"/>
  <c r="E878" i="8"/>
  <c r="D878" i="8"/>
  <c r="H878" i="8"/>
  <c r="G878" i="8"/>
  <c r="C878" i="8"/>
  <c r="B878" i="8"/>
  <c r="A878" i="8"/>
  <c r="H817" i="8"/>
  <c r="F817" i="8"/>
  <c r="G820" i="8"/>
  <c r="E829" i="8"/>
  <c r="C831" i="8"/>
  <c r="C837" i="8"/>
  <c r="A840" i="8"/>
  <c r="E847" i="8"/>
  <c r="A850" i="8"/>
  <c r="H853" i="8"/>
  <c r="I853" i="8"/>
  <c r="F853" i="8"/>
  <c r="E853" i="8"/>
  <c r="C853" i="8"/>
  <c r="B853" i="8"/>
  <c r="A853" i="8"/>
  <c r="B857" i="8"/>
  <c r="D861" i="8"/>
  <c r="I861" i="8"/>
  <c r="H861" i="8"/>
  <c r="G861" i="8"/>
  <c r="F861" i="8"/>
  <c r="E861" i="8"/>
  <c r="C861" i="8"/>
  <c r="B861" i="8"/>
  <c r="A861" i="8"/>
  <c r="E865" i="8"/>
  <c r="B870" i="8"/>
  <c r="A793" i="8"/>
  <c r="A806" i="8"/>
  <c r="D831" i="8"/>
  <c r="C833" i="8"/>
  <c r="A835" i="8"/>
  <c r="C845" i="8"/>
  <c r="E874" i="8"/>
  <c r="B874" i="8"/>
  <c r="A874" i="8"/>
  <c r="I874" i="8"/>
  <c r="H874" i="8"/>
  <c r="G874" i="8"/>
  <c r="F874" i="8"/>
  <c r="D874" i="8"/>
  <c r="C874" i="8"/>
  <c r="C810" i="8"/>
  <c r="A810" i="8"/>
  <c r="A820" i="8"/>
  <c r="I820" i="8"/>
  <c r="B840" i="8"/>
  <c r="I840" i="8"/>
  <c r="H840" i="8"/>
  <c r="G840" i="8"/>
  <c r="F840" i="8"/>
  <c r="E840" i="8"/>
  <c r="D840" i="8"/>
  <c r="E850" i="8"/>
  <c r="B850" i="8"/>
  <c r="I850" i="8"/>
  <c r="H850" i="8"/>
  <c r="G850" i="8"/>
  <c r="F850" i="8"/>
  <c r="D850" i="8"/>
  <c r="C857" i="8"/>
  <c r="A857" i="8"/>
  <c r="I857" i="8"/>
  <c r="H857" i="8"/>
  <c r="G857" i="8"/>
  <c r="F857" i="8"/>
  <c r="E857" i="8"/>
  <c r="H865" i="8"/>
  <c r="F865" i="8"/>
  <c r="D865" i="8"/>
  <c r="C865" i="8"/>
  <c r="B865" i="8"/>
  <c r="A865" i="8"/>
  <c r="I865" i="8"/>
  <c r="A870" i="8"/>
  <c r="C870" i="8"/>
  <c r="I870" i="8"/>
  <c r="H870" i="8"/>
  <c r="G870" i="8"/>
  <c r="F870" i="8"/>
  <c r="E870" i="8"/>
  <c r="C793" i="8"/>
  <c r="C806" i="8"/>
  <c r="I816" i="8"/>
  <c r="G816" i="8"/>
  <c r="E816" i="8"/>
  <c r="C829" i="8"/>
  <c r="H829" i="8"/>
  <c r="F829" i="8"/>
  <c r="G831" i="8"/>
  <c r="F833" i="8"/>
  <c r="G835" i="8"/>
  <c r="H837" i="8"/>
  <c r="F837" i="8"/>
  <c r="E837" i="8"/>
  <c r="D837" i="8"/>
  <c r="B837" i="8"/>
  <c r="A837" i="8"/>
  <c r="F845" i="8"/>
  <c r="I847" i="8"/>
  <c r="F847" i="8"/>
  <c r="D847" i="8"/>
  <c r="C847" i="8"/>
  <c r="B847" i="8"/>
  <c r="A847" i="8"/>
  <c r="C851" i="8"/>
  <c r="I854" i="8"/>
  <c r="H854" i="8"/>
  <c r="G854" i="8"/>
  <c r="E854" i="8"/>
  <c r="D854" i="8"/>
  <c r="C854" i="8"/>
  <c r="B854" i="8"/>
  <c r="A854" i="8"/>
  <c r="D858" i="8"/>
  <c r="A821" i="8"/>
  <c r="C825" i="8"/>
  <c r="B830" i="8"/>
  <c r="H833" i="8"/>
  <c r="I866" i="8"/>
  <c r="H866" i="8"/>
  <c r="F866" i="8"/>
  <c r="E866" i="8"/>
  <c r="D866" i="8"/>
  <c r="C866" i="8"/>
  <c r="B866" i="8"/>
  <c r="A866" i="8"/>
  <c r="A814" i="8"/>
  <c r="A817" i="8"/>
  <c r="C821" i="8"/>
  <c r="E831" i="8"/>
  <c r="B831" i="8"/>
  <c r="H831" i="8"/>
  <c r="I835" i="8"/>
  <c r="F835" i="8"/>
  <c r="D835" i="8"/>
  <c r="C835" i="8"/>
  <c r="B835" i="8"/>
  <c r="G845" i="8"/>
  <c r="D845" i="8"/>
  <c r="B845" i="8"/>
  <c r="A845" i="8"/>
  <c r="I845" i="8"/>
  <c r="F851" i="8"/>
  <c r="D851" i="8"/>
  <c r="B851" i="8"/>
  <c r="A851" i="8"/>
  <c r="I851" i="8"/>
  <c r="H851" i="8"/>
  <c r="G851" i="8"/>
  <c r="A858" i="8"/>
  <c r="E858" i="8"/>
  <c r="C858" i="8"/>
  <c r="B858" i="8"/>
  <c r="I858" i="8"/>
  <c r="H858" i="8"/>
  <c r="G858" i="8"/>
  <c r="G887" i="8"/>
  <c r="F887" i="8"/>
  <c r="D887" i="8"/>
  <c r="C887" i="8"/>
  <c r="B887" i="8"/>
  <c r="A887" i="8"/>
  <c r="H887" i="8"/>
  <c r="E887" i="8"/>
  <c r="I902" i="8"/>
  <c r="G902" i="8"/>
  <c r="F902" i="8"/>
  <c r="E902" i="8"/>
  <c r="D902" i="8"/>
  <c r="C902" i="8"/>
  <c r="B902" i="8"/>
  <c r="H902" i="8"/>
  <c r="A902" i="8"/>
  <c r="B832" i="8"/>
  <c r="G833" i="8"/>
  <c r="D833" i="8"/>
  <c r="B833" i="8"/>
  <c r="A833" i="8"/>
  <c r="E843" i="8"/>
  <c r="B843" i="8"/>
  <c r="I843" i="8"/>
  <c r="H843" i="8"/>
  <c r="G843" i="8"/>
  <c r="B852" i="8"/>
  <c r="G876" i="8"/>
  <c r="D876" i="8"/>
  <c r="C876" i="8"/>
  <c r="B876" i="8"/>
  <c r="I876" i="8"/>
  <c r="H876" i="8"/>
  <c r="F876" i="8"/>
  <c r="E876" i="8"/>
  <c r="A876" i="8"/>
  <c r="A881" i="8"/>
  <c r="I881" i="8"/>
  <c r="H881" i="8"/>
  <c r="G881" i="8"/>
  <c r="F881" i="8"/>
  <c r="E881" i="8"/>
  <c r="D881" i="8"/>
  <c r="C881" i="8"/>
  <c r="B881" i="8"/>
  <c r="H888" i="8"/>
  <c r="G888" i="8"/>
  <c r="E888" i="8"/>
  <c r="D888" i="8"/>
  <c r="C888" i="8"/>
  <c r="B888" i="8"/>
  <c r="I888" i="8"/>
  <c r="F888" i="8"/>
  <c r="A888" i="8"/>
  <c r="F842" i="8"/>
  <c r="H844" i="8"/>
  <c r="B855" i="8"/>
  <c r="B862" i="8"/>
  <c r="B868" i="8"/>
  <c r="C869" i="8"/>
  <c r="G871" i="8"/>
  <c r="I872" i="8"/>
  <c r="F877" i="8"/>
  <c r="A879" i="8"/>
  <c r="E882" i="8"/>
  <c r="C892" i="8"/>
  <c r="H898" i="8"/>
  <c r="G898" i="8"/>
  <c r="F898" i="8"/>
  <c r="E898" i="8"/>
  <c r="C898" i="8"/>
  <c r="B898" i="8"/>
  <c r="A898" i="8"/>
  <c r="D918" i="8"/>
  <c r="C918" i="8"/>
  <c r="B918" i="8"/>
  <c r="A918" i="8"/>
  <c r="I918" i="8"/>
  <c r="H918" i="8"/>
  <c r="G918" i="8"/>
  <c r="F918" i="8"/>
  <c r="C979" i="8"/>
  <c r="B979" i="8"/>
  <c r="A979" i="8"/>
  <c r="I979" i="8"/>
  <c r="H979" i="8"/>
  <c r="G979" i="8"/>
  <c r="F979" i="8"/>
  <c r="E979" i="8"/>
  <c r="D979" i="8"/>
  <c r="G842" i="8"/>
  <c r="I844" i="8"/>
  <c r="C855" i="8"/>
  <c r="C862" i="8"/>
  <c r="C868" i="8"/>
  <c r="D869" i="8"/>
  <c r="F875" i="8"/>
  <c r="C875" i="8"/>
  <c r="B875" i="8"/>
  <c r="A875" i="8"/>
  <c r="B879" i="8"/>
  <c r="H880" i="8"/>
  <c r="G880" i="8"/>
  <c r="F880" i="8"/>
  <c r="B884" i="8"/>
  <c r="E885" i="8"/>
  <c r="D885" i="8"/>
  <c r="B885" i="8"/>
  <c r="A885" i="8"/>
  <c r="D892" i="8"/>
  <c r="D855" i="8"/>
  <c r="D862" i="8"/>
  <c r="D868" i="8"/>
  <c r="E869" i="8"/>
  <c r="I871" i="8"/>
  <c r="C879" i="8"/>
  <c r="E884" i="8"/>
  <c r="C894" i="8"/>
  <c r="B894" i="8"/>
  <c r="A894" i="8"/>
  <c r="I894" i="8"/>
  <c r="H894" i="8"/>
  <c r="A903" i="8"/>
  <c r="H903" i="8"/>
  <c r="G903" i="8"/>
  <c r="F903" i="8"/>
  <c r="E903" i="8"/>
  <c r="D903" i="8"/>
  <c r="C903" i="8"/>
  <c r="I914" i="8"/>
  <c r="G914" i="8"/>
  <c r="F914" i="8"/>
  <c r="E914" i="8"/>
  <c r="D914" i="8"/>
  <c r="C914" i="8"/>
  <c r="B914" i="8"/>
  <c r="G929" i="8"/>
  <c r="I929" i="8"/>
  <c r="H929" i="8"/>
  <c r="F929" i="8"/>
  <c r="E929" i="8"/>
  <c r="D929" i="8"/>
  <c r="C929" i="8"/>
  <c r="B929" i="8"/>
  <c r="A929" i="8"/>
  <c r="I973" i="8"/>
  <c r="H973" i="8"/>
  <c r="G973" i="8"/>
  <c r="F973" i="8"/>
  <c r="E973" i="8"/>
  <c r="D973" i="8"/>
  <c r="C973" i="8"/>
  <c r="B973" i="8"/>
  <c r="A973" i="8"/>
  <c r="I997" i="8"/>
  <c r="H997" i="8"/>
  <c r="G997" i="8"/>
  <c r="F997" i="8"/>
  <c r="E997" i="8"/>
  <c r="D997" i="8"/>
  <c r="C997" i="8"/>
  <c r="B997" i="8"/>
  <c r="A997" i="8"/>
  <c r="I842" i="8"/>
  <c r="A846" i="8"/>
  <c r="E855" i="8"/>
  <c r="F862" i="8"/>
  <c r="E868" i="8"/>
  <c r="F869" i="8"/>
  <c r="H877" i="8"/>
  <c r="E877" i="8"/>
  <c r="D877" i="8"/>
  <c r="C877" i="8"/>
  <c r="D879" i="8"/>
  <c r="B882" i="8"/>
  <c r="A882" i="8"/>
  <c r="I882" i="8"/>
  <c r="H882" i="8"/>
  <c r="F884" i="8"/>
  <c r="D886" i="8"/>
  <c r="A892" i="8"/>
  <c r="I892" i="8"/>
  <c r="H892" i="8"/>
  <c r="G892" i="8"/>
  <c r="F892" i="8"/>
  <c r="I899" i="8"/>
  <c r="H899" i="8"/>
  <c r="G899" i="8"/>
  <c r="F899" i="8"/>
  <c r="D899" i="8"/>
  <c r="C899" i="8"/>
  <c r="B899" i="8"/>
  <c r="A899" i="8"/>
  <c r="I974" i="8"/>
  <c r="H974" i="8"/>
  <c r="G974" i="8"/>
  <c r="F974" i="8"/>
  <c r="E974" i="8"/>
  <c r="D974" i="8"/>
  <c r="C974" i="8"/>
  <c r="B974" i="8"/>
  <c r="A974" i="8"/>
  <c r="I985" i="8"/>
  <c r="H985" i="8"/>
  <c r="G985" i="8"/>
  <c r="F985" i="8"/>
  <c r="E985" i="8"/>
  <c r="D985" i="8"/>
  <c r="C985" i="8"/>
  <c r="B985" i="8"/>
  <c r="A985" i="8"/>
  <c r="B846" i="8"/>
  <c r="F855" i="8"/>
  <c r="G862" i="8"/>
  <c r="F868" i="8"/>
  <c r="G869" i="8"/>
  <c r="H879" i="8"/>
  <c r="G884" i="8"/>
  <c r="G886" i="8"/>
  <c r="I890" i="8"/>
  <c r="G890" i="8"/>
  <c r="F890" i="8"/>
  <c r="E890" i="8"/>
  <c r="D890" i="8"/>
  <c r="F896" i="8"/>
  <c r="E896" i="8"/>
  <c r="D896" i="8"/>
  <c r="C896" i="8"/>
  <c r="A896" i="8"/>
  <c r="B904" i="8"/>
  <c r="A904" i="8"/>
  <c r="I904" i="8"/>
  <c r="H904" i="8"/>
  <c r="G904" i="8"/>
  <c r="F904" i="8"/>
  <c r="E904" i="8"/>
  <c r="D904" i="8"/>
  <c r="H910" i="8"/>
  <c r="G910" i="8"/>
  <c r="F910" i="8"/>
  <c r="E910" i="8"/>
  <c r="C910" i="8"/>
  <c r="B910" i="8"/>
  <c r="A910" i="8"/>
  <c r="H922" i="8"/>
  <c r="G922" i="8"/>
  <c r="F922" i="8"/>
  <c r="E922" i="8"/>
  <c r="D922" i="8"/>
  <c r="C922" i="8"/>
  <c r="B922" i="8"/>
  <c r="A922" i="8"/>
  <c r="A930" i="8"/>
  <c r="H930" i="8"/>
  <c r="I930" i="8"/>
  <c r="G930" i="8"/>
  <c r="F930" i="8"/>
  <c r="E930" i="8"/>
  <c r="D930" i="8"/>
  <c r="C930" i="8"/>
  <c r="B930" i="8"/>
  <c r="A844" i="8"/>
  <c r="C846" i="8"/>
  <c r="G855" i="8"/>
  <c r="H862" i="8"/>
  <c r="H869" i="8"/>
  <c r="A872" i="8"/>
  <c r="C893" i="8"/>
  <c r="A915" i="8"/>
  <c r="H915" i="8"/>
  <c r="G915" i="8"/>
  <c r="F915" i="8"/>
  <c r="E915" i="8"/>
  <c r="D915" i="8"/>
  <c r="C915" i="8"/>
  <c r="I923" i="8"/>
  <c r="H923" i="8"/>
  <c r="G923" i="8"/>
  <c r="F923" i="8"/>
  <c r="E923" i="8"/>
  <c r="D923" i="8"/>
  <c r="C923" i="8"/>
  <c r="B923" i="8"/>
  <c r="A923" i="8"/>
  <c r="G879" i="8"/>
  <c r="F879" i="8"/>
  <c r="E879" i="8"/>
  <c r="D893" i="8"/>
  <c r="I900" i="8"/>
  <c r="H900" i="8"/>
  <c r="G900" i="8"/>
  <c r="E900" i="8"/>
  <c r="D900" i="8"/>
  <c r="C900" i="8"/>
  <c r="B900" i="8"/>
  <c r="A900" i="8"/>
  <c r="I911" i="8"/>
  <c r="H911" i="8"/>
  <c r="G911" i="8"/>
  <c r="F911" i="8"/>
  <c r="D911" i="8"/>
  <c r="C911" i="8"/>
  <c r="B911" i="8"/>
  <c r="A911" i="8"/>
  <c r="B931" i="8"/>
  <c r="I931" i="8"/>
  <c r="A931" i="8"/>
  <c r="H931" i="8"/>
  <c r="G931" i="8"/>
  <c r="F931" i="8"/>
  <c r="E931" i="8"/>
  <c r="D931" i="8"/>
  <c r="E934" i="8"/>
  <c r="I934" i="8"/>
  <c r="H934" i="8"/>
  <c r="G934" i="8"/>
  <c r="F934" i="8"/>
  <c r="D934" i="8"/>
  <c r="C934" i="8"/>
  <c r="B934" i="8"/>
  <c r="A934" i="8"/>
  <c r="C943" i="8"/>
  <c r="B943" i="8"/>
  <c r="A943" i="8"/>
  <c r="I943" i="8"/>
  <c r="F943" i="8"/>
  <c r="H943" i="8"/>
  <c r="G943" i="8"/>
  <c r="E943" i="8"/>
  <c r="D943" i="8"/>
  <c r="I961" i="8"/>
  <c r="H961" i="8"/>
  <c r="G961" i="8"/>
  <c r="F961" i="8"/>
  <c r="E961" i="8"/>
  <c r="D961" i="8"/>
  <c r="C961" i="8"/>
  <c r="B961" i="8"/>
  <c r="A961" i="8"/>
  <c r="A842" i="8"/>
  <c r="C844" i="8"/>
  <c r="E846" i="8"/>
  <c r="D884" i="8"/>
  <c r="C884" i="8"/>
  <c r="A884" i="8"/>
  <c r="F886" i="8"/>
  <c r="E886" i="8"/>
  <c r="C886" i="8"/>
  <c r="B886" i="8"/>
  <c r="A886" i="8"/>
  <c r="E893" i="8"/>
  <c r="C905" i="8"/>
  <c r="B905" i="8"/>
  <c r="A905" i="8"/>
  <c r="I905" i="8"/>
  <c r="H905" i="8"/>
  <c r="G905" i="8"/>
  <c r="F905" i="8"/>
  <c r="E905" i="8"/>
  <c r="B908" i="8"/>
  <c r="B916" i="8"/>
  <c r="A916" i="8"/>
  <c r="I916" i="8"/>
  <c r="H916" i="8"/>
  <c r="G916" i="8"/>
  <c r="F916" i="8"/>
  <c r="E916" i="8"/>
  <c r="D916" i="8"/>
  <c r="B924" i="8"/>
  <c r="I924" i="8"/>
  <c r="H924" i="8"/>
  <c r="G924" i="8"/>
  <c r="F924" i="8"/>
  <c r="E924" i="8"/>
  <c r="D924" i="8"/>
  <c r="C924" i="8"/>
  <c r="A924" i="8"/>
  <c r="F935" i="8"/>
  <c r="A935" i="8"/>
  <c r="I935" i="8"/>
  <c r="H935" i="8"/>
  <c r="G935" i="8"/>
  <c r="E935" i="8"/>
  <c r="D935" i="8"/>
  <c r="C935" i="8"/>
  <c r="B935" i="8"/>
  <c r="E872" i="8"/>
  <c r="D875" i="8"/>
  <c r="B880" i="8"/>
  <c r="C885" i="8"/>
  <c r="G897" i="8"/>
  <c r="F897" i="8"/>
  <c r="E897" i="8"/>
  <c r="D897" i="8"/>
  <c r="B897" i="8"/>
  <c r="A897" i="8"/>
  <c r="I901" i="8"/>
  <c r="H901" i="8"/>
  <c r="F901" i="8"/>
  <c r="E901" i="8"/>
  <c r="D901" i="8"/>
  <c r="C901" i="8"/>
  <c r="B901" i="8"/>
  <c r="A901" i="8"/>
  <c r="H948" i="8"/>
  <c r="G948" i="8"/>
  <c r="F948" i="8"/>
  <c r="E948" i="8"/>
  <c r="C948" i="8"/>
  <c r="B948" i="8"/>
  <c r="A948" i="8"/>
  <c r="I948" i="8"/>
  <c r="D948" i="8"/>
  <c r="I963" i="8"/>
  <c r="H963" i="8"/>
  <c r="G963" i="8"/>
  <c r="F963" i="8"/>
  <c r="E963" i="8"/>
  <c r="D963" i="8"/>
  <c r="C963" i="8"/>
  <c r="B963" i="8"/>
  <c r="A963" i="8"/>
  <c r="B893" i="8"/>
  <c r="A893" i="8"/>
  <c r="I893" i="8"/>
  <c r="H893" i="8"/>
  <c r="G893" i="8"/>
  <c r="D906" i="8"/>
  <c r="C906" i="8"/>
  <c r="B906" i="8"/>
  <c r="A906" i="8"/>
  <c r="I906" i="8"/>
  <c r="H906" i="8"/>
  <c r="G906" i="8"/>
  <c r="F906" i="8"/>
  <c r="F908" i="8"/>
  <c r="E908" i="8"/>
  <c r="D908" i="8"/>
  <c r="C908" i="8"/>
  <c r="A908" i="8"/>
  <c r="I908" i="8"/>
  <c r="H908" i="8"/>
  <c r="I912" i="8"/>
  <c r="H912" i="8"/>
  <c r="G912" i="8"/>
  <c r="E912" i="8"/>
  <c r="D912" i="8"/>
  <c r="C912" i="8"/>
  <c r="B912" i="8"/>
  <c r="A912" i="8"/>
  <c r="C925" i="8"/>
  <c r="I925" i="8"/>
  <c r="H925" i="8"/>
  <c r="G925" i="8"/>
  <c r="F925" i="8"/>
  <c r="E925" i="8"/>
  <c r="D925" i="8"/>
  <c r="B925" i="8"/>
  <c r="I938" i="8"/>
  <c r="D938" i="8"/>
  <c r="A938" i="8"/>
  <c r="H938" i="8"/>
  <c r="G938" i="8"/>
  <c r="F938" i="8"/>
  <c r="E938" i="8"/>
  <c r="C938" i="8"/>
  <c r="B938" i="8"/>
  <c r="E871" i="8"/>
  <c r="G872" i="8"/>
  <c r="D873" i="8"/>
  <c r="A873" i="8"/>
  <c r="G875" i="8"/>
  <c r="A877" i="8"/>
  <c r="D880" i="8"/>
  <c r="C882" i="8"/>
  <c r="G885" i="8"/>
  <c r="H891" i="8"/>
  <c r="G891" i="8"/>
  <c r="F891" i="8"/>
  <c r="E891" i="8"/>
  <c r="D894" i="8"/>
  <c r="D898" i="8"/>
  <c r="C917" i="8"/>
  <c r="B917" i="8"/>
  <c r="A917" i="8"/>
  <c r="I917" i="8"/>
  <c r="H917" i="8"/>
  <c r="G917" i="8"/>
  <c r="F917" i="8"/>
  <c r="E917" i="8"/>
  <c r="F920" i="8"/>
  <c r="E920" i="8"/>
  <c r="D920" i="8"/>
  <c r="C920" i="8"/>
  <c r="B920" i="8"/>
  <c r="A920" i="8"/>
  <c r="I920" i="8"/>
  <c r="H920" i="8"/>
  <c r="I949" i="8"/>
  <c r="H949" i="8"/>
  <c r="G949" i="8"/>
  <c r="F949" i="8"/>
  <c r="D949" i="8"/>
  <c r="C949" i="8"/>
  <c r="B949" i="8"/>
  <c r="A949" i="8"/>
  <c r="E949" i="8"/>
  <c r="I909" i="8"/>
  <c r="I921" i="8"/>
  <c r="C939" i="8"/>
  <c r="F958" i="8"/>
  <c r="E958" i="8"/>
  <c r="D958" i="8"/>
  <c r="C958" i="8"/>
  <c r="B958" i="8"/>
  <c r="A958" i="8"/>
  <c r="I958" i="8"/>
  <c r="G983" i="8"/>
  <c r="F983" i="8"/>
  <c r="E983" i="8"/>
  <c r="D983" i="8"/>
  <c r="C983" i="8"/>
  <c r="B983" i="8"/>
  <c r="A983" i="8"/>
  <c r="I999" i="8"/>
  <c r="H999" i="8"/>
  <c r="G999" i="8"/>
  <c r="F999" i="8"/>
  <c r="E999" i="8"/>
  <c r="D999" i="8"/>
  <c r="C999" i="8"/>
  <c r="B999" i="8"/>
  <c r="F28" i="9"/>
  <c r="E28" i="9"/>
  <c r="D28" i="9"/>
  <c r="C28" i="9"/>
  <c r="B28" i="9"/>
  <c r="A28" i="9"/>
  <c r="I28" i="9"/>
  <c r="G28" i="9"/>
  <c r="H28" i="9"/>
  <c r="H937" i="8"/>
  <c r="C937" i="8"/>
  <c r="I975" i="8"/>
  <c r="H975" i="8"/>
  <c r="G975" i="8"/>
  <c r="F975" i="8"/>
  <c r="E975" i="8"/>
  <c r="D975" i="8"/>
  <c r="C975" i="8"/>
  <c r="B975" i="8"/>
  <c r="F994" i="8"/>
  <c r="E994" i="8"/>
  <c r="D994" i="8"/>
  <c r="C994" i="8"/>
  <c r="B994" i="8"/>
  <c r="A994" i="8"/>
  <c r="I994" i="8"/>
  <c r="D1005" i="8"/>
  <c r="F1005" i="8"/>
  <c r="E1005" i="8"/>
  <c r="C1005" i="8"/>
  <c r="B1005" i="8"/>
  <c r="A1005" i="8"/>
  <c r="I1005" i="8"/>
  <c r="A13" i="9"/>
  <c r="I13" i="9"/>
  <c r="H13" i="9"/>
  <c r="G13" i="9"/>
  <c r="F13" i="9"/>
  <c r="E13" i="9"/>
  <c r="D13" i="9"/>
  <c r="C13" i="9"/>
  <c r="B13" i="9"/>
  <c r="G19" i="9"/>
  <c r="F19" i="9"/>
  <c r="E19" i="9"/>
  <c r="D19" i="9"/>
  <c r="C19" i="9"/>
  <c r="A19" i="9"/>
  <c r="I19" i="9"/>
  <c r="H19" i="9"/>
  <c r="B19" i="9"/>
  <c r="I883" i="8"/>
  <c r="I895" i="8"/>
  <c r="I907" i="8"/>
  <c r="I919" i="8"/>
  <c r="I927" i="8"/>
  <c r="I932" i="8"/>
  <c r="F939" i="8"/>
  <c r="F940" i="8"/>
  <c r="C940" i="8"/>
  <c r="F942" i="8"/>
  <c r="F944" i="8"/>
  <c r="C955" i="8"/>
  <c r="B955" i="8"/>
  <c r="A955" i="8"/>
  <c r="I955" i="8"/>
  <c r="H955" i="8"/>
  <c r="G955" i="8"/>
  <c r="F955" i="8"/>
  <c r="F970" i="8"/>
  <c r="E970" i="8"/>
  <c r="D970" i="8"/>
  <c r="C970" i="8"/>
  <c r="B970" i="8"/>
  <c r="A970" i="8"/>
  <c r="I970" i="8"/>
  <c r="D980" i="8"/>
  <c r="C980" i="8"/>
  <c r="B980" i="8"/>
  <c r="A980" i="8"/>
  <c r="I980" i="8"/>
  <c r="H980" i="8"/>
  <c r="G980" i="8"/>
  <c r="H984" i="8"/>
  <c r="G984" i="8"/>
  <c r="F984" i="8"/>
  <c r="E984" i="8"/>
  <c r="D984" i="8"/>
  <c r="C984" i="8"/>
  <c r="B984" i="8"/>
  <c r="A984" i="8"/>
  <c r="G939" i="8"/>
  <c r="G942" i="8"/>
  <c r="H944" i="8"/>
  <c r="F946" i="8"/>
  <c r="E946" i="8"/>
  <c r="D946" i="8"/>
  <c r="C946" i="8"/>
  <c r="A946" i="8"/>
  <c r="I946" i="8"/>
  <c r="E956" i="8"/>
  <c r="G959" i="8"/>
  <c r="F959" i="8"/>
  <c r="E959" i="8"/>
  <c r="D959" i="8"/>
  <c r="C959" i="8"/>
  <c r="B959" i="8"/>
  <c r="A959" i="8"/>
  <c r="H971" i="8"/>
  <c r="C991" i="8"/>
  <c r="B991" i="8"/>
  <c r="A991" i="8"/>
  <c r="I991" i="8"/>
  <c r="H991" i="8"/>
  <c r="G991" i="8"/>
  <c r="F991" i="8"/>
  <c r="E1006" i="8"/>
  <c r="H1006" i="8"/>
  <c r="G1006" i="8"/>
  <c r="F1006" i="8"/>
  <c r="D1006" i="8"/>
  <c r="C1006" i="8"/>
  <c r="B1006" i="8"/>
  <c r="A1006" i="8"/>
  <c r="H10" i="9"/>
  <c r="B10" i="9"/>
  <c r="A10" i="9"/>
  <c r="I10" i="9"/>
  <c r="G10" i="9"/>
  <c r="F10" i="9"/>
  <c r="E10" i="9"/>
  <c r="D10" i="9"/>
  <c r="A909" i="8"/>
  <c r="A921" i="8"/>
  <c r="A933" i="8"/>
  <c r="G936" i="8"/>
  <c r="B936" i="8"/>
  <c r="H939" i="8"/>
  <c r="B941" i="8"/>
  <c r="C967" i="8"/>
  <c r="B967" i="8"/>
  <c r="A967" i="8"/>
  <c r="I967" i="8"/>
  <c r="H967" i="8"/>
  <c r="G967" i="8"/>
  <c r="F967" i="8"/>
  <c r="E992" i="8"/>
  <c r="G995" i="8"/>
  <c r="F995" i="8"/>
  <c r="E995" i="8"/>
  <c r="D995" i="8"/>
  <c r="C995" i="8"/>
  <c r="B995" i="8"/>
  <c r="A995" i="8"/>
  <c r="D62" i="9"/>
  <c r="C62" i="9"/>
  <c r="B62" i="9"/>
  <c r="A62" i="9"/>
  <c r="H62" i="9"/>
  <c r="G62" i="9"/>
  <c r="F62" i="9"/>
  <c r="E62" i="9"/>
  <c r="I62" i="9"/>
  <c r="B909" i="8"/>
  <c r="B921" i="8"/>
  <c r="A928" i="8"/>
  <c r="B933" i="8"/>
  <c r="B942" i="8"/>
  <c r="A942" i="8"/>
  <c r="H942" i="8"/>
  <c r="E942" i="8"/>
  <c r="D944" i="8"/>
  <c r="C944" i="8"/>
  <c r="B944" i="8"/>
  <c r="A944" i="8"/>
  <c r="G944" i="8"/>
  <c r="I950" i="8"/>
  <c r="H950" i="8"/>
  <c r="G950" i="8"/>
  <c r="E950" i="8"/>
  <c r="D950" i="8"/>
  <c r="C950" i="8"/>
  <c r="B950" i="8"/>
  <c r="A950" i="8"/>
  <c r="D956" i="8"/>
  <c r="C956" i="8"/>
  <c r="B956" i="8"/>
  <c r="A956" i="8"/>
  <c r="I956" i="8"/>
  <c r="H956" i="8"/>
  <c r="G956" i="8"/>
  <c r="H960" i="8"/>
  <c r="G960" i="8"/>
  <c r="F960" i="8"/>
  <c r="E960" i="8"/>
  <c r="D960" i="8"/>
  <c r="C960" i="8"/>
  <c r="B960" i="8"/>
  <c r="A960" i="8"/>
  <c r="G971" i="8"/>
  <c r="F971" i="8"/>
  <c r="E971" i="8"/>
  <c r="D971" i="8"/>
  <c r="C971" i="8"/>
  <c r="B971" i="8"/>
  <c r="A971" i="8"/>
  <c r="D1003" i="8"/>
  <c r="D16" i="9"/>
  <c r="C16" i="9"/>
  <c r="B16" i="9"/>
  <c r="A16" i="9"/>
  <c r="I16" i="9"/>
  <c r="H16" i="9"/>
  <c r="G16" i="9"/>
  <c r="F16" i="9"/>
  <c r="E16" i="9"/>
  <c r="A937" i="8"/>
  <c r="E939" i="8"/>
  <c r="B939" i="8"/>
  <c r="I986" i="8"/>
  <c r="H986" i="8"/>
  <c r="G986" i="8"/>
  <c r="F986" i="8"/>
  <c r="E986" i="8"/>
  <c r="D986" i="8"/>
  <c r="C986" i="8"/>
  <c r="B986" i="8"/>
  <c r="A986" i="8"/>
  <c r="D992" i="8"/>
  <c r="C992" i="8"/>
  <c r="B992" i="8"/>
  <c r="A992" i="8"/>
  <c r="I992" i="8"/>
  <c r="H992" i="8"/>
  <c r="G992" i="8"/>
  <c r="H996" i="8"/>
  <c r="G996" i="8"/>
  <c r="F996" i="8"/>
  <c r="E996" i="8"/>
  <c r="D996" i="8"/>
  <c r="C996" i="8"/>
  <c r="B996" i="8"/>
  <c r="A996" i="8"/>
  <c r="E7" i="9"/>
  <c r="I7" i="9"/>
  <c r="H7" i="9"/>
  <c r="G7" i="9"/>
  <c r="F7" i="9"/>
  <c r="D7" i="9"/>
  <c r="C7" i="9"/>
  <c r="B7" i="9"/>
  <c r="A7" i="9"/>
  <c r="D909" i="8"/>
  <c r="B919" i="8"/>
  <c r="D921" i="8"/>
  <c r="A927" i="8"/>
  <c r="C928" i="8"/>
  <c r="A932" i="8"/>
  <c r="E933" i="8"/>
  <c r="B937" i="8"/>
  <c r="F941" i="8"/>
  <c r="F945" i="8"/>
  <c r="A953" i="8"/>
  <c r="H953" i="8"/>
  <c r="G953" i="8"/>
  <c r="F953" i="8"/>
  <c r="E953" i="8"/>
  <c r="D953" i="8"/>
  <c r="B965" i="8"/>
  <c r="D968" i="8"/>
  <c r="C968" i="8"/>
  <c r="B968" i="8"/>
  <c r="A968" i="8"/>
  <c r="I968" i="8"/>
  <c r="H968" i="8"/>
  <c r="G968" i="8"/>
  <c r="H972" i="8"/>
  <c r="G972" i="8"/>
  <c r="F972" i="8"/>
  <c r="E972" i="8"/>
  <c r="D972" i="8"/>
  <c r="C972" i="8"/>
  <c r="B972" i="8"/>
  <c r="A972" i="8"/>
  <c r="G982" i="8"/>
  <c r="C1003" i="8"/>
  <c r="B1003" i="8"/>
  <c r="A1003" i="8"/>
  <c r="I1003" i="8"/>
  <c r="H1003" i="8"/>
  <c r="G1003" i="8"/>
  <c r="F1003" i="8"/>
  <c r="E909" i="8"/>
  <c r="E921" i="8"/>
  <c r="D928" i="8"/>
  <c r="F933" i="8"/>
  <c r="D937" i="8"/>
  <c r="H941" i="8"/>
  <c r="G945" i="8"/>
  <c r="G947" i="8"/>
  <c r="F947" i="8"/>
  <c r="E947" i="8"/>
  <c r="D947" i="8"/>
  <c r="B947" i="8"/>
  <c r="A947" i="8"/>
  <c r="I951" i="8"/>
  <c r="H951" i="8"/>
  <c r="F951" i="8"/>
  <c r="E951" i="8"/>
  <c r="D951" i="8"/>
  <c r="C951" i="8"/>
  <c r="B951" i="8"/>
  <c r="C954" i="8"/>
  <c r="I987" i="8"/>
  <c r="H987" i="8"/>
  <c r="G987" i="8"/>
  <c r="F987" i="8"/>
  <c r="E987" i="8"/>
  <c r="D987" i="8"/>
  <c r="C987" i="8"/>
  <c r="B987" i="8"/>
  <c r="E1004" i="8"/>
  <c r="F8" i="9"/>
  <c r="I8" i="9"/>
  <c r="H8" i="9"/>
  <c r="G8" i="9"/>
  <c r="E8" i="9"/>
  <c r="D8" i="9"/>
  <c r="C8" i="9"/>
  <c r="B8" i="9"/>
  <c r="A8" i="9"/>
  <c r="I44" i="9"/>
  <c r="H44" i="9"/>
  <c r="G44" i="9"/>
  <c r="F44" i="9"/>
  <c r="E44" i="9"/>
  <c r="D44" i="9"/>
  <c r="B44" i="9"/>
  <c r="A44" i="9"/>
  <c r="C44" i="9"/>
  <c r="F909" i="8"/>
  <c r="F921" i="8"/>
  <c r="E928" i="8"/>
  <c r="D932" i="8"/>
  <c r="G933" i="8"/>
  <c r="E937" i="8"/>
  <c r="I962" i="8"/>
  <c r="H962" i="8"/>
  <c r="G962" i="8"/>
  <c r="F962" i="8"/>
  <c r="E962" i="8"/>
  <c r="D962" i="8"/>
  <c r="C962" i="8"/>
  <c r="B962" i="8"/>
  <c r="A962" i="8"/>
  <c r="A965" i="8"/>
  <c r="I965" i="8"/>
  <c r="H965" i="8"/>
  <c r="G965" i="8"/>
  <c r="F965" i="8"/>
  <c r="E965" i="8"/>
  <c r="D965" i="8"/>
  <c r="F982" i="8"/>
  <c r="E982" i="8"/>
  <c r="D982" i="8"/>
  <c r="C982" i="8"/>
  <c r="B982" i="8"/>
  <c r="A982" i="8"/>
  <c r="I982" i="8"/>
  <c r="A941" i="8"/>
  <c r="G941" i="8"/>
  <c r="D941" i="8"/>
  <c r="E945" i="8"/>
  <c r="D945" i="8"/>
  <c r="C945" i="8"/>
  <c r="B945" i="8"/>
  <c r="H945" i="8"/>
  <c r="B954" i="8"/>
  <c r="A954" i="8"/>
  <c r="I954" i="8"/>
  <c r="H954" i="8"/>
  <c r="G954" i="8"/>
  <c r="F954" i="8"/>
  <c r="E954" i="8"/>
  <c r="I998" i="8"/>
  <c r="H998" i="8"/>
  <c r="G998" i="8"/>
  <c r="F998" i="8"/>
  <c r="E998" i="8"/>
  <c r="D998" i="8"/>
  <c r="C998" i="8"/>
  <c r="B998" i="8"/>
  <c r="A998" i="8"/>
  <c r="D1004" i="8"/>
  <c r="C1004" i="8"/>
  <c r="B1004" i="8"/>
  <c r="A1004" i="8"/>
  <c r="I1004" i="8"/>
  <c r="H1004" i="8"/>
  <c r="G1004" i="8"/>
  <c r="I21" i="9"/>
  <c r="H21" i="9"/>
  <c r="G21" i="9"/>
  <c r="F21" i="9"/>
  <c r="E21" i="9"/>
  <c r="C21" i="9"/>
  <c r="B21" i="9"/>
  <c r="D38" i="9"/>
  <c r="C38" i="9"/>
  <c r="B38" i="9"/>
  <c r="A38" i="9"/>
  <c r="H38" i="9"/>
  <c r="G38" i="9"/>
  <c r="F38" i="9"/>
  <c r="E38" i="9"/>
  <c r="I55" i="9"/>
  <c r="H55" i="9"/>
  <c r="G55" i="9"/>
  <c r="F55" i="9"/>
  <c r="E55" i="9"/>
  <c r="D55" i="9"/>
  <c r="C55" i="9"/>
  <c r="A55" i="9"/>
  <c r="E63" i="9"/>
  <c r="D63" i="9"/>
  <c r="C63" i="9"/>
  <c r="B63" i="9"/>
  <c r="A63" i="9"/>
  <c r="I63" i="9"/>
  <c r="H63" i="9"/>
  <c r="G63" i="9"/>
  <c r="F63" i="9"/>
  <c r="F76" i="9"/>
  <c r="E76" i="9"/>
  <c r="D76" i="9"/>
  <c r="C76" i="9"/>
  <c r="B76" i="9"/>
  <c r="A76" i="9"/>
  <c r="I76" i="9"/>
  <c r="H76" i="9"/>
  <c r="G76" i="9"/>
  <c r="G101" i="9"/>
  <c r="F101" i="9"/>
  <c r="E101" i="9"/>
  <c r="D101" i="9"/>
  <c r="C101" i="9"/>
  <c r="B101" i="9"/>
  <c r="A101" i="9"/>
  <c r="I101" i="9"/>
  <c r="H101" i="9"/>
  <c r="C952" i="8"/>
  <c r="H957" i="8"/>
  <c r="C964" i="8"/>
  <c r="E966" i="8"/>
  <c r="H969" i="8"/>
  <c r="C976" i="8"/>
  <c r="D977" i="8"/>
  <c r="E978" i="8"/>
  <c r="H981" i="8"/>
  <c r="C988" i="8"/>
  <c r="D989" i="8"/>
  <c r="E990" i="8"/>
  <c r="H993" i="8"/>
  <c r="C1000" i="8"/>
  <c r="D1001" i="8"/>
  <c r="E1002" i="8"/>
  <c r="C9" i="9"/>
  <c r="I12" i="9"/>
  <c r="F17" i="9"/>
  <c r="G29" i="9"/>
  <c r="F29" i="9"/>
  <c r="E29" i="9"/>
  <c r="D29" i="9"/>
  <c r="C29" i="9"/>
  <c r="B29" i="9"/>
  <c r="A29" i="9"/>
  <c r="H29" i="9"/>
  <c r="I34" i="9"/>
  <c r="H34" i="9"/>
  <c r="G34" i="9"/>
  <c r="F34" i="9"/>
  <c r="D34" i="9"/>
  <c r="C34" i="9"/>
  <c r="B34" i="9"/>
  <c r="A34" i="9"/>
  <c r="E39" i="9"/>
  <c r="D39" i="9"/>
  <c r="C39" i="9"/>
  <c r="B39" i="9"/>
  <c r="A39" i="9"/>
  <c r="I39" i="9"/>
  <c r="H39" i="9"/>
  <c r="G39" i="9"/>
  <c r="F39" i="9"/>
  <c r="G77" i="9"/>
  <c r="F77" i="9"/>
  <c r="E77" i="9"/>
  <c r="D77" i="9"/>
  <c r="C77" i="9"/>
  <c r="B77" i="9"/>
  <c r="A77" i="9"/>
  <c r="I77" i="9"/>
  <c r="H77" i="9"/>
  <c r="I91" i="9"/>
  <c r="H91" i="9"/>
  <c r="G91" i="9"/>
  <c r="F91" i="9"/>
  <c r="E91" i="9"/>
  <c r="D91" i="9"/>
  <c r="C91" i="9"/>
  <c r="A91" i="9"/>
  <c r="D952" i="8"/>
  <c r="I957" i="8"/>
  <c r="D964" i="8"/>
  <c r="F966" i="8"/>
  <c r="I969" i="8"/>
  <c r="D976" i="8"/>
  <c r="E977" i="8"/>
  <c r="F978" i="8"/>
  <c r="I981" i="8"/>
  <c r="D988" i="8"/>
  <c r="E989" i="8"/>
  <c r="F990" i="8"/>
  <c r="I993" i="8"/>
  <c r="D1000" i="8"/>
  <c r="E1001" i="8"/>
  <c r="F1002" i="8"/>
  <c r="I56" i="9"/>
  <c r="H56" i="9"/>
  <c r="G56" i="9"/>
  <c r="F56" i="9"/>
  <c r="E56" i="9"/>
  <c r="D56" i="9"/>
  <c r="B56" i="9"/>
  <c r="A56" i="9"/>
  <c r="F64" i="9"/>
  <c r="E64" i="9"/>
  <c r="D64" i="9"/>
  <c r="C64" i="9"/>
  <c r="B64" i="9"/>
  <c r="A64" i="9"/>
  <c r="I64" i="9"/>
  <c r="H64" i="9"/>
  <c r="G64" i="9"/>
  <c r="G966" i="8"/>
  <c r="G978" i="8"/>
  <c r="F989" i="8"/>
  <c r="G990" i="8"/>
  <c r="F1001" i="8"/>
  <c r="G1002" i="8"/>
  <c r="E9" i="9"/>
  <c r="I11" i="9"/>
  <c r="H30" i="9"/>
  <c r="G30" i="9"/>
  <c r="F30" i="9"/>
  <c r="E30" i="9"/>
  <c r="D30" i="9"/>
  <c r="C30" i="9"/>
  <c r="B30" i="9"/>
  <c r="I30" i="9"/>
  <c r="A35" i="9"/>
  <c r="I35" i="9"/>
  <c r="H35" i="9"/>
  <c r="G35" i="9"/>
  <c r="E35" i="9"/>
  <c r="D35" i="9"/>
  <c r="C35" i="9"/>
  <c r="B35" i="9"/>
  <c r="F40" i="9"/>
  <c r="E40" i="9"/>
  <c r="D40" i="9"/>
  <c r="C40" i="9"/>
  <c r="B40" i="9"/>
  <c r="A40" i="9"/>
  <c r="I40" i="9"/>
  <c r="H40" i="9"/>
  <c r="G40" i="9"/>
  <c r="D50" i="9"/>
  <c r="C50" i="9"/>
  <c r="B50" i="9"/>
  <c r="A50" i="9"/>
  <c r="H50" i="9"/>
  <c r="G50" i="9"/>
  <c r="F50" i="9"/>
  <c r="E50" i="9"/>
  <c r="G65" i="9"/>
  <c r="F65" i="9"/>
  <c r="E65" i="9"/>
  <c r="D65" i="9"/>
  <c r="C65" i="9"/>
  <c r="B65" i="9"/>
  <c r="A65" i="9"/>
  <c r="I65" i="9"/>
  <c r="H65" i="9"/>
  <c r="I70" i="9"/>
  <c r="H70" i="9"/>
  <c r="G70" i="9"/>
  <c r="F70" i="9"/>
  <c r="D70" i="9"/>
  <c r="C70" i="9"/>
  <c r="B70" i="9"/>
  <c r="A70" i="9"/>
  <c r="I82" i="9"/>
  <c r="H82" i="9"/>
  <c r="G82" i="9"/>
  <c r="F82" i="9"/>
  <c r="D82" i="9"/>
  <c r="C82" i="9"/>
  <c r="B82" i="9"/>
  <c r="A82" i="9"/>
  <c r="I103" i="9"/>
  <c r="H103" i="9"/>
  <c r="G103" i="9"/>
  <c r="F103" i="9"/>
  <c r="E103" i="9"/>
  <c r="D103" i="9"/>
  <c r="C103" i="9"/>
  <c r="B103" i="9"/>
  <c r="A103" i="9"/>
  <c r="F952" i="8"/>
  <c r="F964" i="8"/>
  <c r="H966" i="8"/>
  <c r="G977" i="8"/>
  <c r="H978" i="8"/>
  <c r="F988" i="8"/>
  <c r="G989" i="8"/>
  <c r="H990" i="8"/>
  <c r="F1000" i="8"/>
  <c r="G1001" i="8"/>
  <c r="H1002" i="8"/>
  <c r="F9" i="9"/>
  <c r="C15" i="9"/>
  <c r="B15" i="9"/>
  <c r="A15" i="9"/>
  <c r="I22" i="9"/>
  <c r="H22" i="9"/>
  <c r="G22" i="9"/>
  <c r="F22" i="9"/>
  <c r="D22" i="9"/>
  <c r="C22" i="9"/>
  <c r="A22" i="9"/>
  <c r="F26" i="9"/>
  <c r="G41" i="9"/>
  <c r="F41" i="9"/>
  <c r="E41" i="9"/>
  <c r="D41" i="9"/>
  <c r="C41" i="9"/>
  <c r="B41" i="9"/>
  <c r="A41" i="9"/>
  <c r="I41" i="9"/>
  <c r="H41" i="9"/>
  <c r="I46" i="9"/>
  <c r="H46" i="9"/>
  <c r="G46" i="9"/>
  <c r="F46" i="9"/>
  <c r="D46" i="9"/>
  <c r="C46" i="9"/>
  <c r="B46" i="9"/>
  <c r="A46" i="9"/>
  <c r="E51" i="9"/>
  <c r="D51" i="9"/>
  <c r="C51" i="9"/>
  <c r="B51" i="9"/>
  <c r="A51" i="9"/>
  <c r="I51" i="9"/>
  <c r="H51" i="9"/>
  <c r="G51" i="9"/>
  <c r="F51" i="9"/>
  <c r="B60" i="9"/>
  <c r="A60" i="9"/>
  <c r="I60" i="9"/>
  <c r="H60" i="9"/>
  <c r="F60" i="9"/>
  <c r="E60" i="9"/>
  <c r="D60" i="9"/>
  <c r="C60" i="9"/>
  <c r="I966" i="8"/>
  <c r="I978" i="8"/>
  <c r="H989" i="8"/>
  <c r="I990" i="8"/>
  <c r="H1001" i="8"/>
  <c r="I1002" i="8"/>
  <c r="H9" i="9"/>
  <c r="A12" i="9"/>
  <c r="E17" i="9"/>
  <c r="D17" i="9"/>
  <c r="C17" i="9"/>
  <c r="B17" i="9"/>
  <c r="A17" i="9"/>
  <c r="C23" i="9"/>
  <c r="B36" i="9"/>
  <c r="A36" i="9"/>
  <c r="I36" i="9"/>
  <c r="H36" i="9"/>
  <c r="F36" i="9"/>
  <c r="E36" i="9"/>
  <c r="D36" i="9"/>
  <c r="C36" i="9"/>
  <c r="A71" i="9"/>
  <c r="I71" i="9"/>
  <c r="H71" i="9"/>
  <c r="G71" i="9"/>
  <c r="E71" i="9"/>
  <c r="D71" i="9"/>
  <c r="C71" i="9"/>
  <c r="B71" i="9"/>
  <c r="A83" i="9"/>
  <c r="I83" i="9"/>
  <c r="H83" i="9"/>
  <c r="G83" i="9"/>
  <c r="E83" i="9"/>
  <c r="D83" i="9"/>
  <c r="C83" i="9"/>
  <c r="B83" i="9"/>
  <c r="E87" i="9"/>
  <c r="D87" i="9"/>
  <c r="C87" i="9"/>
  <c r="B87" i="9"/>
  <c r="A87" i="9"/>
  <c r="I87" i="9"/>
  <c r="H87" i="9"/>
  <c r="G87" i="9"/>
  <c r="F87" i="9"/>
  <c r="C97" i="9"/>
  <c r="B97" i="9"/>
  <c r="A97" i="9"/>
  <c r="I97" i="9"/>
  <c r="G97" i="9"/>
  <c r="F97" i="9"/>
  <c r="E97" i="9"/>
  <c r="D97" i="9"/>
  <c r="A957" i="8"/>
  <c r="A969" i="8"/>
  <c r="A981" i="8"/>
  <c r="A993" i="8"/>
  <c r="B12" i="9"/>
  <c r="D26" i="9"/>
  <c r="C26" i="9"/>
  <c r="B26" i="9"/>
  <c r="A26" i="9"/>
  <c r="H26" i="9"/>
  <c r="G26" i="9"/>
  <c r="E26" i="9"/>
  <c r="I31" i="9"/>
  <c r="H31" i="9"/>
  <c r="G31" i="9"/>
  <c r="F31" i="9"/>
  <c r="E31" i="9"/>
  <c r="D31" i="9"/>
  <c r="C31" i="9"/>
  <c r="A31" i="9"/>
  <c r="A47" i="9"/>
  <c r="I47" i="9"/>
  <c r="H47" i="9"/>
  <c r="G47" i="9"/>
  <c r="E47" i="9"/>
  <c r="D47" i="9"/>
  <c r="C47" i="9"/>
  <c r="B47" i="9"/>
  <c r="F52" i="9"/>
  <c r="E52" i="9"/>
  <c r="D52" i="9"/>
  <c r="C52" i="9"/>
  <c r="B52" i="9"/>
  <c r="A52" i="9"/>
  <c r="I52" i="9"/>
  <c r="H52" i="9"/>
  <c r="G52" i="9"/>
  <c r="I79" i="9"/>
  <c r="H79" i="9"/>
  <c r="G79" i="9"/>
  <c r="F79" i="9"/>
  <c r="E79" i="9"/>
  <c r="D79" i="9"/>
  <c r="C79" i="9"/>
  <c r="A79" i="9"/>
  <c r="I93" i="9"/>
  <c r="H93" i="9"/>
  <c r="G93" i="9"/>
  <c r="F93" i="9"/>
  <c r="E93" i="9"/>
  <c r="C93" i="9"/>
  <c r="B93" i="9"/>
  <c r="A93" i="9"/>
  <c r="B957" i="8"/>
  <c r="B969" i="8"/>
  <c r="B981" i="8"/>
  <c r="B993" i="8"/>
  <c r="C12" i="9"/>
  <c r="A23" i="9"/>
  <c r="I23" i="9"/>
  <c r="H23" i="9"/>
  <c r="G23" i="9"/>
  <c r="E23" i="9"/>
  <c r="D23" i="9"/>
  <c r="B23" i="9"/>
  <c r="G53" i="9"/>
  <c r="F53" i="9"/>
  <c r="E53" i="9"/>
  <c r="D53" i="9"/>
  <c r="C53" i="9"/>
  <c r="B53" i="9"/>
  <c r="A53" i="9"/>
  <c r="I53" i="9"/>
  <c r="H53" i="9"/>
  <c r="I58" i="9"/>
  <c r="H58" i="9"/>
  <c r="G58" i="9"/>
  <c r="F58" i="9"/>
  <c r="D58" i="9"/>
  <c r="C58" i="9"/>
  <c r="B58" i="9"/>
  <c r="A58" i="9"/>
  <c r="B72" i="9"/>
  <c r="A72" i="9"/>
  <c r="I72" i="9"/>
  <c r="H72" i="9"/>
  <c r="F72" i="9"/>
  <c r="E72" i="9"/>
  <c r="D72" i="9"/>
  <c r="C72" i="9"/>
  <c r="B84" i="9"/>
  <c r="A84" i="9"/>
  <c r="I84" i="9"/>
  <c r="H84" i="9"/>
  <c r="F84" i="9"/>
  <c r="E84" i="9"/>
  <c r="D84" i="9"/>
  <c r="C84" i="9"/>
  <c r="F88" i="9"/>
  <c r="E88" i="9"/>
  <c r="D88" i="9"/>
  <c r="C88" i="9"/>
  <c r="B88" i="9"/>
  <c r="A88" i="9"/>
  <c r="I88" i="9"/>
  <c r="H88" i="9"/>
  <c r="G88" i="9"/>
  <c r="C957" i="8"/>
  <c r="C969" i="8"/>
  <c r="C981" i="8"/>
  <c r="C993" i="8"/>
  <c r="B11" i="9"/>
  <c r="D12" i="9"/>
  <c r="B14" i="9"/>
  <c r="A14" i="9"/>
  <c r="H20" i="9"/>
  <c r="G20" i="9"/>
  <c r="F20" i="9"/>
  <c r="E20" i="9"/>
  <c r="D20" i="9"/>
  <c r="B20" i="9"/>
  <c r="A20" i="9"/>
  <c r="E27" i="9"/>
  <c r="D27" i="9"/>
  <c r="C27" i="9"/>
  <c r="B27" i="9"/>
  <c r="A27" i="9"/>
  <c r="I27" i="9"/>
  <c r="H27" i="9"/>
  <c r="F27" i="9"/>
  <c r="I32" i="9"/>
  <c r="H32" i="9"/>
  <c r="G32" i="9"/>
  <c r="F32" i="9"/>
  <c r="E32" i="9"/>
  <c r="D32" i="9"/>
  <c r="B32" i="9"/>
  <c r="A32" i="9"/>
  <c r="B48" i="9"/>
  <c r="A48" i="9"/>
  <c r="I48" i="9"/>
  <c r="H48" i="9"/>
  <c r="F48" i="9"/>
  <c r="E48" i="9"/>
  <c r="D48" i="9"/>
  <c r="C48" i="9"/>
  <c r="I67" i="9"/>
  <c r="H67" i="9"/>
  <c r="G67" i="9"/>
  <c r="F67" i="9"/>
  <c r="E67" i="9"/>
  <c r="D67" i="9"/>
  <c r="C67" i="9"/>
  <c r="A67" i="9"/>
  <c r="G89" i="9"/>
  <c r="F89" i="9"/>
  <c r="E89" i="9"/>
  <c r="D89" i="9"/>
  <c r="C89" i="9"/>
  <c r="B89" i="9"/>
  <c r="A89" i="9"/>
  <c r="I89" i="9"/>
  <c r="H89" i="9"/>
  <c r="I94" i="9"/>
  <c r="H94" i="9"/>
  <c r="G94" i="9"/>
  <c r="F94" i="9"/>
  <c r="D94" i="9"/>
  <c r="C94" i="9"/>
  <c r="B94" i="9"/>
  <c r="A94" i="9"/>
  <c r="D957" i="8"/>
  <c r="A966" i="8"/>
  <c r="D969" i="8"/>
  <c r="A978" i="8"/>
  <c r="D981" i="8"/>
  <c r="A990" i="8"/>
  <c r="D993" i="8"/>
  <c r="A1002" i="8"/>
  <c r="C11" i="9"/>
  <c r="E12" i="9"/>
  <c r="I43" i="9"/>
  <c r="H43" i="9"/>
  <c r="G43" i="9"/>
  <c r="F43" i="9"/>
  <c r="E43" i="9"/>
  <c r="D43" i="9"/>
  <c r="C43" i="9"/>
  <c r="A43" i="9"/>
  <c r="I106" i="9"/>
  <c r="H106" i="9"/>
  <c r="G106" i="9"/>
  <c r="F106" i="9"/>
  <c r="E106" i="9"/>
  <c r="D106" i="9"/>
  <c r="C106" i="9"/>
  <c r="B106" i="9"/>
  <c r="A106" i="9"/>
  <c r="D11" i="9"/>
  <c r="A21" i="9"/>
  <c r="B24" i="9"/>
  <c r="A24" i="9"/>
  <c r="I24" i="9"/>
  <c r="H24" i="9"/>
  <c r="F24" i="9"/>
  <c r="E24" i="9"/>
  <c r="C24" i="9"/>
  <c r="I68" i="9"/>
  <c r="H68" i="9"/>
  <c r="G68" i="9"/>
  <c r="F68" i="9"/>
  <c r="E68" i="9"/>
  <c r="D68" i="9"/>
  <c r="B68" i="9"/>
  <c r="A68" i="9"/>
  <c r="E75" i="9"/>
  <c r="D75" i="9"/>
  <c r="C75" i="9"/>
  <c r="B75" i="9"/>
  <c r="A75" i="9"/>
  <c r="I75" i="9"/>
  <c r="H75" i="9"/>
  <c r="G75" i="9"/>
  <c r="F75" i="9"/>
  <c r="A95" i="9"/>
  <c r="I95" i="9"/>
  <c r="H95" i="9"/>
  <c r="G95" i="9"/>
  <c r="E95" i="9"/>
  <c r="D95" i="9"/>
  <c r="C95" i="9"/>
  <c r="B95" i="9"/>
  <c r="E99" i="9"/>
  <c r="D99" i="9"/>
  <c r="C99" i="9"/>
  <c r="B99" i="9"/>
  <c r="A99" i="9"/>
  <c r="I99" i="9"/>
  <c r="H99" i="9"/>
  <c r="G99" i="9"/>
  <c r="F99" i="9"/>
  <c r="D25" i="9"/>
  <c r="D37" i="9"/>
  <c r="I42" i="9"/>
  <c r="D49" i="9"/>
  <c r="I54" i="9"/>
  <c r="B59" i="9"/>
  <c r="D61" i="9"/>
  <c r="I66" i="9"/>
  <c r="E74" i="9"/>
  <c r="I78" i="9"/>
  <c r="D85" i="9"/>
  <c r="E86" i="9"/>
  <c r="I90" i="9"/>
  <c r="C96" i="9"/>
  <c r="E98" i="9"/>
  <c r="I102" i="9"/>
  <c r="A33" i="9"/>
  <c r="A45" i="9"/>
  <c r="A57" i="9"/>
  <c r="A69" i="9"/>
  <c r="A81" i="9"/>
  <c r="A105" i="9"/>
  <c r="F25" i="9"/>
  <c r="B33" i="9"/>
  <c r="F37" i="9"/>
  <c r="B45" i="9"/>
  <c r="F49" i="9"/>
  <c r="B57" i="9"/>
  <c r="D59" i="9"/>
  <c r="F61" i="9"/>
  <c r="B69" i="9"/>
  <c r="F73" i="9"/>
  <c r="G74" i="9"/>
  <c r="A80" i="9"/>
  <c r="B81" i="9"/>
  <c r="F85" i="9"/>
  <c r="G86" i="9"/>
  <c r="A92" i="9"/>
  <c r="E96" i="9"/>
  <c r="G98" i="9"/>
  <c r="A104" i="9"/>
  <c r="B105" i="9"/>
  <c r="G25" i="9"/>
  <c r="C33" i="9"/>
  <c r="G37" i="9"/>
  <c r="C45" i="9"/>
  <c r="G49" i="9"/>
  <c r="C57" i="9"/>
  <c r="G61" i="9"/>
  <c r="C69" i="9"/>
  <c r="H74" i="9"/>
  <c r="B80" i="9"/>
  <c r="C81" i="9"/>
  <c r="G85" i="9"/>
  <c r="H86" i="9"/>
  <c r="B92" i="9"/>
  <c r="F96" i="9"/>
  <c r="H98" i="9"/>
  <c r="B104" i="9"/>
  <c r="C105" i="9"/>
  <c r="A102" i="9"/>
  <c r="C104" i="9"/>
  <c r="D105" i="9"/>
  <c r="I25" i="9"/>
  <c r="E33" i="9"/>
  <c r="I37" i="9"/>
  <c r="B42" i="9"/>
  <c r="E45" i="9"/>
  <c r="I49" i="9"/>
  <c r="B54" i="9"/>
  <c r="E57" i="9"/>
  <c r="I61" i="9"/>
  <c r="B66" i="9"/>
  <c r="E69" i="9"/>
  <c r="B78" i="9"/>
  <c r="D80" i="9"/>
  <c r="E81" i="9"/>
  <c r="B90" i="9"/>
  <c r="D92" i="9"/>
  <c r="B102" i="9"/>
  <c r="D104" i="9"/>
  <c r="E105" i="9"/>
  <c r="F33" i="9"/>
  <c r="C42" i="9"/>
  <c r="F45" i="9"/>
  <c r="C54" i="9"/>
  <c r="F57" i="9"/>
  <c r="C66" i="9"/>
  <c r="F69" i="9"/>
  <c r="C78" i="9"/>
  <c r="E80" i="9"/>
  <c r="F81" i="9"/>
  <c r="C90" i="9"/>
  <c r="E92" i="9"/>
  <c r="I96" i="9"/>
  <c r="C102" i="9"/>
  <c r="E104" i="9"/>
  <c r="F105" i="9"/>
  <c r="G33" i="9"/>
  <c r="D42" i="9"/>
  <c r="G45" i="9"/>
  <c r="D54" i="9"/>
  <c r="G57" i="9"/>
  <c r="I59" i="9"/>
  <c r="D66" i="9"/>
  <c r="G69" i="9"/>
  <c r="D78" i="9"/>
  <c r="F80" i="9"/>
  <c r="G81" i="9"/>
  <c r="D90" i="9"/>
  <c r="F92" i="9"/>
  <c r="D102" i="9"/>
  <c r="F104" i="9"/>
  <c r="G105" i="9"/>
  <c r="H33" i="9"/>
  <c r="E42" i="9"/>
  <c r="H45" i="9"/>
  <c r="E54" i="9"/>
  <c r="H57" i="9"/>
  <c r="E66" i="9"/>
  <c r="H69" i="9"/>
  <c r="A74" i="9"/>
  <c r="E78" i="9"/>
  <c r="G80" i="9"/>
  <c r="H81" i="9"/>
  <c r="A86" i="9"/>
  <c r="E90" i="9"/>
  <c r="G92" i="9"/>
  <c r="A98" i="9"/>
  <c r="E102" i="9"/>
  <c r="G104" i="9"/>
  <c r="H105" i="9"/>
  <c r="A25" i="9"/>
  <c r="A37" i="9"/>
  <c r="F42" i="9"/>
  <c r="A49" i="9"/>
  <c r="F54" i="9"/>
  <c r="A61" i="9"/>
  <c r="F66" i="9"/>
  <c r="B74" i="9"/>
  <c r="F78" i="9"/>
  <c r="A85" i="9"/>
  <c r="B86" i="9"/>
  <c r="F90" i="9"/>
  <c r="H92" i="9"/>
  <c r="B98" i="9"/>
  <c r="F102" i="9"/>
  <c r="G42" i="9"/>
  <c r="G54" i="9"/>
  <c r="G66" i="9"/>
  <c r="G78" i="9"/>
  <c r="B85" i="9"/>
  <c r="C86" i="9"/>
  <c r="G90" i="9"/>
  <c r="A96" i="9"/>
  <c r="C98" i="9"/>
  <c r="G102" i="9"/>
</calcChain>
</file>

<file path=xl/sharedStrings.xml><?xml version="1.0" encoding="utf-8"?>
<sst xmlns="http://schemas.openxmlformats.org/spreadsheetml/2006/main" count="7339" uniqueCount="1834">
  <si>
    <t>Обновлено: 22.08.2026</t>
  </si>
  <si>
    <t>ВСЕГО СОТРУДНИКОВ</t>
  </si>
  <si>
    <t>ЭКЗАМЕН СДАН</t>
  </si>
  <si>
    <t>НЕ СДАЛИ 2 РАЗА</t>
  </si>
  <si>
    <t>ГОТОВЫ К ЭКЗАМЕНУ</t>
  </si>
  <si>
    <t>ОБУЧЕНИЕ</t>
  </si>
  <si>
    <t>К ОБУЧЕНИЮ</t>
  </si>
  <si>
    <t>sinavi hazir</t>
  </si>
  <si>
    <t>Egitime devem eden</t>
  </si>
  <si>
    <t>Egitime alınacak</t>
  </si>
  <si>
    <t>🔍 Поиск по Sicil</t>
  </si>
  <si>
    <t>№</t>
  </si>
  <si>
    <t>Sicil</t>
  </si>
  <si>
    <t>Adi Soyadi</t>
  </si>
  <si>
    <t>Vatandaslik</t>
  </si>
  <si>
    <t>Santiye</t>
  </si>
  <si>
    <t>№ Паспорта</t>
  </si>
  <si>
    <t>Документ</t>
  </si>
  <si>
    <t>Kamp girisi</t>
  </si>
  <si>
    <t>MK</t>
  </si>
  <si>
    <t>Ogretmen</t>
  </si>
  <si>
    <t xml:space="preserve">Sinav </t>
  </si>
  <si>
    <t>Egtim durumu</t>
  </si>
  <si>
    <t>Shohruh Not</t>
  </si>
  <si>
    <t>Дней в РФ</t>
  </si>
  <si>
    <t>Хакимов Фаррух Хайрулло Угли</t>
  </si>
  <si>
    <t>УЗБЕКИСТАН</t>
  </si>
  <si>
    <t>GPP Proje</t>
  </si>
  <si>
    <t>FA2066461</t>
  </si>
  <si>
    <t>Новый Патент</t>
  </si>
  <si>
    <t>-</t>
  </si>
  <si>
    <t>Tyulina Natalya</t>
  </si>
  <si>
    <t>15.04.2026 Sineva gitti gecemedi</t>
  </si>
  <si>
    <t>Dil sertifikasi var kendisinda\Patent basvuruya cagirildigi zaman yaninda getirecektir</t>
  </si>
  <si>
    <t>Hursit Sefe mail atıldı</t>
  </si>
  <si>
    <t>Очилов Абдубакирй Фарход Угли</t>
  </si>
  <si>
    <t>FB2280589</t>
  </si>
  <si>
    <t>Туфлиев Эргаш Эшбобо Угли</t>
  </si>
  <si>
    <t>FA6035022</t>
  </si>
  <si>
    <t xml:space="preserve">23.04.2026 Sineva gitti gecemedi /30.04.2026 Sineva gitti gecdi </t>
  </si>
  <si>
    <t>Dil egitimi tamamlandi sinavdan gecti</t>
  </si>
  <si>
    <t>Жураев Хасан Урол Угли</t>
  </si>
  <si>
    <t>FA1544872</t>
  </si>
  <si>
    <t xml:space="preserve">23.04.2026 Sineva gitti gecemedi /28.04.2026 Sineva gitti gecdi </t>
  </si>
  <si>
    <t>Артиков Одилжон Бокиевич</t>
  </si>
  <si>
    <t>FA2926851</t>
  </si>
  <si>
    <t>28.04.2026 Sineva gitti gecdi</t>
  </si>
  <si>
    <t>Инамов Фарход Хамидович</t>
  </si>
  <si>
    <t>FA3264132</t>
  </si>
  <si>
    <t>Мирзалиев Дилшоджон Киргизжонович</t>
  </si>
  <si>
    <t>FA3542483</t>
  </si>
  <si>
    <t>28.04.2026 Sineva gitti gecemedi /30.04.2026 Sineva gitti gecdi</t>
  </si>
  <si>
    <t>Султанов Хусниддин Абдурашитович</t>
  </si>
  <si>
    <t>FB2001489</t>
  </si>
  <si>
    <t>Egitieme bilgi bildirildi gelmedi20.04.2026 (Hursid Sefe mail atildi)</t>
  </si>
  <si>
    <t>Туракулов Асрор Бахром Угли</t>
  </si>
  <si>
    <t>FB0202409</t>
  </si>
  <si>
    <t>Хурамов Эркин Нурмаматович</t>
  </si>
  <si>
    <t>FA4615426</t>
  </si>
  <si>
    <t>Алибоев Хусанбой Собирович</t>
  </si>
  <si>
    <t>FA1466721</t>
  </si>
  <si>
    <t xml:space="preserve">23.04.2026 Sineva gitti gecemedi/ 28.04.2026 Sineva gitti gecdi </t>
  </si>
  <si>
    <t>Хиратов Ахтамшо Бегназарович</t>
  </si>
  <si>
    <t>ТАДЖИКИСТАН</t>
  </si>
  <si>
    <t>Tyulina Natalya / Ziaztdinov Arslan</t>
  </si>
  <si>
    <t xml:space="preserve">29.04.2026 Sineva gitti gecmedi /07.05.2026 Sineva gitti gecemedi </t>
  </si>
  <si>
    <t>2 kere sinavden gecemedi</t>
  </si>
  <si>
    <t>Hursit Sefe mail atildi</t>
  </si>
  <si>
    <t>Саматов Аскар Холназар Угли</t>
  </si>
  <si>
    <t>FB2293311</t>
  </si>
  <si>
    <t>Тогаев Мелис Улмас Угли</t>
  </si>
  <si>
    <t>FB2252674</t>
  </si>
  <si>
    <t>Файзиев Шерали Фахритдинович</t>
  </si>
  <si>
    <t>FA8943364</t>
  </si>
  <si>
    <t>Зиямиддинов Бахромжон Боходирович</t>
  </si>
  <si>
    <t>FA3327050</t>
  </si>
  <si>
    <t>Переоформленный Патент</t>
  </si>
  <si>
    <t xml:space="preserve">Ziazetdinov Arslan </t>
  </si>
  <si>
    <t>05.05.2026 Sineva gitti gecdi</t>
  </si>
  <si>
    <t>Ахмедов Зафарбек Захиржон Угли</t>
  </si>
  <si>
    <t>FA6801936</t>
  </si>
  <si>
    <t>Курбанбаев Пулат Камалбаевич</t>
  </si>
  <si>
    <t>FK0517649</t>
  </si>
  <si>
    <t>Окбоев Дониёрбек Рустамович</t>
  </si>
  <si>
    <t>FA3527317</t>
  </si>
  <si>
    <t>Аллакулиев Зафарбек Алишер Угли</t>
  </si>
  <si>
    <t>FA8087746</t>
  </si>
  <si>
    <t>Уразбаев Тимур Абатович</t>
  </si>
  <si>
    <t>FK0181132</t>
  </si>
  <si>
    <t>Абдуллаев Рамозон Чори Угли</t>
  </si>
  <si>
    <t>FA5963771</t>
  </si>
  <si>
    <t>30.04.2026 Sineva gitti gecdi</t>
  </si>
  <si>
    <t>Абдурахимов Фаррухбек Махмуджанович</t>
  </si>
  <si>
    <t>FB2296613</t>
  </si>
  <si>
    <t>Аширов Бобуржон Алишерович</t>
  </si>
  <si>
    <t>FK0281460</t>
  </si>
  <si>
    <t>Дурдиев Алланазар Нурмухаммедович</t>
  </si>
  <si>
    <t>FK0229635</t>
  </si>
  <si>
    <t>Богбеков Руслонбек Исмоилович</t>
  </si>
  <si>
    <t>FA1876582</t>
  </si>
  <si>
    <t>Хасанов Сулаймон Худойберган Угли</t>
  </si>
  <si>
    <t>FA0861964</t>
  </si>
  <si>
    <t>Назаров Рахмонберди Носиржонович</t>
  </si>
  <si>
    <t>FA1995724</t>
  </si>
  <si>
    <t>Нурметов Сирож Рустамбекович</t>
  </si>
  <si>
    <t>FA2803600</t>
  </si>
  <si>
    <t>Ортикалиев Нуриддин Абдумутал Угли</t>
  </si>
  <si>
    <t>FB0532880</t>
  </si>
  <si>
    <t>Tarih 02.05.2026/09.05.206 Bilgi verildi gelmedi (Hursit Sefe mail atildi)</t>
  </si>
  <si>
    <t>Абдуллаев Нажмиддин Мирзафар Угли</t>
  </si>
  <si>
    <t>FB0876322</t>
  </si>
  <si>
    <t>Эшмуродов Элёр Исматович</t>
  </si>
  <si>
    <t>FA5064514</t>
  </si>
  <si>
    <t>Пардаев Фарход Рустамович</t>
  </si>
  <si>
    <t>FA5613450</t>
  </si>
  <si>
    <t>Уринов Жалолбек Юлдошбой угли</t>
  </si>
  <si>
    <t>FA6461096</t>
  </si>
  <si>
    <t>Отажонов Юсуфбой Хасанбой Угли</t>
  </si>
  <si>
    <t>FA4116535</t>
  </si>
  <si>
    <t>Бозоров Асомиддин Кувондик Угли</t>
  </si>
  <si>
    <t>FA1850228</t>
  </si>
  <si>
    <t>Вахобов Абдуджалил Абдурахмон Угли</t>
  </si>
  <si>
    <t>FA7077037</t>
  </si>
  <si>
    <t>Розимов Хусниддин Сапарбаевич</t>
  </si>
  <si>
    <t>FK0277549</t>
  </si>
  <si>
    <t>13.05.2026 Sineva gitti gecdi</t>
  </si>
  <si>
    <t>Кулдашов Шерзодбек Алишерович</t>
  </si>
  <si>
    <t>FA4672087</t>
  </si>
  <si>
    <t>Хуррамов Элдор Элмурод Угли</t>
  </si>
  <si>
    <t>GPP Proje (TSF)</t>
  </si>
  <si>
    <t>FA4184632</t>
  </si>
  <si>
    <t>Юсупов Бобур Гайрат Угли</t>
  </si>
  <si>
    <t>FA4458784</t>
  </si>
  <si>
    <t>Фозилов Мухриддин Нуриддинович</t>
  </si>
  <si>
    <t>FA1867830</t>
  </si>
  <si>
    <t>Буронов Туроб Тешаевич</t>
  </si>
  <si>
    <t>FA1913797</t>
  </si>
  <si>
    <t>28.04.2026 Sineva gitti gecemedi /05.05.2026 Sineva gitti gecdi</t>
  </si>
  <si>
    <t>Хайитмаматов Жавохиржон Шовкат Угли</t>
  </si>
  <si>
    <t>FA4671679</t>
  </si>
  <si>
    <t>Тургунов Оятилло Абдулла Угли</t>
  </si>
  <si>
    <t>FA4095781</t>
  </si>
  <si>
    <t>28.04.2026 Sineva gitti gecemedi / 05.05.2026 Sineva gitti gecemedi</t>
  </si>
  <si>
    <t>Hursid Sefe mail atildi</t>
  </si>
  <si>
    <t>Нуриддинов Санжарбек Мехмонали Угли</t>
  </si>
  <si>
    <t>FA2225889</t>
  </si>
  <si>
    <t>29.04.2026 Sineva gitti gecdi</t>
  </si>
  <si>
    <t>Хаёнов Рамзбек Равшанбек Угли</t>
  </si>
  <si>
    <t>FA0821286</t>
  </si>
  <si>
    <t>Ибрагимов Отабек Бектош Угли</t>
  </si>
  <si>
    <t>FB0673914</t>
  </si>
  <si>
    <t>28.04.2026 Sineva gitti gecemedi</t>
  </si>
  <si>
    <t>Бекчанов Жавлонбек Оллаёрович</t>
  </si>
  <si>
    <t>Ust Luga Fabrika - GPC</t>
  </si>
  <si>
    <t>FA7576782</t>
  </si>
  <si>
    <t>Personel patent basvuru yapmis</t>
  </si>
  <si>
    <t>Норкулов Аслиддин Бахтиёр угли</t>
  </si>
  <si>
    <t>FB1895093</t>
  </si>
  <si>
    <t>Абдуллаев Достонбек Илхом Угли</t>
  </si>
  <si>
    <t>FB1560468</t>
  </si>
  <si>
    <t>Раджапов Расулбек Равшанбек угли</t>
  </si>
  <si>
    <t>FA6337294</t>
  </si>
  <si>
    <t>Гурбанов Тогрул Акшин Оглы</t>
  </si>
  <si>
    <t>АЗЕРБАЙДЖАН</t>
  </si>
  <si>
    <t>C05629521</t>
  </si>
  <si>
    <t>05.05.2026 Sineva gitti gecemedi /09.05.2026 Ic testimizden gecemedi</t>
  </si>
  <si>
    <t>Хушвактов Самандар Файзулла Угли</t>
  </si>
  <si>
    <t>FA6772500</t>
  </si>
  <si>
    <t>Мисиров Исомиддин Мамаражабович</t>
  </si>
  <si>
    <t>FA3369084</t>
  </si>
  <si>
    <t>Саипов Миролим Ашуралиевич</t>
  </si>
  <si>
    <t>FA6664614</t>
  </si>
  <si>
    <t>Саипов Муйдинжон Ашуралиевич</t>
  </si>
  <si>
    <t>FA2159532</t>
  </si>
  <si>
    <t>Умаров Адхамжон Халимжонович</t>
  </si>
  <si>
    <t>FA5222694</t>
  </si>
  <si>
    <t>Dil setifikasi var sevk olmadan teslim etmis</t>
  </si>
  <si>
    <t>Розметов Жамолбек Адилбекович</t>
  </si>
  <si>
    <t>FA4651695</t>
  </si>
  <si>
    <t>Ахмедов Обиджон Нематжонович</t>
  </si>
  <si>
    <t>FA5392480</t>
  </si>
  <si>
    <t>Туваков Сердар Аразбердиевич</t>
  </si>
  <si>
    <t>FK0327561</t>
  </si>
  <si>
    <t>Турдиев Салим Урол Угли</t>
  </si>
  <si>
    <t>FA6833478</t>
  </si>
  <si>
    <t>Эргашев Бахромжон Хасанбоевич</t>
  </si>
  <si>
    <t>FA1947119</t>
  </si>
  <si>
    <t>Холиков Жахонгир Окбой Угли</t>
  </si>
  <si>
    <t>FA5097556</t>
  </si>
  <si>
    <t>Шаропов Мавлонбек Билолдин угли</t>
  </si>
  <si>
    <t>FA4582652</t>
  </si>
  <si>
    <t>Абдужабборов Мухаммадали Жамолиддин Угли</t>
  </si>
  <si>
    <t>FA6435840</t>
  </si>
  <si>
    <t>05.05.2026 Sineva gitti gecemedi /14.05.2026 Sineva gitti gecemedi</t>
  </si>
  <si>
    <t xml:space="preserve">Раматжанов Миржалол Зийнат Угли </t>
  </si>
  <si>
    <t>FA1615936</t>
  </si>
  <si>
    <t>Чариев Абдумурат Абдимуминович</t>
  </si>
  <si>
    <t>FA1814756</t>
  </si>
  <si>
    <t>Рузметов Кувонч Собирович</t>
  </si>
  <si>
    <t>FA1586970</t>
  </si>
  <si>
    <t>Юлдошев Нуриддин Хасан Угли</t>
  </si>
  <si>
    <t>FA7004242</t>
  </si>
  <si>
    <t>Ziazetdinov Arslan / Ziazetdinov Arslan</t>
  </si>
  <si>
    <t>07.05.2026 Sineva gitti gecemedi /14.05.2026 Sineva gitti gecemedi</t>
  </si>
  <si>
    <t>Ic testimizden gecemiyor(Tekrar egitime alinacak)</t>
  </si>
  <si>
    <t>Каримов Алишер Алимбаевич</t>
  </si>
  <si>
    <t>FK0609905</t>
  </si>
  <si>
    <t>Файзуллаев Шохрух Алишер Угли</t>
  </si>
  <si>
    <t>FA4709470</t>
  </si>
  <si>
    <t xml:space="preserve">Валиев Тохирбек Рустамжон Угли </t>
  </si>
  <si>
    <t>FA0861064</t>
  </si>
  <si>
    <t>14.05.2026 Sineva gitti gecemedi</t>
  </si>
  <si>
    <t>Жураев Дониёрбек Дилшодбек Угли</t>
  </si>
  <si>
    <t>FK0413398</t>
  </si>
  <si>
    <t>Камбаров Шаробиддин Имомбердиевич</t>
  </si>
  <si>
    <t>FK0148496</t>
  </si>
  <si>
    <t>Курбанбаев Кахрамон Жуманазарович</t>
  </si>
  <si>
    <t>FK0086824</t>
  </si>
  <si>
    <t>Турсунбоев Абдулкодир Илхомжон угли</t>
  </si>
  <si>
    <t>FA9441733</t>
  </si>
  <si>
    <t>Хайдаров Равшанбек Рахмонали Угли</t>
  </si>
  <si>
    <t>FA8024767</t>
  </si>
  <si>
    <t>Холиков Низомжон Хасанович</t>
  </si>
  <si>
    <t>FA2308699</t>
  </si>
  <si>
    <t>14.05.2026 Sineva gitti gecdi</t>
  </si>
  <si>
    <t>Юсупов Дилмурод Миркомилович</t>
  </si>
  <si>
    <t>FK0120334</t>
  </si>
  <si>
    <t>Cikisa gedecegini bildirdi</t>
  </si>
  <si>
    <t>Ic testimizden gecemiyor (Senava gitmedi bigi verilmesine ramen)</t>
  </si>
  <si>
    <t>Алламуратов Мекан Магсатович</t>
  </si>
  <si>
    <t>FK0377980</t>
  </si>
  <si>
    <t>Ирназаров Абдулла Нарзиллаевич</t>
  </si>
  <si>
    <t>FA4011336</t>
  </si>
  <si>
    <t>07.05.2026 Sineva gitti gecemedi</t>
  </si>
  <si>
    <t xml:space="preserve">Ic testimizden gecemiyor(09/10/05.2026 egitime alindi) </t>
  </si>
  <si>
    <t>Нормуродов Отамурод Абрий Угли</t>
  </si>
  <si>
    <t>FB0209501</t>
  </si>
  <si>
    <t>Нурмаматов Эргашбек Хасан угли</t>
  </si>
  <si>
    <t>FA1972811</t>
  </si>
  <si>
    <t>Нурмаматов Азизбек Хасан Угли</t>
  </si>
  <si>
    <t>FA1461965</t>
  </si>
  <si>
    <t>05.05.2026 Sineva gitti gecemedi</t>
  </si>
  <si>
    <t>Рафиев Некруз Махмадлатифович</t>
  </si>
  <si>
    <t>30.04.2026/03.06.2026</t>
  </si>
  <si>
    <t>Tarih 02.05.2026 (Tarih 16.05.2026 )Bilgi verildi gelmedi</t>
  </si>
  <si>
    <t>Эргашев Эркин Хуррамович</t>
  </si>
  <si>
    <t>07.05.2026 Sineva gitti gecdi</t>
  </si>
  <si>
    <t>Эшмуротов Аслиддин Шухрат Угли</t>
  </si>
  <si>
    <t>FA9469848</t>
  </si>
  <si>
    <t>Юнусова Гулназ Исламбаевна</t>
  </si>
  <si>
    <t>FA0895829</t>
  </si>
  <si>
    <t>Дехконов Мавлуджон Кодиржон Угли</t>
  </si>
  <si>
    <t>FA5243455</t>
  </si>
  <si>
    <t xml:space="preserve">Каримов Шохрухбек Мавлонбек Угли </t>
  </si>
  <si>
    <t>FA9501299</t>
  </si>
  <si>
    <t>Матякубов Дилшад Азатович</t>
  </si>
  <si>
    <t>FA5057570</t>
  </si>
  <si>
    <t>Одилов Хасанжон Келдиёр Угли</t>
  </si>
  <si>
    <t>FA6294967</t>
  </si>
  <si>
    <t>Олимов Саиджон Хасанбой Угли</t>
  </si>
  <si>
    <t>FA3580629</t>
  </si>
  <si>
    <t>Раимбаев Санжар Шавкат Угли</t>
  </si>
  <si>
    <t>FA4814230</t>
  </si>
  <si>
    <t xml:space="preserve">Солижанов Мирзохиджон Адхам Угли </t>
  </si>
  <si>
    <t>FA3738096</t>
  </si>
  <si>
    <t>Tarih 09.05.206 Bilgi verildi gelmedi (Hursit Sefe mail atildi)</t>
  </si>
  <si>
    <t xml:space="preserve">Хайитов Сухроб Камол Угли </t>
  </si>
  <si>
    <t>FA3026308</t>
  </si>
  <si>
    <t>Абдувалиев Асадбек Салимжон Угли</t>
  </si>
  <si>
    <t>FA9849582</t>
  </si>
  <si>
    <t>20.05.2026 Sineva gitti gecdi</t>
  </si>
  <si>
    <t>Болтаев Умрзок Киличевич</t>
  </si>
  <si>
    <t>FA0462891</t>
  </si>
  <si>
    <t>Дилмурадов Истам Норбек Угли</t>
  </si>
  <si>
    <t>FA7215344</t>
  </si>
  <si>
    <t>14.05.2026 Sineva gitti gecemedi /19.05.2026 Sineva gitti gecdi</t>
  </si>
  <si>
    <t>Дусбеков Темур Кахраманович</t>
  </si>
  <si>
    <t>FB0429632</t>
  </si>
  <si>
    <t>15.05.2026 Sineva gitti gecdi</t>
  </si>
  <si>
    <t>Душанов Жамолиддин Олимжан Угли</t>
  </si>
  <si>
    <t>FA9874945</t>
  </si>
  <si>
    <t>Эргашов Шухрат Нортожиевич</t>
  </si>
  <si>
    <t>FA1525361</t>
  </si>
  <si>
    <t>14.05.2026 Sineva gitti gecemedi /19.05.2026 Sineva gitti gecemedi</t>
  </si>
  <si>
    <t>Гоипов Шерали Тожалиевич</t>
  </si>
  <si>
    <t>FA6978340</t>
  </si>
  <si>
    <t>Имамов Бобур Алим Угли</t>
  </si>
  <si>
    <t>FB0498272</t>
  </si>
  <si>
    <t>Келдиёров Журабек Фахриддин Угли</t>
  </si>
  <si>
    <t>FA9786789</t>
  </si>
  <si>
    <t>Хамроев Маруф Хусан Угли</t>
  </si>
  <si>
    <t>FA4325966</t>
  </si>
  <si>
    <t>Хурсанов Аббосбек Хасан Угли</t>
  </si>
  <si>
    <t>FA3879958</t>
  </si>
  <si>
    <t>Ковалчук Вячеслав Журакулович</t>
  </si>
  <si>
    <t>FA2002496</t>
  </si>
  <si>
    <t>19.05.2026 Sineva gitti gecdi</t>
  </si>
  <si>
    <t>Мингбоев Хайитали Муродиллоевич</t>
  </si>
  <si>
    <t>FA9589188</t>
  </si>
  <si>
    <t>Рахимов Хуршед Турахонович</t>
  </si>
  <si>
    <t>Kendi imkanlari ila sertifika getirdi ancak gecarsiz sinira gitip geldi</t>
  </si>
  <si>
    <t>Ражабов Ражоббой Хайитбаевич</t>
  </si>
  <si>
    <t>FA2616275</t>
  </si>
  <si>
    <t>Ражабов Баходир Болтабой Угли</t>
  </si>
  <si>
    <t>FB2244836</t>
  </si>
  <si>
    <t>Рахмонкулов Диёрбек Абдираимович</t>
  </si>
  <si>
    <t>FB2300368</t>
  </si>
  <si>
    <t>Рузимуродов Шерзод Муртоза Угли</t>
  </si>
  <si>
    <t>FA7046069</t>
  </si>
  <si>
    <t>Сатимов Анвар Нурмаметович</t>
  </si>
  <si>
    <t>FK0052693</t>
  </si>
  <si>
    <t>Саттаров Хасан Буриевич</t>
  </si>
  <si>
    <t>FA7593853</t>
  </si>
  <si>
    <t>Тошпулатов Диёрбек Турсинпулат Угли</t>
  </si>
  <si>
    <t>FA7453690</t>
  </si>
  <si>
    <t>Турамуродов Зайниддин Акмал Угли</t>
  </si>
  <si>
    <t>FA4693146</t>
  </si>
  <si>
    <t>Умедиллаев Далер Сойиб Угли</t>
  </si>
  <si>
    <t>FB2075444</t>
  </si>
  <si>
    <t>Уразбаев Тайир Абатович</t>
  </si>
  <si>
    <t>FK0329962</t>
  </si>
  <si>
    <t>Юсупов Улмасбек Асатович</t>
  </si>
  <si>
    <t>FA2005902</t>
  </si>
  <si>
    <t>Зиятов Алишер Юлдош Угли</t>
  </si>
  <si>
    <t>FA6178960</t>
  </si>
  <si>
    <t>Абдиманнонов Мансур Бурибоевич</t>
  </si>
  <si>
    <t>Абдуллаев Азизохун Озоджонович</t>
  </si>
  <si>
    <t>Абдумуродов Кодиржон Бахром Угли</t>
  </si>
  <si>
    <t>Бозоров Махмуд Исмоил Угли</t>
  </si>
  <si>
    <t>Болтаев Шохзод Бахрон Угли</t>
  </si>
  <si>
    <t>19.05.2026 Sineva gitti gecemedi /26.05.2026 Sineva gitti gecemedi</t>
  </si>
  <si>
    <t xml:space="preserve">Egitime alindi 11.05.2026 Ic testimizden gecemiyor </t>
  </si>
  <si>
    <t>Джуманиязов Азимбай Базарбаевич</t>
  </si>
  <si>
    <t>15.05.2026 Sineva gitti gecemedi /19.05.2026 Sineva gitti gecdi</t>
  </si>
  <si>
    <t>Жонузаков Мухаммадали Хуснидинович</t>
  </si>
  <si>
    <t>Жумаев Жахонгир Чори Угли</t>
  </si>
  <si>
    <t>Журакулов Темир Абдаким Угли</t>
  </si>
  <si>
    <t>FK0086050</t>
  </si>
  <si>
    <t xml:space="preserve">Келдиёров Шерзод Фахриддин Угли </t>
  </si>
  <si>
    <t>C04000058</t>
  </si>
  <si>
    <t>Кодиров Хуршид Рашидович</t>
  </si>
  <si>
    <t>C03711292</t>
  </si>
  <si>
    <t>Кулдошев Умиджон Тошмирзаевич</t>
  </si>
  <si>
    <t>С02483243</t>
  </si>
  <si>
    <t>Култаев Аваз Нурбоевич</t>
  </si>
  <si>
    <t>C05729497</t>
  </si>
  <si>
    <t>Лапасов Шавкат Хурсанович</t>
  </si>
  <si>
    <t>C05438839</t>
  </si>
  <si>
    <t>Мавлонов Акбар Жонтой-Аминович</t>
  </si>
  <si>
    <t>FB1247687</t>
  </si>
  <si>
    <t>Муратов Нурали Улашович</t>
  </si>
  <si>
    <t>FA2679329</t>
  </si>
  <si>
    <t>Назаров Закир Генжебаевич</t>
  </si>
  <si>
    <t>FA7187964</t>
  </si>
  <si>
    <t>Одамов Нурбек Отахон угли</t>
  </si>
  <si>
    <t>FA1520376</t>
  </si>
  <si>
    <t>Паттаев Хаётбек Хамдамбекович</t>
  </si>
  <si>
    <t>FA0563256</t>
  </si>
  <si>
    <t>26.05.2026 Sineva gitti gecemedi / 10.06.2026 Sineva gitti gecdi</t>
  </si>
  <si>
    <t>Tekrar egitime alinacak 9313577863  grannissa getip geledi</t>
  </si>
  <si>
    <t>Ражапбоев Элёр Азатбаевич</t>
  </si>
  <si>
    <t>FA6927115</t>
  </si>
  <si>
    <t>Реимбаев Зафар Камилжанович</t>
  </si>
  <si>
    <t>Салимов Мансур Рузимурот Угли</t>
  </si>
  <si>
    <t>FA7331025</t>
  </si>
  <si>
    <t>Саломов Элдор Носир Угли</t>
  </si>
  <si>
    <t>Тошпулатов Ахрорбек Хуршидбек Угли</t>
  </si>
  <si>
    <t>FA5165596</t>
  </si>
  <si>
    <t>Тургунбоев Абдухалил Эшмумин Угли</t>
  </si>
  <si>
    <t>FK0448937</t>
  </si>
  <si>
    <t>Тургунов Обиджон Толибжон угли</t>
  </si>
  <si>
    <t>FA7654663</t>
  </si>
  <si>
    <t>Ziazetdinov Arslan  / Tyulina Natalya</t>
  </si>
  <si>
    <t>22.05.2026 Sineva gitti gecdi</t>
  </si>
  <si>
    <t>Умиров Бахтиёр Бахриддинович</t>
  </si>
  <si>
    <t>FA6080587</t>
  </si>
  <si>
    <t>15.05.2026 Sineva gitti gecemedi /20.05.2026 Sineva gitti gecdi</t>
  </si>
  <si>
    <t xml:space="preserve">Хайдаров Нуриддин Холикул угли </t>
  </si>
  <si>
    <t>FA7068735</t>
  </si>
  <si>
    <t>20.05.2026 Sineva gitti gecemedi</t>
  </si>
  <si>
    <t>Хасанов Икбол Абдумуталович</t>
  </si>
  <si>
    <t>FA1581215</t>
  </si>
  <si>
    <t>20.05.2026 Sineva gitti gecemedi / 26.05.2026 Sineva gitti gecemedi</t>
  </si>
  <si>
    <t>Хасанов Ойбек Бердимурод угли</t>
  </si>
  <si>
    <t>FK0198363</t>
  </si>
  <si>
    <t>Ходжаев Жасурбек Файзуллаевич</t>
  </si>
  <si>
    <t>FA7896755</t>
  </si>
  <si>
    <t>Холмуминов Жасур Хаким Угли</t>
  </si>
  <si>
    <t>FA3717990</t>
  </si>
  <si>
    <t>Худойназаров Шерзод Рахматович</t>
  </si>
  <si>
    <t>FA4575478</t>
  </si>
  <si>
    <t>Менгалиев Юсуф Бахтиёр Угли</t>
  </si>
  <si>
    <t>FA3308835</t>
  </si>
  <si>
    <t>Маммадзаде Эльвин Абулфаз Оглы</t>
  </si>
  <si>
    <t>C04142691</t>
  </si>
  <si>
    <t>Хужамкулов Турдибек Нариманович</t>
  </si>
  <si>
    <t>FA1722436</t>
  </si>
  <si>
    <t>Эрданов Сухроб Утаганович</t>
  </si>
  <si>
    <t>FA7345799</t>
  </si>
  <si>
    <t>14.05.2026 </t>
  </si>
  <si>
    <t>Эшонкулов Сухроб Жаббор Угли</t>
  </si>
  <si>
    <t>FA2610914</t>
  </si>
  <si>
    <t>29.05.2026 Sineva gitti gecemedi / 03.06.2026 sineva gitti gecdi</t>
  </si>
  <si>
    <t xml:space="preserve">Жуманиязов Дилшод Сапарбаевич </t>
  </si>
  <si>
    <t>FA1038702</t>
  </si>
  <si>
    <t>26.05.2026 Sineva gitti gecdi</t>
  </si>
  <si>
    <t>Каландаров Сулаймон Эгамберганович</t>
  </si>
  <si>
    <t>FA9852846</t>
  </si>
  <si>
    <t>Караматов Жахонгир Илхом Угли</t>
  </si>
  <si>
    <t>FB1772888</t>
  </si>
  <si>
    <t>Каршиев Баходир Одил Угли</t>
  </si>
  <si>
    <t>FB0083163</t>
  </si>
  <si>
    <t>Каршиев Даврон Ибрагимович</t>
  </si>
  <si>
    <t>FA3283419</t>
  </si>
  <si>
    <t>Худойбердиев Сардорбек Нематжон Угли</t>
  </si>
  <si>
    <t>FA4346621</t>
  </si>
  <si>
    <t>Хуррамов Санжар Эсанович</t>
  </si>
  <si>
    <t>FA9001322</t>
  </si>
  <si>
    <t>Хурсанов Нуркомил Шодмон Угли</t>
  </si>
  <si>
    <t>FA6376544</t>
  </si>
  <si>
    <t xml:space="preserve">Хусанов Худойназар Шерали Угли </t>
  </si>
  <si>
    <t>FA1985072</t>
  </si>
  <si>
    <t>Курбанов Нагмат Чарыевич</t>
  </si>
  <si>
    <t>FK0030705</t>
  </si>
  <si>
    <t>Махмудов Шодмон Хурсанович</t>
  </si>
  <si>
    <t>FA7209454</t>
  </si>
  <si>
    <t>Маманазаров Бекзод Илхомович</t>
  </si>
  <si>
    <t>FB2277756</t>
  </si>
  <si>
    <t>21.05.2026 Sineva gitti gecdi</t>
  </si>
  <si>
    <t xml:space="preserve">Мейликулов Хусниддин Михли Угли </t>
  </si>
  <si>
    <t>FA5714776</t>
  </si>
  <si>
    <t>Муртазов Элбек Мухтарович</t>
  </si>
  <si>
    <t>FB1127938</t>
  </si>
  <si>
    <t>Муртазов Ойбек Мухторович</t>
  </si>
  <si>
    <t>FB1241229</t>
  </si>
  <si>
    <t>Низомиддинов Шохрух Кутбиддин Угли</t>
  </si>
  <si>
    <t>FA7188140</t>
  </si>
  <si>
    <t xml:space="preserve">Норбутаев Орифжон Бахриддинович </t>
  </si>
  <si>
    <t>FB0974710</t>
  </si>
  <si>
    <t>Нормуродов Жалол Жамшид Угли</t>
  </si>
  <si>
    <t>FB2330778</t>
  </si>
  <si>
    <t>Носиров Достон Нажмиддин Угли</t>
  </si>
  <si>
    <t>FB2169425</t>
  </si>
  <si>
    <t>Нуркобилов Файзулла Рахматулла Угли</t>
  </si>
  <si>
    <t>FA9106047</t>
  </si>
  <si>
    <t xml:space="preserve">Омонкулов Хасан Мухиддин Угли </t>
  </si>
  <si>
    <t>FA9055015</t>
  </si>
  <si>
    <t>Палванов Хамидбек Одилбекович</t>
  </si>
  <si>
    <t>FA3042581</t>
  </si>
  <si>
    <t xml:space="preserve">Рахимов Сардор Хусинович </t>
  </si>
  <si>
    <t>FA3978231</t>
  </si>
  <si>
    <t>Садуллаев Хусан Баходир Угли</t>
  </si>
  <si>
    <t>FB2259571</t>
  </si>
  <si>
    <t>Абилаев Гулом Дилмурод Угли</t>
  </si>
  <si>
    <t>FA5190320</t>
  </si>
  <si>
    <t>10.06.2026 Sineva gitti gecdi /10.06.2026 Sineva gitti gecdi</t>
  </si>
  <si>
    <t>Саидмуродов Хусан Икромович</t>
  </si>
  <si>
    <t>FB2075033</t>
  </si>
  <si>
    <t xml:space="preserve">Туратов Жумабой Журабой Угли </t>
  </si>
  <si>
    <t>FA9115308</t>
  </si>
  <si>
    <t>Турдиалиев Жахонгир Бахтиёр Угли</t>
  </si>
  <si>
    <t>FA8975879</t>
  </si>
  <si>
    <t xml:space="preserve">Турдиев Шахзод Дилшод Угли </t>
  </si>
  <si>
    <t>FA8235158</t>
  </si>
  <si>
    <t>Юлдашев Навруз Эшмахаматович</t>
  </si>
  <si>
    <t>FA6826292</t>
  </si>
  <si>
    <t>22.05.2026 Sineva gitti gecemedi /26.05.2026 Sineva gitti gecdi</t>
  </si>
  <si>
    <t>Зиятов Бахром Бахтиёр Угли</t>
  </si>
  <si>
    <t>FB1006111</t>
  </si>
  <si>
    <t>Абаев Мекан Уринбай Угли</t>
  </si>
  <si>
    <t>Ахраров Олимжон Ахматович</t>
  </si>
  <si>
    <t>Аликулов Жавохир Нурмухаммадович</t>
  </si>
  <si>
    <t>26.05.2026 Sineva gitti gecemedi / 03.06.2026 sineva gitti gecdi</t>
  </si>
  <si>
    <t>Алламов Рустам Отаназарович</t>
  </si>
  <si>
    <t>Алламов Жасур Кадирберганович</t>
  </si>
  <si>
    <t>26.05.2026 Sineva gitti gecemedi/05.06.2026 Sineva gitti gecdi</t>
  </si>
  <si>
    <t>Аннамуратов Жавлон Рузимбоевич</t>
  </si>
  <si>
    <t>Давлатов Бердиали Ражабович</t>
  </si>
  <si>
    <t>Давлатёров Диёр Адилбек Угли</t>
  </si>
  <si>
    <t xml:space="preserve">Ic testimizden gecemiyor(18.05.2026 egitime alindi) </t>
  </si>
  <si>
    <t>Sertifikasi sahta cikmis UFMSten direk polisler goturdu islemleri iptal edildi</t>
  </si>
  <si>
    <t>Исломов Хайридин Бахридинович</t>
  </si>
  <si>
    <t>Худойбердиев Гофир Камолидинович</t>
  </si>
  <si>
    <t>FB1277956</t>
  </si>
  <si>
    <t>Хужакулов Фаёз Алламуратович</t>
  </si>
  <si>
    <t>Хусанов Бахром Сойибович</t>
  </si>
  <si>
    <t>Кудратов Сахобиддин Жумаевич</t>
  </si>
  <si>
    <t>Куранбаев Санжарбек Азатбаевич</t>
  </si>
  <si>
    <t>FA4642412</t>
  </si>
  <si>
    <t>20.05.2026 Sineva gitti gecemedi /27.05.2026 Sineva gitti gecdi</t>
  </si>
  <si>
    <t>Мамажонов Абдулазизхон Абдугани Угли</t>
  </si>
  <si>
    <t>FA9034553</t>
  </si>
  <si>
    <t>Мардиев Хабиб Хуррамович</t>
  </si>
  <si>
    <t>FA3648450</t>
  </si>
  <si>
    <t>Мирзаев Анвар Файзуллаевич</t>
  </si>
  <si>
    <t>FA8064333</t>
  </si>
  <si>
    <t>Мискинов Шавкат Бегмиратович</t>
  </si>
  <si>
    <t>FA1777090</t>
  </si>
  <si>
    <t>Раджапов Турсунбой Зарипович</t>
  </si>
  <si>
    <t>FK0088061</t>
  </si>
  <si>
    <t>29.05.2026 Sineva gitti gecdi</t>
  </si>
  <si>
    <t>Ражабов Бахтиёр Паррух Угли</t>
  </si>
  <si>
    <t>FA9430219</t>
  </si>
  <si>
    <t>Рузикулов Журабек Акрамкулович</t>
  </si>
  <si>
    <t>FA8411539</t>
  </si>
  <si>
    <t>Суюнов Шокиржон Джуракулович</t>
  </si>
  <si>
    <t>FB0230142</t>
  </si>
  <si>
    <t>Тугалов Шухрат Эшпулатович</t>
  </si>
  <si>
    <t>FA6712752</t>
  </si>
  <si>
    <t>20.05.2026 Sineva gitti gecemedi /26.05.2026 Sineva gitti gecdi</t>
  </si>
  <si>
    <t>Юлдашев Джамолиддин Абдухоликович</t>
  </si>
  <si>
    <t>FA1837469</t>
  </si>
  <si>
    <t>Эфендиева Ясемен Хаджымаммад кызы</t>
  </si>
  <si>
    <t>Курбанов Аскарали Маматкаримович</t>
  </si>
  <si>
    <t>FA4515556</t>
  </si>
  <si>
    <t xml:space="preserve">Мадаминов Голибжон Иброхим Угли </t>
  </si>
  <si>
    <t>FA6530640</t>
  </si>
  <si>
    <t xml:space="preserve">Махмудов Аслиддин Кудратович </t>
  </si>
  <si>
    <t>FA5111328</t>
  </si>
  <si>
    <t xml:space="preserve">Муротов Бойбури Абдусатторович </t>
  </si>
  <si>
    <t>FA1891347</t>
  </si>
  <si>
    <t xml:space="preserve">Нурматов Нурилло Алишер Угли </t>
  </si>
  <si>
    <t>FA3157437</t>
  </si>
  <si>
    <t xml:space="preserve">Уктамов Асадбек Голиб Угли </t>
  </si>
  <si>
    <t>FA7012343</t>
  </si>
  <si>
    <t>26.05.2026 Sineva gitti gecemedi /18.05.2026 Ic testimizden gecemedi</t>
  </si>
  <si>
    <t xml:space="preserve">Ic testimizden gecemiyor(18.05.2026 egitime alindi)( egtim son guni gelmedi) Tekrar egitime alinacak </t>
  </si>
  <si>
    <t xml:space="preserve">Урманов Голибжон Олимжон Угли </t>
  </si>
  <si>
    <t>FA1546184</t>
  </si>
  <si>
    <t xml:space="preserve">Эргашев Отабек Одилжон угли </t>
  </si>
  <si>
    <t>FA6395338</t>
  </si>
  <si>
    <t>Аликулов Акобир Мирсолих Угли</t>
  </si>
  <si>
    <t>FA9043407</t>
  </si>
  <si>
    <t>Валиев Мурод Хусанбаевич</t>
  </si>
  <si>
    <t>FA1565728</t>
  </si>
  <si>
    <t xml:space="preserve">Юнусалиев Лутфулло Хусанбой Угли </t>
  </si>
  <si>
    <t>FA5980873</t>
  </si>
  <si>
    <t>Позилов Илхомжон Гофурович</t>
  </si>
  <si>
    <t>FA1607370</t>
  </si>
  <si>
    <t>Аликулов Гофур Юсупович</t>
  </si>
  <si>
    <t>FA9417340</t>
  </si>
  <si>
    <t>Аликулов Хуршид Содикович</t>
  </si>
  <si>
    <t>FB2368213</t>
  </si>
  <si>
    <t>Бахтиёров Фирдавс Санат Угли</t>
  </si>
  <si>
    <t>FA7982530</t>
  </si>
  <si>
    <t>Дадабоев Мухидин Турсунмаматович</t>
  </si>
  <si>
    <t>FB0955217</t>
  </si>
  <si>
    <t>Ziazetdinov Arslan  / Tyulina Natalya/ Arslan</t>
  </si>
  <si>
    <t>29.05.2026 Sineva gitti gecemedi /18.05.2026 Ic testimizden gecemedi/05.06.2026 Sineva gitti gecdi</t>
  </si>
  <si>
    <t>Хужамкул Пойон Абсалом угли</t>
  </si>
  <si>
    <t>FA6834133</t>
  </si>
  <si>
    <t>Исаков Нуриддинжон Холматжон Угли</t>
  </si>
  <si>
    <t>FA7949811</t>
  </si>
  <si>
    <t>Исаков Рахматилло Илёсиддин Угли</t>
  </si>
  <si>
    <t>FA4857987</t>
  </si>
  <si>
    <t>Ic testimizden gecemiyor(18.05.2026 egitime alindi)  Tekrar egitime alinacak</t>
  </si>
  <si>
    <t>Исматов Гуломжон Хаитбаевич</t>
  </si>
  <si>
    <t>FB2347505</t>
  </si>
  <si>
    <t>Жалолов Азизжон Сайдахматович</t>
  </si>
  <si>
    <t>FA6048600</t>
  </si>
  <si>
    <t>Жамолов Нурмухаммад Зиёвиддин Угли</t>
  </si>
  <si>
    <t>FB1826138</t>
  </si>
  <si>
    <t>Кахрамонов Достон Рустам Угли</t>
  </si>
  <si>
    <t>FA5429736</t>
  </si>
  <si>
    <t>Химматкулов Ботир Мавлонович</t>
  </si>
  <si>
    <t>FA1705673</t>
  </si>
  <si>
    <t>Хожиханов Комил Нуриллахонович</t>
  </si>
  <si>
    <t>FA7584472</t>
  </si>
  <si>
    <t>21.05.2026 Sineva gitti gecemedi /26.05.2026 Sineva gitti gecdi</t>
  </si>
  <si>
    <t>Холмирзаев Абдугафор Эргашбаевич</t>
  </si>
  <si>
    <t>FB0163037</t>
  </si>
  <si>
    <t>Холмирзаев Сардор Машрабжон Угли</t>
  </si>
  <si>
    <t>FA5233442</t>
  </si>
  <si>
    <t>Худойкулов Мансур Гайратович</t>
  </si>
  <si>
    <t>FA5549201</t>
  </si>
  <si>
    <t>22.05.2026 Sineva gitti gecemedi</t>
  </si>
  <si>
    <t>Tarih 27.05.2026Egitim icin bilgi verildi gelmedi</t>
  </si>
  <si>
    <t>Кодиров Хусанхон Мунаввархон Угли</t>
  </si>
  <si>
    <t>FA5921954</t>
  </si>
  <si>
    <t>Taskentda gecmis sinavdan</t>
  </si>
  <si>
    <t>Мирзахмедов Мадаминжон Махмутжонович</t>
  </si>
  <si>
    <t>FA6605475</t>
  </si>
  <si>
    <t>Муротов Сирожиддин Сапарович</t>
  </si>
  <si>
    <t>FA6899704</t>
  </si>
  <si>
    <t>Назаров Умид Абдуназарович</t>
  </si>
  <si>
    <t>FA0210742</t>
  </si>
  <si>
    <t>Ниёзмуродов Файзали Ибодович</t>
  </si>
  <si>
    <t>FA2647256</t>
  </si>
  <si>
    <t>Нурматов Садриддин Сайпитдин Угли</t>
  </si>
  <si>
    <t>FA7277297</t>
  </si>
  <si>
    <t>Олимов Акмал Ёмгурович</t>
  </si>
  <si>
    <t>FA3223083</t>
  </si>
  <si>
    <t>Ic testimizden gecemiyor  (Tarih 18.05.2026/22.05.2026 )</t>
  </si>
  <si>
    <t xml:space="preserve">Ic testimizden gecemiyor(19.05.2026/22.05.2026) egitime alindi) </t>
  </si>
  <si>
    <t>Пулатов Алимардон Абдуваннобович</t>
  </si>
  <si>
    <t>FA0418205</t>
  </si>
  <si>
    <t>Ражабов Шахзод Курбонмуродзода</t>
  </si>
  <si>
    <t>FA1675891</t>
  </si>
  <si>
    <t>Рахмоналиев Жамшид Хурсандали Угли</t>
  </si>
  <si>
    <t>FA4167558</t>
  </si>
  <si>
    <t>Рашидов Амриддин Абдурахим угли</t>
  </si>
  <si>
    <t>FA3023842</t>
  </si>
  <si>
    <t>Ic testimizden gecemiyor(27.05.2026 egitime alindi) /05.06.2026 Sineva gitti gecdi</t>
  </si>
  <si>
    <t>Саматов Абдусаттор Гуломович</t>
  </si>
  <si>
    <t>FA6596556</t>
  </si>
  <si>
    <t>26.05.2026 Sineva gitti gecdi / 18.05.2026 Ic testimizden gecemedi</t>
  </si>
  <si>
    <t>Шукуров Камронбек Жамшид Угли</t>
  </si>
  <si>
    <t>FB1747433</t>
  </si>
  <si>
    <t>Сомсаков Элёрбек Хусанович</t>
  </si>
  <si>
    <t>FA1216630</t>
  </si>
  <si>
    <t>Ziazetdinov Arslan  / Tyulina Natalya/Arslan</t>
  </si>
  <si>
    <t>Ic testimizden gecemiyor(18.05.2026/27.05.2026 egitime alindi /05.06.2026 Sineva gitti gecdi</t>
  </si>
  <si>
    <t>Султанов Хаётжон Авазович</t>
  </si>
  <si>
    <t>FB2380564</t>
  </si>
  <si>
    <t>Суюнов Бахтияр Хушвактович</t>
  </si>
  <si>
    <t>FA4805180</t>
  </si>
  <si>
    <t>Ташпулатов Зафар Эшпулатович</t>
  </si>
  <si>
    <t>FA4491840</t>
  </si>
  <si>
    <t>27.05.2026 Sineva gitti gecdi</t>
  </si>
  <si>
    <t>Тоштонов Абдухалил Музаффар Угли</t>
  </si>
  <si>
    <t>FA8782432</t>
  </si>
  <si>
    <t>Туйчиев Миржалол Хомитжон Угли</t>
  </si>
  <si>
    <t>FA0750942</t>
  </si>
  <si>
    <t>Умирзаков Шодмонбек Шодилбекович</t>
  </si>
  <si>
    <t>FA1589405</t>
  </si>
  <si>
    <t>Умурзаков Фарход Гуломович</t>
  </si>
  <si>
    <t>FA2157596</t>
  </si>
  <si>
    <t>Уралов Шахбоз Алишер Угли</t>
  </si>
  <si>
    <t>FB0975674</t>
  </si>
  <si>
    <t>Валиев Саиджон Абдулхайевич</t>
  </si>
  <si>
    <t>FA3032914</t>
  </si>
  <si>
    <t>26.05.2026 Sineva gitti gecemedi/05.06.2026 Sineva gitti gecemedi</t>
  </si>
  <si>
    <t>Юлдашев Кадамбой Рашидович</t>
  </si>
  <si>
    <t>FK0429722</t>
  </si>
  <si>
    <t>Закиров Аброржон Собирович</t>
  </si>
  <si>
    <t>FA0859650</t>
  </si>
  <si>
    <t>22.05.2026 Sineva gitti gecemedi /29.05.2026 Sineva gitti gecdi</t>
  </si>
  <si>
    <t>Эшонкулов Дилшод Салим Угли</t>
  </si>
  <si>
    <t>FA9909535</t>
  </si>
  <si>
    <t>Худойбердиев Бахром Исматович</t>
  </si>
  <si>
    <t>FA1617509</t>
  </si>
  <si>
    <t>Сафаров Садридин Давронович</t>
  </si>
  <si>
    <t xml:space="preserve">Алмасов Жасурбек Ахрор Угли </t>
  </si>
  <si>
    <t>FB0872083</t>
  </si>
  <si>
    <t xml:space="preserve">Бобокулов Салохиддин Расул </t>
  </si>
  <si>
    <t>FA6114781</t>
  </si>
  <si>
    <t>03.06.2026 Sineva gitti gecdi</t>
  </si>
  <si>
    <t>Джумаев Шакарбой Нуриддинович</t>
  </si>
  <si>
    <t>FA6846026</t>
  </si>
  <si>
    <t xml:space="preserve">Хасанов Элдор Урал Угли </t>
  </si>
  <si>
    <t>FA9729561</t>
  </si>
  <si>
    <t>Куранбоев Шохруххон Шухрат угли</t>
  </si>
  <si>
    <t>FA1988462</t>
  </si>
  <si>
    <t>Маллаев Бахтиёржон Фуркат Угли</t>
  </si>
  <si>
    <t>FA7818502</t>
  </si>
  <si>
    <t>Райимов Нуриддин Бердикобил Угли</t>
  </si>
  <si>
    <t>FA5897064</t>
  </si>
  <si>
    <t xml:space="preserve">Сатимов Гуломжон Аматжанович </t>
  </si>
  <si>
    <t>FA2545108</t>
  </si>
  <si>
    <t>Уринбоев Нодирбек Хамдам Угли</t>
  </si>
  <si>
    <t>FA9443669</t>
  </si>
  <si>
    <t>Эгамов Кувончбек Жалол Угли</t>
  </si>
  <si>
    <t>FA3463093</t>
  </si>
  <si>
    <t>Очилов Умид Рахмонбердиевич</t>
  </si>
  <si>
    <t>FA5438261</t>
  </si>
  <si>
    <t>Аминжонов Козимжон Нозимжон Угли</t>
  </si>
  <si>
    <t>FA5703133</t>
  </si>
  <si>
    <t>Аразов Тиркеш Нуруллаевич</t>
  </si>
  <si>
    <t>FK0126722</t>
  </si>
  <si>
    <t>Астанов Олмас Азамкулович</t>
  </si>
  <si>
    <t>FB1597496</t>
  </si>
  <si>
    <t>Азизов Солохиддин Собитхонович</t>
  </si>
  <si>
    <t>FB2377400</t>
  </si>
  <si>
    <t>Батиров Алижан Якуббаевич</t>
  </si>
  <si>
    <t>FK0068020</t>
  </si>
  <si>
    <t>Ic testimizden gecemiyor(26.05.2026 egitime alindi) (01.06.2026 egitime alindi)</t>
  </si>
  <si>
    <t>Боймирзаев Хаётбек Отамирзаевич</t>
  </si>
  <si>
    <t>FA2088709</t>
  </si>
  <si>
    <t>Эгамберганов Хажибой Кадамович</t>
  </si>
  <si>
    <t>FA3097802</t>
  </si>
  <si>
    <t>Эгамов Ахрор Бобожон угли</t>
  </si>
  <si>
    <t>FA7100026</t>
  </si>
  <si>
    <t>Курамбаев Жушкинбек Бахром Угли</t>
  </si>
  <si>
    <t>FA5687684</t>
  </si>
  <si>
    <t>Мадреимов Жавохир Санжар Угли</t>
  </si>
  <si>
    <t>FK0176669</t>
  </si>
  <si>
    <t>Махсудов Зафар Икром Угли</t>
  </si>
  <si>
    <t>FK0227392</t>
  </si>
  <si>
    <t>29.05.2026 Sineva gitti gecemedi (Ic testimizden gecemiyor 01.06.2026 egitime alindi)</t>
  </si>
  <si>
    <t>Матюсупов Хасанбой Кодирович</t>
  </si>
  <si>
    <t>FA1654673</t>
  </si>
  <si>
    <t>29.05.2026 Sineva gitti gecemedi /05.06.2026 Sineva gitti gecdi</t>
  </si>
  <si>
    <t>Назаров Руфат Сапарбаевич</t>
  </si>
  <si>
    <t>FK0336014</t>
  </si>
  <si>
    <t>Орибжонов Хаётилло Зокиржон Угли</t>
  </si>
  <si>
    <t>FA5218168</t>
  </si>
  <si>
    <t>Отамирзаев Бекзодбек Хаётбек Угли</t>
  </si>
  <si>
    <t>FA4475010</t>
  </si>
  <si>
    <t>Озодов Абдулла Эгамберган Угли</t>
  </si>
  <si>
    <t>FA1739065</t>
  </si>
  <si>
    <t>Рузибаев Рузибой Кенжаевич</t>
  </si>
  <si>
    <t>FA3447735</t>
  </si>
  <si>
    <t>Саидов Хасанбой Эгамберди Угли</t>
  </si>
  <si>
    <t>FA2420854</t>
  </si>
  <si>
    <t>Уролов Арслонбек Алимкул Угли</t>
  </si>
  <si>
    <t>FB1661881</t>
  </si>
  <si>
    <t>26.05.2026 Sineva gitti gecemedi (Ic testimizden gecemiyor 01.06.2026 egitime alindi)(09.06.2026 Sineva gitti gecdi)</t>
  </si>
  <si>
    <t>Зокиров Исомиддин Собирджонович</t>
  </si>
  <si>
    <t>Ic testimizden gecemiyor(26.05.2026 egitime alindi)  (01.06.2026 egitime alindi)</t>
  </si>
  <si>
    <t>Зуфаров Фозилжон Акрамович</t>
  </si>
  <si>
    <t>FA2608044</t>
  </si>
  <si>
    <t>Абдурахмонов Санат Сирожиддин Угли</t>
  </si>
  <si>
    <t>FB0731017</t>
  </si>
  <si>
    <t>05.06.2026 Sineva gitti gecdi</t>
  </si>
  <si>
    <t>Tarih 27.05.2026Egitim icin bilgi verildi gelmedi 9215709512</t>
  </si>
  <si>
    <t>Амонов Юлдош Хушбакович</t>
  </si>
  <si>
    <t>FA5309517</t>
  </si>
  <si>
    <t>03.06.2026 Sineva gitti gecemedi / 10.06.2026 Sineva gitti gecdi</t>
  </si>
  <si>
    <t xml:space="preserve">Tekrar egitime alinacak </t>
  </si>
  <si>
    <t>Баймуратов Гайгисиз Бекдурдыевич</t>
  </si>
  <si>
    <t>FK0451863</t>
  </si>
  <si>
    <t>Бобоёров Кобил Орзикулович</t>
  </si>
  <si>
    <t>FB1230126</t>
  </si>
  <si>
    <t>Даллиев Сирожиддин Сунатилло угли</t>
  </si>
  <si>
    <t>FA2762785</t>
  </si>
  <si>
    <t>Джуманиязов Шерзод Артикбаевич</t>
  </si>
  <si>
    <t>FB1393573</t>
  </si>
  <si>
    <t>Гасимов Эмил Вахид Оглы</t>
  </si>
  <si>
    <t>C03968894</t>
  </si>
  <si>
    <t>Имамгулуев Эшгин Ильхам оглы</t>
  </si>
  <si>
    <t>C02426719</t>
  </si>
  <si>
    <t>Ic testimizden gecemiyor(27.05.2026 egitime alindi) / 05.06.2026 sineva gitti gecdi</t>
  </si>
  <si>
    <t>Искандаров Рустамжон Абдуллаевич</t>
  </si>
  <si>
    <t>FB2415612</t>
  </si>
  <si>
    <t>Tarih 27.05.2026Egitim icin bilgi verildi gelmedi  9315947291</t>
  </si>
  <si>
    <t>Исмаилов Боходир Хайдарович</t>
  </si>
  <si>
    <t>FA6874737</t>
  </si>
  <si>
    <t>Исматов Жамшид Сагди Угли</t>
  </si>
  <si>
    <t>FB1597785</t>
  </si>
  <si>
    <t>16.06.2026 Sineva gitti gecdi</t>
  </si>
  <si>
    <t>bilgi verildi derse gimedi</t>
  </si>
  <si>
    <t>Хакимов Миртоза Эрниязович</t>
  </si>
  <si>
    <t>FA8945646</t>
  </si>
  <si>
    <t>Хайдаров Сардор Сайдулла Угли</t>
  </si>
  <si>
    <t>FA8224159</t>
  </si>
  <si>
    <t>Мамараимов Фарход Ниматуллаевич</t>
  </si>
  <si>
    <t>FA1942655</t>
  </si>
  <si>
    <t>Мардонов Даминжон Зойир угли</t>
  </si>
  <si>
    <t>FA3800081</t>
  </si>
  <si>
    <t>Норкулов Азиз Боборажабович</t>
  </si>
  <si>
    <t>FA1452260</t>
  </si>
  <si>
    <t>Нумонов Хусан Голиб Угли</t>
  </si>
  <si>
    <t>FB0728162</t>
  </si>
  <si>
    <t>29.05.2026 Sineva gitti gecemedi</t>
  </si>
  <si>
    <t>Petera gitip gelacak sinav icin</t>
  </si>
  <si>
    <t>Нурбоев Байрамали Боймирзаевич</t>
  </si>
  <si>
    <t>FB2311971</t>
  </si>
  <si>
    <t>Нуриев Натиг Элшан Оглы</t>
  </si>
  <si>
    <t>C05619361</t>
  </si>
  <si>
    <t>Нурманов Руслан Нурбек Угли</t>
  </si>
  <si>
    <t>FA7531203</t>
  </si>
  <si>
    <t>Садинов Хайрилло Акмалович</t>
  </si>
  <si>
    <t>FA4805572</t>
  </si>
  <si>
    <t>Ic testimizden gecemiyor(27.05.2026 egitime alindi)/  05.06.2026 Sineva gitti gecemedi</t>
  </si>
  <si>
    <t>Шоназаров Диёрбек Исматилло Угли</t>
  </si>
  <si>
    <t>FB2178128</t>
  </si>
  <si>
    <t>Тошпулатов Озодбек Насриддин Угли</t>
  </si>
  <si>
    <t>FA8933686</t>
  </si>
  <si>
    <t>29.05.2026 Sineva gitti gecemedi /16.06.2026 Sineva gitti gecemedi</t>
  </si>
  <si>
    <t>Мамажонов Икболжон Хурсанбоевич</t>
  </si>
  <si>
    <t>FA4245033</t>
  </si>
  <si>
    <t xml:space="preserve">(Ic testimizden gecemedi 27.05.2026) 03.06.2026 Sineva gitti gecemedi </t>
  </si>
  <si>
    <t>Махмудов Достон Усмоналиевич</t>
  </si>
  <si>
    <t>FA2103783</t>
  </si>
  <si>
    <t>Дадабоев Аброрбек Махмуджон Угли</t>
  </si>
  <si>
    <t>FA4478398</t>
  </si>
  <si>
    <t>Солиев Илёсбек Зиядилло Угли</t>
  </si>
  <si>
    <t>FA2413384</t>
  </si>
  <si>
    <t>Худойкулов Низом Маматович</t>
  </si>
  <si>
    <t>Ic testimizden gecemiyor(27.05.2026 egitime alindi) / 03.06.2026 sineva gitti gecdi</t>
  </si>
  <si>
    <t xml:space="preserve">Хужаназаров Дониёр Сабурбай Угли </t>
  </si>
  <si>
    <t>FK0418236</t>
  </si>
  <si>
    <t>Абдуллаев Шерали Худайбердиевич</t>
  </si>
  <si>
    <t>FA6626004</t>
  </si>
  <si>
    <t>Дусмаматов Жураназар Эшкурбон Угли</t>
  </si>
  <si>
    <t>FA1840101</t>
  </si>
  <si>
    <t>Гойибова Гулзодахон Бурхоновна</t>
  </si>
  <si>
    <t>FA2133429</t>
  </si>
  <si>
    <t>10.06.2026 Sineva gitti gecdi</t>
  </si>
  <si>
    <t xml:space="preserve"> Tarih 01.05.2026 Kendisi petere gitmis</t>
  </si>
  <si>
    <t>Диёров Дилшод Мусурмонович</t>
  </si>
  <si>
    <t>FA1938216</t>
  </si>
  <si>
    <t>Ic testimizden gecemiyor (06.06.2026 egitime alindi)/16.06.2026 Sineva gitti gecemedi</t>
  </si>
  <si>
    <t>Жахонов Диёрбек Нусратилло Угли</t>
  </si>
  <si>
    <t>FB2472195</t>
  </si>
  <si>
    <t>Каршибоев Отабек Улугбек Угли</t>
  </si>
  <si>
    <t>FA3960265</t>
  </si>
  <si>
    <t>05.05.2026 Sineva gitti gecemedi / 10.06.2026 Sineva gitti gecdi</t>
  </si>
  <si>
    <t>Келдиёров Шохзод Зафар Угли</t>
  </si>
  <si>
    <t>FA5773986</t>
  </si>
  <si>
    <t>Меликулов Нодир Кодирбердиевич</t>
  </si>
  <si>
    <t>FA2515815</t>
  </si>
  <si>
    <t>Ic testimizden gecemiyor (01.06.2026 egitime alindi)(09.06.2026 Sineva gitti gecdi)</t>
  </si>
  <si>
    <t>Раупов Рустамбек Гиёс Угли</t>
  </si>
  <si>
    <t>FA3227398</t>
  </si>
  <si>
    <t>Ic testimizden gecemiyor (01.06.2026 egitime alindi)(06.06.2026 egitime alindi)</t>
  </si>
  <si>
    <t>Янгибоев Икром Соатмурадович</t>
  </si>
  <si>
    <t>FA1902463</t>
  </si>
  <si>
    <t>Жураев Шерали Нортайевич</t>
  </si>
  <si>
    <t>FA4467359</t>
  </si>
  <si>
    <t>Ic testimizden gecemiyor (01.06.2026 egitime alindi)(09.06.2026 Sineva gitti gecemedi)</t>
  </si>
  <si>
    <t>Махмудов Одилжон Рахимжонович</t>
  </si>
  <si>
    <t>FB0831610</t>
  </si>
  <si>
    <t xml:space="preserve"> Tarih 10.06.2026 Sineve bilgi verildi gelmedi</t>
  </si>
  <si>
    <t>Аллаёров Хикматбек Ибрагимович</t>
  </si>
  <si>
    <t>FA1232272</t>
  </si>
  <si>
    <t>Алмардонов Курбонмурод Чориевич</t>
  </si>
  <si>
    <t>FA5982089</t>
  </si>
  <si>
    <t>Амиркулов Асадбек Баходир Угли</t>
  </si>
  <si>
    <t>FA7040950</t>
  </si>
  <si>
    <t>Амиркулов Маруф Махаммади угли</t>
  </si>
  <si>
    <t>FA5436718</t>
  </si>
  <si>
    <t>Гаффорова Шохиста Баходир Кизи</t>
  </si>
  <si>
    <t>FA2690388</t>
  </si>
  <si>
    <t>Каршиев Бахтиёр Шоди Угли</t>
  </si>
  <si>
    <t>FA5967396</t>
  </si>
  <si>
    <t xml:space="preserve"> Tarih 01.06.2026 Bilgi verildi gelmedi</t>
  </si>
  <si>
    <t>Кодиров Улугбек Хакимжонович</t>
  </si>
  <si>
    <t>FB0592272</t>
  </si>
  <si>
    <t>Ic testimizden gecemiyor (01.06.2026 egitime alindi)(09.06.2026 Sineva gitti gecemedi)16.06.2026 Sineva gitti gecemedi</t>
  </si>
  <si>
    <t>Маммадли Гейсар Намиг оглы</t>
  </si>
  <si>
    <t>C02052978</t>
  </si>
  <si>
    <t>Назаров Кувондик Кадамович</t>
  </si>
  <si>
    <t>FA1630893</t>
  </si>
  <si>
    <t>Нурматов Муроджон Рустамджонович</t>
  </si>
  <si>
    <t>Рузибоев Сардорбек Абдирим Угли</t>
  </si>
  <si>
    <t>FA4333720</t>
  </si>
  <si>
    <t>Ic testimizden gecemiyor (06.06.2026 egitime alindi)</t>
  </si>
  <si>
    <t xml:space="preserve">Sohruh ogo Tekrar egitime alinacak </t>
  </si>
  <si>
    <t>Абдиев Равшанбек Бобомурот Угли</t>
  </si>
  <si>
    <t>FA3959564</t>
  </si>
  <si>
    <t>09.06.2026 Sineva gitti gecemedi /19.06.2026 Sineva gitti gecdi</t>
  </si>
  <si>
    <t>Сапарбаев Гафур Исламбаевич</t>
  </si>
  <si>
    <t>FK0323141</t>
  </si>
  <si>
    <t>Исмоилов Хикматулло Караматуллоевич</t>
  </si>
  <si>
    <t>19.06.2026 Sineva gitti gecemedi/23.06.2026 Sineva gitti gecemedi</t>
  </si>
  <si>
    <t>Сафаров Дониёр Махмуд Угли</t>
  </si>
  <si>
    <t>FA9550768</t>
  </si>
  <si>
    <t>03.06.2026 Sineva gitti gecemedi / 10.06.2026 Sineva gitti gecemedi</t>
  </si>
  <si>
    <t>Хуррамов Захириддин Хусан угли</t>
  </si>
  <si>
    <t>FA1544366</t>
  </si>
  <si>
    <t>Сафарзода Суфинаботи Саъдулло</t>
  </si>
  <si>
    <t>19.06.2026 Sineva gitti gecdi</t>
  </si>
  <si>
    <t>Эшкобилов Озодбек Панжи угли</t>
  </si>
  <si>
    <t>Ust Luga Ana Kamp 1</t>
  </si>
  <si>
    <t>FA7162262</t>
  </si>
  <si>
    <t>Юсупов Умбар Хамидович</t>
  </si>
  <si>
    <t>FA1500689</t>
  </si>
  <si>
    <t>10.06.2026 Sineva gitti gecemedi</t>
  </si>
  <si>
    <t>Якубов Умарбек Алимбаевич</t>
  </si>
  <si>
    <t>FA4322711</t>
  </si>
  <si>
    <t>Рахимов Бахром Баходирович</t>
  </si>
  <si>
    <t>FA4395885</t>
  </si>
  <si>
    <t>09.06.2026 Sineva gitti gecdi</t>
  </si>
  <si>
    <t>Бекбоев Фахриддин Умбарович</t>
  </si>
  <si>
    <t>FA4207719</t>
  </si>
  <si>
    <t xml:space="preserve">Бозоров Соатмурод Жуманазар Угли </t>
  </si>
  <si>
    <t>FA1902468</t>
  </si>
  <si>
    <t xml:space="preserve">Халбаев Умиджон Халжигитович </t>
  </si>
  <si>
    <t>FA0187489</t>
  </si>
  <si>
    <t xml:space="preserve">Сайфуллаев Алишер Зафар Угли </t>
  </si>
  <si>
    <t>FA9929930</t>
  </si>
  <si>
    <t xml:space="preserve">Шавкатов Дилшодбек Санатбек Угли </t>
  </si>
  <si>
    <t>FB2350087</t>
  </si>
  <si>
    <t>Абдуллаев Самад Айтбаевич</t>
  </si>
  <si>
    <t>FK0102614</t>
  </si>
  <si>
    <t>05.06.2026 </t>
  </si>
  <si>
    <t>Балтаев Рахмонберди Рахимович</t>
  </si>
  <si>
    <t>FA3867528</t>
  </si>
  <si>
    <t>Болтаев Жасурбек Жумабоевич</t>
  </si>
  <si>
    <t>FA1114398</t>
  </si>
  <si>
    <t>Давлатов Аскарали Режаб угли</t>
  </si>
  <si>
    <t>FA1902280</t>
  </si>
  <si>
    <t>Хасанов Элёр Зиядуллаевич</t>
  </si>
  <si>
    <t>FA2109898</t>
  </si>
  <si>
    <t>Машрипов Жамолбек Равшанбекович</t>
  </si>
  <si>
    <t>FA6277425</t>
  </si>
  <si>
    <t>Ic testimizden gecemiyor (06.06.2026 egitime alindi)16.06.2026 Sineva gitti gecemedi</t>
  </si>
  <si>
    <t>Kendi imkanları ile sınava girecek</t>
  </si>
  <si>
    <t>Маткоримов Жавлонбек Давронбек Угли</t>
  </si>
  <si>
    <t>FA4498317</t>
  </si>
  <si>
    <t>Менглиев Хасан Махмареджаб угли</t>
  </si>
  <si>
    <t>FA6141661</t>
  </si>
  <si>
    <t>Норбоев Акбар Махматкобилович</t>
  </si>
  <si>
    <t>FA1503380</t>
  </si>
  <si>
    <t>Наврузов Фуркат Бахром угли</t>
  </si>
  <si>
    <t>FA1503851</t>
  </si>
  <si>
    <t>Омонов Рахмонбек Бахтиёр Угли</t>
  </si>
  <si>
    <t>FB2117936</t>
  </si>
  <si>
    <t>Чоршанбиев Музаффар Аширович</t>
  </si>
  <si>
    <t>FA1503292</t>
  </si>
  <si>
    <t>16.06.2026 Sineva gitti gecemedi /19.06.2026 Sineva gitti gecemedi</t>
  </si>
  <si>
    <t>Чоршанбиев Дилмурод Ашурович</t>
  </si>
  <si>
    <t>FA1970666</t>
  </si>
  <si>
    <t>Икромов Умиджон Бахтиёржон Угли</t>
  </si>
  <si>
    <t>FB0354030</t>
  </si>
  <si>
    <t>Жамилов Гайрат Салим Угли</t>
  </si>
  <si>
    <t>FA1906529</t>
  </si>
  <si>
    <t>Холманов Илхом Расул Угли</t>
  </si>
  <si>
    <t>FA6129705</t>
  </si>
  <si>
    <t>16.06.2026 Sineva gitti gecemedi /19.06.2026 Sineva gitti gecdi</t>
  </si>
  <si>
    <t>Коржавов Аббос Рахматали Угли</t>
  </si>
  <si>
    <t>FA4970600</t>
  </si>
  <si>
    <t>Куролов Сардор Хошимжон Угли</t>
  </si>
  <si>
    <t>FA2181042</t>
  </si>
  <si>
    <t>Салохиддинов Абдумалик Туймурод Угли</t>
  </si>
  <si>
    <t>FB2365826</t>
  </si>
  <si>
    <t>Тураев Ойбек Туйгун Угли</t>
  </si>
  <si>
    <t>FA6208815</t>
  </si>
  <si>
    <t>Умаров Азизбек Темур Угли</t>
  </si>
  <si>
    <t>FA9616432</t>
  </si>
  <si>
    <t>Узаков Хабибулло Нуманович</t>
  </si>
  <si>
    <t>FA1566057</t>
  </si>
  <si>
    <t>Юлчибоев Жахонгир Рохатали Угли</t>
  </si>
  <si>
    <t>FA4156221</t>
  </si>
  <si>
    <t>Матёкубов Мухаммад Максудбекович</t>
  </si>
  <si>
    <t>FB2459643</t>
  </si>
  <si>
    <t xml:space="preserve">Собиров Шохзод Равшан Угли </t>
  </si>
  <si>
    <t>FA1911803</t>
  </si>
  <si>
    <t>19.06.2026 Sineva gitti gecemedi /23.06.2026 Sineva gitti gecemedi</t>
  </si>
  <si>
    <t xml:space="preserve">Султамуратов Матмурат Кемал Улы </t>
  </si>
  <si>
    <t>FK0611440</t>
  </si>
  <si>
    <t xml:space="preserve">Юсупов Улугбек Баходир Угли </t>
  </si>
  <si>
    <t>FA4467551</t>
  </si>
  <si>
    <t>Эгамбердиев Мухиддин Фахриддин Угли</t>
  </si>
  <si>
    <t>FA2062613</t>
  </si>
  <si>
    <t>Аллаяров Олимжон Толибович</t>
  </si>
  <si>
    <t>FA3449583</t>
  </si>
  <si>
    <t>Kendi sertifikada baba adi yanlis yazilmis</t>
  </si>
  <si>
    <t>Бакиев Бахадир Турсинбаевич</t>
  </si>
  <si>
    <t>FK0172774</t>
  </si>
  <si>
    <t>Дадамирзаев Шерали Шухратжон Угли</t>
  </si>
  <si>
    <t>FA3791798</t>
  </si>
  <si>
    <t>19.06.2026 Sineva gitti gecemedi</t>
  </si>
  <si>
    <t>Kendi sertifikada numrasi silinmis, gozukmuyor</t>
  </si>
  <si>
    <t>Очилдиев Хусанбой Жалил угли</t>
  </si>
  <si>
    <t>FA3424444</t>
  </si>
  <si>
    <t>Sertifikasi sahte</t>
  </si>
  <si>
    <t xml:space="preserve">Адинаев Жавохир Бобомурот Угли </t>
  </si>
  <si>
    <t>FA7459570</t>
  </si>
  <si>
    <t xml:space="preserve">Бабажанов Мансурбек Худашукирович </t>
  </si>
  <si>
    <t>FA2417178</t>
  </si>
  <si>
    <t>Хазратов Бахрам Халикович</t>
  </si>
  <si>
    <t>FA6890302</t>
  </si>
  <si>
    <t xml:space="preserve">Холикулов Зафарджон Раджабович </t>
  </si>
  <si>
    <t>FA0420018</t>
  </si>
  <si>
    <t>Худжаёров Муродилло Сапарович</t>
  </si>
  <si>
    <t>FA4100725</t>
  </si>
  <si>
    <t xml:space="preserve">Холматов Арслон Мустофаевич </t>
  </si>
  <si>
    <t>FA2739770</t>
  </si>
  <si>
    <t>Султанов Шухрат Кошаевич</t>
  </si>
  <si>
    <t>FK0117862</t>
  </si>
  <si>
    <t>atestatini UFMS kabul etmedi</t>
  </si>
  <si>
    <t xml:space="preserve">Эгамбердиев Фарид Шухрат Угли </t>
  </si>
  <si>
    <t>FA9892438</t>
  </si>
  <si>
    <t>16.06.2026 </t>
  </si>
  <si>
    <t>Эримбетова Шахида Муратбаевна</t>
  </si>
  <si>
    <t>FK0443862</t>
  </si>
  <si>
    <t>23.06.2026 Sineva gitti gecemedi /30.06.2026 Sineva gitti gecdi</t>
  </si>
  <si>
    <t xml:space="preserve">Хожиев Икболбек Иброхимович </t>
  </si>
  <si>
    <t>FA9577381</t>
  </si>
  <si>
    <t xml:space="preserve">Мамадалиев Шохрухбек Асадулла Угли </t>
  </si>
  <si>
    <t>FA9606705</t>
  </si>
  <si>
    <t xml:space="preserve">Мустафаев Камал Бахман Оглы </t>
  </si>
  <si>
    <t>C05394518</t>
  </si>
  <si>
    <t>Шарипов Нураддин Хажибаевич</t>
  </si>
  <si>
    <t>FA5951632</t>
  </si>
  <si>
    <t>Тоджибоев Салохиддин Низомидинович</t>
  </si>
  <si>
    <t>FA2781909</t>
  </si>
  <si>
    <t>Вапаев Даниер Дурдибаевич</t>
  </si>
  <si>
    <t>FK0346275</t>
  </si>
  <si>
    <t>23.06.2026 Sineva gitti gecdi</t>
  </si>
  <si>
    <t xml:space="preserve">Культураев Икром Рузибоевич </t>
  </si>
  <si>
    <t>FA6210905</t>
  </si>
  <si>
    <t>19.06.2026 Sineva gitti gecemedi /23.06.2026 Sineva gitti gecdi</t>
  </si>
  <si>
    <t xml:space="preserve">Улмасов Махсаджон Солижонович </t>
  </si>
  <si>
    <t>FB2078387</t>
  </si>
  <si>
    <t>Ибрагимов Марахим Интигам оглы</t>
  </si>
  <si>
    <t>С05863215</t>
  </si>
  <si>
    <t>Маммедов Орхан Эльман оглы</t>
  </si>
  <si>
    <t>C03358064</t>
  </si>
  <si>
    <t>Матсапаев Содикжон Куранбаевич</t>
  </si>
  <si>
    <t>FA3905723</t>
  </si>
  <si>
    <t>Аптикаримов Абдукарим Джуманиязович</t>
  </si>
  <si>
    <t>FA1615709</t>
  </si>
  <si>
    <t>23.06.2026 Sineva gitti gecemedi /Ic testimizden gecemedi 27.06.2026 /09.07.2026 Sineva gitti gecdi</t>
  </si>
  <si>
    <t xml:space="preserve">son gun gelmedi 30.06.2026 Moskva ser </t>
  </si>
  <si>
    <t>Кахаров Хасанбай Рахманалиевич</t>
  </si>
  <si>
    <t>FB2310007</t>
  </si>
  <si>
    <t>Кенжаев Шерзодбек Фарходович</t>
  </si>
  <si>
    <t>FA4444987</t>
  </si>
  <si>
    <t>Машарипов Аббос Абдурахманович</t>
  </si>
  <si>
    <t>FB2281690</t>
  </si>
  <si>
    <t>Мирзакулов Сайид Абдусамадович</t>
  </si>
  <si>
    <t>FB2419429</t>
  </si>
  <si>
    <t>Мирзохакимов Умид Тешаджонович</t>
  </si>
  <si>
    <t>Пирназаров Кахрамон Шомуратович</t>
  </si>
  <si>
    <t>FA1541692</t>
  </si>
  <si>
    <t>03.07.2026 Sineva gitti gecdi</t>
  </si>
  <si>
    <t>Egitieme bilgi bildirildi Egitime girmedi 20.06.2026</t>
  </si>
  <si>
    <t>Пирназаров Уктамбой Ходжаевич</t>
  </si>
  <si>
    <t>FA1619668</t>
  </si>
  <si>
    <t>Хажиев Расулбек Жавлонбой угли</t>
  </si>
  <si>
    <t>FB2079080</t>
  </si>
  <si>
    <t>Хасанов Санатбек Уринбой Угли</t>
  </si>
  <si>
    <t>FA4682010</t>
  </si>
  <si>
    <t>Хожаев Умар Халмухаммадович</t>
  </si>
  <si>
    <t>FA8602942</t>
  </si>
  <si>
    <t>Ниязимбетов Давронбек Арисланбек угли</t>
  </si>
  <si>
    <t>FK0197398</t>
  </si>
  <si>
    <t>Шарипов Мухиддин Файзалиевич</t>
  </si>
  <si>
    <t>Мамараимов Яхшимурод Каримберди угли</t>
  </si>
  <si>
    <t>FB2529888</t>
  </si>
  <si>
    <t>Нуриддинов Умиджон Нуриддин угли</t>
  </si>
  <si>
    <t>FA4838171</t>
  </si>
  <si>
    <t>Эргашев Наврузбек Абдухалим Угли</t>
  </si>
  <si>
    <t>FA2016806</t>
  </si>
  <si>
    <t>30.06.2026 Sineva gitti gecemedi /07.07.2026 Sineva gitti gecdi</t>
  </si>
  <si>
    <t>Поянов Шерзод Тургунбоевич</t>
  </si>
  <si>
    <t>FA7762916</t>
  </si>
  <si>
    <t>Абдишукуров Салохиддин Абдихафиз Угли</t>
  </si>
  <si>
    <t>FA8637165</t>
  </si>
  <si>
    <t>18.06.2026 </t>
  </si>
  <si>
    <t>30.06.2026 Sineva gitti gecdi</t>
  </si>
  <si>
    <t>Абдурахимов Абдулбори Ёкубжон Угли</t>
  </si>
  <si>
    <t>FA5169178</t>
  </si>
  <si>
    <t>Алихайдаров Руслан Салим Угли</t>
  </si>
  <si>
    <t>FA3501309</t>
  </si>
  <si>
    <t>Хусинов Сардор Юсуф Угли</t>
  </si>
  <si>
    <t>FB2301436</t>
  </si>
  <si>
    <t>Исламов Акрамжон Абдухамидович</t>
  </si>
  <si>
    <t>FA1425437</t>
  </si>
  <si>
    <t>Итолмосов Сирожиддин Файзиевич</t>
  </si>
  <si>
    <t>FA2984559</t>
  </si>
  <si>
    <t>Кенжаев Шокир Зокирович</t>
  </si>
  <si>
    <t>FA7666795</t>
  </si>
  <si>
    <t>Хасанбоев Жалолиддин Жамолиддин Угли</t>
  </si>
  <si>
    <t>FA1891383</t>
  </si>
  <si>
    <t>Ic testimizden gecemiyor (03.07.2026 egitime alindi) /09.07.2026 Sineva gitti gecdi</t>
  </si>
  <si>
    <t xml:space="preserve"> Tarih 27.06.2026 Sineve bilgi verildi gelmedi Ser gecersiz </t>
  </si>
  <si>
    <t>Хайдаров Нуриддин Гайрат угли</t>
  </si>
  <si>
    <t>FA4345443</t>
  </si>
  <si>
    <t>Ic testimizden gecemiyor Tarih 23.06.2026 /01.07.2026 Sineva gitti gecemedi</t>
  </si>
  <si>
    <t>Cikis gitecek</t>
  </si>
  <si>
    <t>Хазраткулов Зоиржон Хакимкулович</t>
  </si>
  <si>
    <t>FB1923993</t>
  </si>
  <si>
    <t>Худояров Юнус Ражаббоевич</t>
  </si>
  <si>
    <t>FA4666134</t>
  </si>
  <si>
    <t>24.06.2026 </t>
  </si>
  <si>
    <t>Маматкулова Ферузахон Каримжон Кизи</t>
  </si>
  <si>
    <t>FB2191387</t>
  </si>
  <si>
    <t>Мамазакиров Одилжон Хусниддин Угли</t>
  </si>
  <si>
    <t>FA4864032</t>
  </si>
  <si>
    <t>Манопов Илгорбек Абулкосим Угли</t>
  </si>
  <si>
    <t>FA8336915</t>
  </si>
  <si>
    <t>Мусоев Бахридин Баротджонович</t>
  </si>
  <si>
    <t>Олламов Шерзод Хасанбаевич</t>
  </si>
  <si>
    <t>FA4437530</t>
  </si>
  <si>
    <t>Пирназаров Уткиржон Хасанович</t>
  </si>
  <si>
    <t>FB2345843</t>
  </si>
  <si>
    <t>Ic testimizden gecemiyor Tarih 23.06.2026 /01.07.2026 Sineva gitti gecdi</t>
  </si>
  <si>
    <t>Рахманов Шукуржон Абдукаххорович</t>
  </si>
  <si>
    <t>FA6112782</t>
  </si>
  <si>
    <t>30.06.2026 Sineva gitti gecemedi /07.07.2026 Sineva gitti gecemedi</t>
  </si>
  <si>
    <t>Рашидов Ахрор Алишер Угли</t>
  </si>
  <si>
    <t>FB2479700</t>
  </si>
  <si>
    <t>Режапов Комилжон Болтабоевич</t>
  </si>
  <si>
    <t>FA4957906</t>
  </si>
  <si>
    <t>01.07.2026 Sineva gitti gecdi</t>
  </si>
  <si>
    <t>Рустамов Нодир Абдукаххарович</t>
  </si>
  <si>
    <t>FA6972639</t>
  </si>
  <si>
    <t>Рузикулов Акбар Акромович</t>
  </si>
  <si>
    <t>FB2410886</t>
  </si>
  <si>
    <t>Сабиров Хамдам Тухтабаевич</t>
  </si>
  <si>
    <t>FA3042638</t>
  </si>
  <si>
    <t>Саматов Жамшид Равшан Угли</t>
  </si>
  <si>
    <t>FA5664695</t>
  </si>
  <si>
    <t>Шералиев Абдукахоржон Абдурашитович</t>
  </si>
  <si>
    <t>FA7447906</t>
  </si>
  <si>
    <t>Шодиев Ойбек Мусо Угли</t>
  </si>
  <si>
    <t>FB0379848</t>
  </si>
  <si>
    <t>Солижанов Иброхим Зухриддин Угли</t>
  </si>
  <si>
    <t>FB0565666</t>
  </si>
  <si>
    <t>Султанов Дилмурод Зокиржонович</t>
  </si>
  <si>
    <t>FA7518409</t>
  </si>
  <si>
    <t>Суюнов Бахтиёр Шониёз Угли</t>
  </si>
  <si>
    <t>FA2277738</t>
  </si>
  <si>
    <t>Темиров Солижон Сохибкулович</t>
  </si>
  <si>
    <t>FB0521345</t>
  </si>
  <si>
    <t>Ic testimizden gecemiyor(29.06.2026 egitime alindi) /07.07.2026 Sineva gitti gecdi</t>
  </si>
  <si>
    <t>Тилавов Илхом Эшмурод Угли</t>
  </si>
  <si>
    <t>FA9095120</t>
  </si>
  <si>
    <t>Тошпулатов Бегижон Лутфилло Угли</t>
  </si>
  <si>
    <t>FA4085634</t>
  </si>
  <si>
    <t>Тоштемиров Алпомиш Исомиддин Угли</t>
  </si>
  <si>
    <t>FB2468937</t>
  </si>
  <si>
    <t>Турдиев Лазиз Чори Угли</t>
  </si>
  <si>
    <t>FA2590715</t>
  </si>
  <si>
    <t>Уролов Достон Мусулман угли</t>
  </si>
  <si>
    <t>FA2406448</t>
  </si>
  <si>
    <t>Юсупов Сами Ахмадалиевич</t>
  </si>
  <si>
    <t>FA2354490</t>
  </si>
  <si>
    <t>Аббасов Джасарат Нурлан Оглы</t>
  </si>
  <si>
    <t>C05050539</t>
  </si>
  <si>
    <t xml:space="preserve"> Tarih 27.06.2026 Sineve bilgi verildi gelmedi</t>
  </si>
  <si>
    <t>Акбаров Сардоржон Дилмурод Угли</t>
  </si>
  <si>
    <t>FA3666160</t>
  </si>
  <si>
    <t>Акромов Акобир Акбар Угли</t>
  </si>
  <si>
    <t>FB2453453</t>
  </si>
  <si>
    <t>Алиакбаров Хожимухаммад Хусанбой Угли</t>
  </si>
  <si>
    <t>FB2516454</t>
  </si>
  <si>
    <t>Алиев Алван Али Оглы</t>
  </si>
  <si>
    <t>C05359819</t>
  </si>
  <si>
    <t>Буруманд Камран Хосров Оглы</t>
  </si>
  <si>
    <t>C05619923</t>
  </si>
  <si>
    <t>Эшболтаев Рустам Хурсон угли</t>
  </si>
  <si>
    <t>FA7082549</t>
  </si>
  <si>
    <t>Исабеков Санжар Чориёр Угли</t>
  </si>
  <si>
    <t>FA9326777</t>
  </si>
  <si>
    <t>01.07.2026 Sineva gitti gecemedi /07.07.2026 Sineva gitti gecdi</t>
  </si>
  <si>
    <t>Хужамбердиев Бахтибек Абдумумин Угли</t>
  </si>
  <si>
    <t>FA4979396</t>
  </si>
  <si>
    <t>Кудратов Отабек Жамшид Угли</t>
  </si>
  <si>
    <t>FA5611682</t>
  </si>
  <si>
    <t>01.07.2026 Sineva gitti gecemedi /07.07.2026 Sineva gitti gecemedi</t>
  </si>
  <si>
    <t xml:space="preserve">Негматов Нурбек Нурмат Угли </t>
  </si>
  <si>
    <t>FB1127927</t>
  </si>
  <si>
    <t>Ражаббаев Улугбек Умидбек угли</t>
  </si>
  <si>
    <t>FA1608602</t>
  </si>
  <si>
    <t>Шарипов Рамазон Абдурахимович</t>
  </si>
  <si>
    <t>Собиров Аббосжон Шавкатович</t>
  </si>
  <si>
    <t>FA1466750</t>
  </si>
  <si>
    <t>Узаков Чимберди Нуманович</t>
  </si>
  <si>
    <t>FB1286323</t>
  </si>
  <si>
    <t xml:space="preserve">Зиядуллаев Мухиддин Мансурхон Угли </t>
  </si>
  <si>
    <t>FA2140128</t>
  </si>
  <si>
    <t>Рузиев Ботир Абдурахмонович</t>
  </si>
  <si>
    <t>FA7345069</t>
  </si>
  <si>
    <t>Гуломов Курбонали Икромович</t>
  </si>
  <si>
    <t>FA3893666</t>
  </si>
  <si>
    <t>Мазарипов Асаджон Сафарали Угли</t>
  </si>
  <si>
    <t>FA5980233</t>
  </si>
  <si>
    <t>Назаров Джумабег Рахимович</t>
  </si>
  <si>
    <t>Саидов Бахрам Шавкатович</t>
  </si>
  <si>
    <t>FA5083011</t>
  </si>
  <si>
    <t>01.07.2026 Sineva gitti gecemedi /09.07.2026 Sineva gitti gecdi</t>
  </si>
  <si>
    <t>Тошев Журабек Жовлиевич</t>
  </si>
  <si>
    <t>FA5542932</t>
  </si>
  <si>
    <t>Юлдошов Сирожиддин Рахимбой угли</t>
  </si>
  <si>
    <t>FA4337002</t>
  </si>
  <si>
    <t>Абдисоатов Асадулло Баходир Угли</t>
  </si>
  <si>
    <t>FA5139904</t>
  </si>
  <si>
    <t>Ахмадов Элчин Сахил Оглы</t>
  </si>
  <si>
    <t>C05676981</t>
  </si>
  <si>
    <t>Алиев Фазил Мирбаба Оглы</t>
  </si>
  <si>
    <t>C05616855</t>
  </si>
  <si>
    <t>Алиев Саил Ядигар Оглы</t>
  </si>
  <si>
    <t>C05329192</t>
  </si>
  <si>
    <t>Ic testimizden gecemedi 27.06.2026 /07.07.2026 Sineva gitti gecdi</t>
  </si>
  <si>
    <t>Аллаев Анвар Юсуфбоевич</t>
  </si>
  <si>
    <t>FA1522678</t>
  </si>
  <si>
    <t>Амиров Джейхун Рауф Оглы</t>
  </si>
  <si>
    <t>C05667395</t>
  </si>
  <si>
    <t>Ашуров Огабек Тоштемир Угли</t>
  </si>
  <si>
    <t>FA8946187</t>
  </si>
  <si>
    <t>Эшчанов Шахзодбек Тулкин Угли</t>
  </si>
  <si>
    <t>FA4427590</t>
  </si>
  <si>
    <t>Dil sertifikasi var kendisinda</t>
  </si>
  <si>
    <t>Эшпулатов Кувончбек Сидик Угли</t>
  </si>
  <si>
    <t>FA2522898</t>
  </si>
  <si>
    <t>Ic testimizden gecemiyor(29.06.2026 egitime alindi)  /07.07.2026 Sineva gitti gecdi</t>
  </si>
  <si>
    <t>Ганжаев Хурсанд Реймбаевич</t>
  </si>
  <si>
    <t>FK0054797</t>
  </si>
  <si>
    <t>03.07.2026 Sineva gitti gecemedi/09.07.2026 Sineva gitti gecdi</t>
  </si>
  <si>
    <t>Гулмуратов Равшан Юлдош угли</t>
  </si>
  <si>
    <t>FA4768779</t>
  </si>
  <si>
    <t>Гуломжонов Оматилло Тулкинжон Угли</t>
  </si>
  <si>
    <t>FA1572877</t>
  </si>
  <si>
    <t>Хусейнов Элтон Джабир Оглы</t>
  </si>
  <si>
    <t>C05667791</t>
  </si>
  <si>
    <t>Иномжонов Сухробжон Туланжон Угли</t>
  </si>
  <si>
    <t>FA1585784</t>
  </si>
  <si>
    <t>Исаков Жахонгир Абдурафиевич</t>
  </si>
  <si>
    <t>FA1532983</t>
  </si>
  <si>
    <t>Ic testimizden gecemedi 27.06.2026 /Ic testimizden gecemedi 05.07.2026/14.07.2026 Sineva gitti gecdi</t>
  </si>
  <si>
    <t>Son gun gelmediyini ida etti suc kedisinde</t>
  </si>
  <si>
    <t>Исроилов Шахобиддин Махмуджонович</t>
  </si>
  <si>
    <t>FA3629687</t>
  </si>
  <si>
    <t>Жумабоев Умрбек Матякубович</t>
  </si>
  <si>
    <t>FA4997813</t>
  </si>
  <si>
    <t>Кадиров Сардарбек Хамраевич</t>
  </si>
  <si>
    <t>FB2120694</t>
  </si>
  <si>
    <t>07.07.2026 Sineva gitti gecdi</t>
  </si>
  <si>
    <t>Хожимирзаев Хуршидбек Азамжон Угли</t>
  </si>
  <si>
    <t>FA1944150</t>
  </si>
  <si>
    <t>Худаёров Мухиддин Ботирбоевич</t>
  </si>
  <si>
    <t>FA1075025</t>
  </si>
  <si>
    <t>Мамажонов Элёрбек Мухторжон Угли</t>
  </si>
  <si>
    <t>FB2468622</t>
  </si>
  <si>
    <t>Мирзаев Жамшид Худайкулович</t>
  </si>
  <si>
    <t>FB0816932</t>
  </si>
  <si>
    <t>Набиев Фаган Рустам Оглы</t>
  </si>
  <si>
    <t>C05845442</t>
  </si>
  <si>
    <t>Назаров Азизбек Бури Угли</t>
  </si>
  <si>
    <t>FA8756715</t>
  </si>
  <si>
    <t>Ic testimizden gecemedi 27.06.2026 /07.07.2026 Sineva gitti gecemedi 13.07.2026 kedi hisabindan gecdi sineva gitti.</t>
  </si>
  <si>
    <t>2 kere sinavden gecemedi  9213520431</t>
  </si>
  <si>
    <t>Отаназаров Мехрожбек Хамидбекович</t>
  </si>
  <si>
    <t>FA7978549</t>
  </si>
  <si>
    <t>Полликов Мекан Шамуратович</t>
  </si>
  <si>
    <t>FA3180351</t>
  </si>
  <si>
    <t xml:space="preserve"> Tarih 01.07.2026 Sineve bilgi verildi getmedi</t>
  </si>
  <si>
    <t>Рахимжонов Сардорбек Юлдошбой угли</t>
  </si>
  <si>
    <t>FA1899878</t>
  </si>
  <si>
    <t>Var arsivde</t>
  </si>
  <si>
    <t>Шарифов Акмалжон Камолдинович</t>
  </si>
  <si>
    <t>FA3080792</t>
  </si>
  <si>
    <t>Шарипов Равшанбек Мустафаевич</t>
  </si>
  <si>
    <t>FA1563191</t>
  </si>
  <si>
    <t>Туланбоев Умиджон Тошмирза Угли</t>
  </si>
  <si>
    <t>FB0053041</t>
  </si>
  <si>
    <t>Туракулов Парда Бобокулович</t>
  </si>
  <si>
    <t>FA6248614</t>
  </si>
  <si>
    <t>Юсупов Ойбек Максутович</t>
  </si>
  <si>
    <t>Алланазаров Сардорбек Эгамберганович</t>
  </si>
  <si>
    <t>FA4828818</t>
  </si>
  <si>
    <t>Дудалов Искандар Рахматович</t>
  </si>
  <si>
    <t>FA5128324</t>
  </si>
  <si>
    <t>Уринбоев Мухаммадюсуф Жалолиддин Угли</t>
  </si>
  <si>
    <t>FA7617076</t>
  </si>
  <si>
    <t>Ic testimizden gecemiyor(29.06.2026 egitime alindi) Ic testimizden gecemiyor 07.07.2026</t>
  </si>
  <si>
    <t xml:space="preserve"> Tarih 05.07.2026 Sineve bilgi verildi gelmedi  PV</t>
  </si>
  <si>
    <t>Бекчанов Улугбек Рахимберганович</t>
  </si>
  <si>
    <t>FA1638128</t>
  </si>
  <si>
    <t>Каримов Шерзод Джахангирович</t>
  </si>
  <si>
    <t>FB1907997</t>
  </si>
  <si>
    <t>Ic testimizden gecemiyor(29.06.2026 egitime alindi) /09.07.2026 Sineva gitti gecemedi 16.07.2026 Sineva gitti gecdi</t>
  </si>
  <si>
    <t>Хударганов Худойшукур Баходир Угли</t>
  </si>
  <si>
    <t>FB1269686</t>
  </si>
  <si>
    <t>Мавлянов Адхам Турсуналиевич</t>
  </si>
  <si>
    <t>FB2460834</t>
  </si>
  <si>
    <t>Мирзажонов Зиёдилло Шерали Угли</t>
  </si>
  <si>
    <t>FA7443298</t>
  </si>
  <si>
    <t>Муратов Ридван Айдерович</t>
  </si>
  <si>
    <t>FA7886929</t>
  </si>
  <si>
    <t>Cikisli</t>
  </si>
  <si>
    <t>Муссаматов Жохонгир Ражабоевич</t>
  </si>
  <si>
    <t>FA1956580</t>
  </si>
  <si>
    <t>Рахимов Бабамурад Олимбаевич</t>
  </si>
  <si>
    <t>FA5986447</t>
  </si>
  <si>
    <t>Рузимов Ойбек Каримбаевич</t>
  </si>
  <si>
    <t>FA3551162</t>
  </si>
  <si>
    <t>Ic testimizden gecemiyor(02.07.2026 egitime alindi) /09.07.2026 Sineva gitti gecdi</t>
  </si>
  <si>
    <t>Шарипов Давлатмурод Зувайдович</t>
  </si>
  <si>
    <t>Шомуратов Жалоладдин Журабек Угли</t>
  </si>
  <si>
    <t>FB1465261</t>
  </si>
  <si>
    <t>Талохов Сайфулло Абдурасулович</t>
  </si>
  <si>
    <t>Ic testimizden gecemiyor(02.07.2026 egitime alindi) /09.07.2026 Sineva gitti gecemedi</t>
  </si>
  <si>
    <t>Умаров Алишер Фахритдинович</t>
  </si>
  <si>
    <t>FA5600295</t>
  </si>
  <si>
    <t>Урмонов Умиджон Юсупович</t>
  </si>
  <si>
    <t>FA4482288</t>
  </si>
  <si>
    <t>Ic testimizden gecemedi 05.07.2026 /14.07.2026 Sineva gitti gecemedi</t>
  </si>
  <si>
    <t>Абдуллаев Даянч Мергенович</t>
  </si>
  <si>
    <t>FK0395038</t>
  </si>
  <si>
    <t>14.07.2026 Sineva gitti gecdi</t>
  </si>
  <si>
    <t>Эргашев Хосилбек Отабек Угли</t>
  </si>
  <si>
    <t>FA6159786</t>
  </si>
  <si>
    <t>13.07.2026 Sineva gitti gecemedi 20.07.2026 Sineva gitti gecdi</t>
  </si>
  <si>
    <t>Холбоев Жавлонбек Валижонович</t>
  </si>
  <si>
    <t>FA4661929</t>
  </si>
  <si>
    <t>Курбанов Кемал Аметдурдыевич</t>
  </si>
  <si>
    <t>FK0397184</t>
  </si>
  <si>
    <t>13.07.2026 Sineva gitti gecdi</t>
  </si>
  <si>
    <t>Матякубов Гуломжон Садуллаевич</t>
  </si>
  <si>
    <t>FA1282533</t>
  </si>
  <si>
    <t>Сафаржонов Алимардон Алишер Угли</t>
  </si>
  <si>
    <t>FA6078063</t>
  </si>
  <si>
    <t>09.07.2026 Sineva gitti gecdi</t>
  </si>
  <si>
    <t>Сарманов Шокир Пардабоевич</t>
  </si>
  <si>
    <t>FA5968626</t>
  </si>
  <si>
    <t>Ярматов Кутлимурат Шерматович</t>
  </si>
  <si>
    <t>FK0367875</t>
  </si>
  <si>
    <t>Sertifikasi Kendisinde</t>
  </si>
  <si>
    <t>Бобожонов Курбонназар Бозорбоевич</t>
  </si>
  <si>
    <t>FA4687734</t>
  </si>
  <si>
    <t>Файзиев Бобомурод Сайфуллаевич</t>
  </si>
  <si>
    <t>FB2524212</t>
  </si>
  <si>
    <t>Исмоилов Мухаммаджон Олимжон угли</t>
  </si>
  <si>
    <t>FA1393332</t>
  </si>
  <si>
    <t>Омонбоев Жамшидбек Хамро Угли</t>
  </si>
  <si>
    <t>FA1929059</t>
  </si>
  <si>
    <t>Омонбоев Омонбой Хамроевич</t>
  </si>
  <si>
    <t>FA1929132</t>
  </si>
  <si>
    <t>Ражабов Мираншох Рустамович</t>
  </si>
  <si>
    <t>FA4074310</t>
  </si>
  <si>
    <t>Рахимов Рахимжон Курвонназарович</t>
  </si>
  <si>
    <t>FA2391680</t>
  </si>
  <si>
    <t>Ташанов Юсуфжон Гелдиевич</t>
  </si>
  <si>
    <t>FA6765128</t>
  </si>
  <si>
    <t>Усаров Шамсидин Шарафович</t>
  </si>
  <si>
    <t>FA1356888</t>
  </si>
  <si>
    <t>Эргашев Асилбек Отабек Угли</t>
  </si>
  <si>
    <t>FA4725980</t>
  </si>
  <si>
    <t>Якубова Дилбар Азадовна</t>
  </si>
  <si>
    <t>FA0304361</t>
  </si>
  <si>
    <t>Жаббаров Мурад Туйчибаевич</t>
  </si>
  <si>
    <t>FB1770867</t>
  </si>
  <si>
    <t>Ic testimizden gecemedi 05.07.2026 16.07.2026 Sineva gitti gecdi</t>
  </si>
  <si>
    <t>Кушбаков Аслиддин Бозорович</t>
  </si>
  <si>
    <t>FB1850026</t>
  </si>
  <si>
    <t>Сапаров Гайрат Камол Угли</t>
  </si>
  <si>
    <t>FA1677157</t>
  </si>
  <si>
    <t>16.07.2026 Sineva gitti gecdi</t>
  </si>
  <si>
    <t>Ашуров Авазбек Бозор Угли</t>
  </si>
  <si>
    <t>FA6114144</t>
  </si>
  <si>
    <t>Ёкубов Комилжон Мелибоевич</t>
  </si>
  <si>
    <t>FB2309174</t>
  </si>
  <si>
    <t>Жураев Илхом Махматкулович</t>
  </si>
  <si>
    <t>FA1203250</t>
  </si>
  <si>
    <t>Ic testimizden gecemiyor (03.07.2026 egitime alindi) Ic testimizden gecemiyor 07.07.2026</t>
  </si>
  <si>
    <t>Жураева Феруза Махматмурод Кизи</t>
  </si>
  <si>
    <t>FA9635741</t>
  </si>
  <si>
    <t>Исмоилов Шохрух Холияр Угли</t>
  </si>
  <si>
    <t>FA3023525</t>
  </si>
  <si>
    <t>Ic testimizden gecemiyor (03.07.2026 egitime alindi) /13.07.2026 Sineva gitti gecdi</t>
  </si>
  <si>
    <t>Косимов Мирзабек Бахтиёр Угли</t>
  </si>
  <si>
    <t>FA7252152</t>
  </si>
  <si>
    <t>Махамов Шохрух Рамазон Угли</t>
  </si>
  <si>
    <t>FA5965516</t>
  </si>
  <si>
    <t>Махкамов Жасур Абдухалим Угли</t>
  </si>
  <si>
    <t>FB2464539</t>
  </si>
  <si>
    <t>Ic testimizden gecemiyor (03.07.2026 egitime alindi) 13.07.2026 Sineva gitti gecdi</t>
  </si>
  <si>
    <t>Махмадиёров Уткир Шухрат Угли</t>
  </si>
  <si>
    <t>FA9626041</t>
  </si>
  <si>
    <t>Мусурмонов Диёрбек Фахриддин Угли</t>
  </si>
  <si>
    <t>FA9473422</t>
  </si>
  <si>
    <t>Номозов Сардорбек Илхом Угли</t>
  </si>
  <si>
    <t>FB1911204</t>
  </si>
  <si>
    <t>Уролов Аслиддин Кахрамон Угли</t>
  </si>
  <si>
    <t>FB2099765</t>
  </si>
  <si>
    <t>Ic testimizden gecemiyor (03.07.2026 egitime alindi) 13.07.2026 Sineva gitti gecemedi /20.07.2026 Sineva gitti gecdi</t>
  </si>
  <si>
    <t xml:space="preserve">2 kere sinavden gecemedi </t>
  </si>
  <si>
    <t>Хасанов Рустам Хайрулла Угли</t>
  </si>
  <si>
    <t>FA4055740</t>
  </si>
  <si>
    <t>Бекимбетов Кувандик Джангирович</t>
  </si>
  <si>
    <t>Бекимбетов Эргашбай Джангирович</t>
  </si>
  <si>
    <t>FK0382687</t>
  </si>
  <si>
    <t>09.07.2026 Sineva gitti gecemedi /14.07.2026 Sineva gitti gecdi</t>
  </si>
  <si>
    <t>Бобохонов Акмал Зиядуллаевич</t>
  </si>
  <si>
    <t>FA9010584</t>
  </si>
  <si>
    <t>Ic testimizden gecemedi 05.07.2026 /14.07.2026 Sineva gitti gecdi</t>
  </si>
  <si>
    <t>Dil setifikasi var Toskenttan gecmis</t>
  </si>
  <si>
    <t>Кенжаев Асрорбек Тулкин Угли</t>
  </si>
  <si>
    <t>FA3919131</t>
  </si>
  <si>
    <t xml:space="preserve"> Tarih 05.07.2026 Bilgi verildi gelmedi</t>
  </si>
  <si>
    <t xml:space="preserve">Хусанов Бекзод Уктамович </t>
  </si>
  <si>
    <t>FA7591394</t>
  </si>
  <si>
    <t>13.07.2026 Sineva gitti gecemedi /20.07.2026 Sineva gitti gecdi</t>
  </si>
  <si>
    <t>Кодирова Муяссар Махмудовна</t>
  </si>
  <si>
    <t>FA0034854</t>
  </si>
  <si>
    <t>Матёкубов Адхамбек Мансурбек Угли</t>
  </si>
  <si>
    <t>FA8332167</t>
  </si>
  <si>
    <t xml:space="preserve"> Tarih 05.07.2026 Bilgi verildi gelmedi </t>
  </si>
  <si>
    <t>Мирзахмедов Авазбек Абдуманноб Угли</t>
  </si>
  <si>
    <t>FA1204735</t>
  </si>
  <si>
    <t>Ic testimizden gecemiyor 10.07.2026 /20.07.2026 Sineva gitti gecdi</t>
  </si>
  <si>
    <t xml:space="preserve">Мусаев Тулкин Кенжаевич </t>
  </si>
  <si>
    <t>FA3996043</t>
  </si>
  <si>
    <t>Тошпулатов Хаким Давлятмурод Угли</t>
  </si>
  <si>
    <t>FA3950880</t>
  </si>
  <si>
    <t>Эшназаров Аббос Аброр угли</t>
  </si>
  <si>
    <t>FB1493878</t>
  </si>
  <si>
    <t>Худайназаров Равшан Сайхонович</t>
  </si>
  <si>
    <t>FA3151395</t>
  </si>
  <si>
    <t xml:space="preserve">Омонбоев Жамшидбек Тулкин Угли </t>
  </si>
  <si>
    <t>FB0276896</t>
  </si>
  <si>
    <t>Отажанов Шохрух Давронбек Угли</t>
  </si>
  <si>
    <t>FA4313296</t>
  </si>
  <si>
    <t xml:space="preserve">Тургунов Отабек Уткир Угли </t>
  </si>
  <si>
    <t>FB2572516</t>
  </si>
  <si>
    <t>Реймбаева Гулсанам Сабуровна</t>
  </si>
  <si>
    <t>FK0395749</t>
  </si>
  <si>
    <t>Якубов Дилшод Аллаберганович</t>
  </si>
  <si>
    <t>FA1885074</t>
  </si>
  <si>
    <t>Абдимуродов Темурмалик Тоштурди Угли</t>
  </si>
  <si>
    <t>FB2265780</t>
  </si>
  <si>
    <t>Ic testimizden gecemiyor 12.07.2026 egitime alindi /20.07.2026 Sineva gitti gecdi</t>
  </si>
  <si>
    <t>Чутбоев Бектемир Юсупович</t>
  </si>
  <si>
    <t>FA6760897</t>
  </si>
  <si>
    <t>Джуманиёзов Зокиржон Аминович</t>
  </si>
  <si>
    <t>FA1940891</t>
  </si>
  <si>
    <t>Оролов Урол Чориевич</t>
  </si>
  <si>
    <t>FA6836162</t>
  </si>
  <si>
    <t>Ic testimizden gecemiyor 12.07.2026 egitime alindi /20.07.2026 Sineva gitti gecemedi</t>
  </si>
  <si>
    <t xml:space="preserve">Полвонов Эмомали Боймуродович </t>
  </si>
  <si>
    <t>Рахманов Шухрат Шохмирзоевич</t>
  </si>
  <si>
    <t xml:space="preserve">Саидов Максад Худайберганович </t>
  </si>
  <si>
    <t>FA3045870</t>
  </si>
  <si>
    <t>Алиев Зарифбек Шокир Угли</t>
  </si>
  <si>
    <t>FB0818835</t>
  </si>
  <si>
    <t>Давлатов Суюн Абдижалилович</t>
  </si>
  <si>
    <t>FA7213543</t>
  </si>
  <si>
    <t>Каримов Бахтиёр Янгибой Угли</t>
  </si>
  <si>
    <t>FA8571526</t>
  </si>
  <si>
    <t>Пардаев Анвар Номозбоевич</t>
  </si>
  <si>
    <t>FA4747896</t>
  </si>
  <si>
    <t>Уринов Уринбой Зийнат Угли</t>
  </si>
  <si>
    <t>FB1194921</t>
  </si>
  <si>
    <t>Иргашев Жахонгир Рустам Угли</t>
  </si>
  <si>
    <t>FA5667617</t>
  </si>
  <si>
    <t>28.07.2026 Sineva gitti gecdi</t>
  </si>
  <si>
    <t>Хакимов Жасурбек Абдумумин Угли</t>
  </si>
  <si>
    <t>FA5782401</t>
  </si>
  <si>
    <t>20.07.2026 Sineva gitti gecdi</t>
  </si>
  <si>
    <t>Холикулов Шерзод Юлдашмуродович</t>
  </si>
  <si>
    <t>FA9363612</t>
  </si>
  <si>
    <t>Ниёзов Махмадали Давлаталиевич</t>
  </si>
  <si>
    <t>Ic testimizden gecemiyor 20.06.2026 egitime alindi /Ic testimizden gecemiyor 27.07.2026 egitime alindi</t>
  </si>
  <si>
    <t>Одилов Сарварбек Гофиржон Угли</t>
  </si>
  <si>
    <t>FA1624607</t>
  </si>
  <si>
    <t>20.07.2026 Sineva gitti gecemedi /28.07.2026 Sineva gitti gecdi</t>
  </si>
  <si>
    <t xml:space="preserve"> Tarih 15.07.2026 Bilgi verildi gelmedi</t>
  </si>
  <si>
    <t>Ражабов Бехруз Алишер Угли</t>
  </si>
  <si>
    <t>FA9895905</t>
  </si>
  <si>
    <t>Сулейманов Мурад Мехман Оглы</t>
  </si>
  <si>
    <t>C05365940</t>
  </si>
  <si>
    <t>Юлдашев Ибрагимжон Рахмонович</t>
  </si>
  <si>
    <t>FA5087062</t>
  </si>
  <si>
    <t>Эшкобилов Жахонгир Эшкувват Угли</t>
  </si>
  <si>
    <t>FB2597146</t>
  </si>
  <si>
    <t>31.07.2026 Sineva gitti gecdi</t>
  </si>
  <si>
    <t>Хамзаев Азамжон Хамдам Угли</t>
  </si>
  <si>
    <t>FB2585686</t>
  </si>
  <si>
    <t>Машарипов Азамат Улугбекович</t>
  </si>
  <si>
    <t>FK0389426</t>
  </si>
  <si>
    <t>Матякубов Сардар Бахтиярович</t>
  </si>
  <si>
    <t>FK0384157</t>
  </si>
  <si>
    <t>Мустапов Хасан Ишанкулович</t>
  </si>
  <si>
    <t>FA4214157</t>
  </si>
  <si>
    <t>Тошбоев Сардор Норжигит угли</t>
  </si>
  <si>
    <t>FA1834604</t>
  </si>
  <si>
    <t>Исломов Сардор Хайим Угли</t>
  </si>
  <si>
    <t>FA4982714</t>
  </si>
  <si>
    <t xml:space="preserve">Ic testimizden gecemiyor 20.06.2026 egitime alindi /31.07.2026 Sineva gitti gecemedi </t>
  </si>
  <si>
    <t>Курбанов Фаррух Фарход Угли</t>
  </si>
  <si>
    <t>FA3717530</t>
  </si>
  <si>
    <t>Ic testimizden gecemiyor 20.06.2026 egitime alindi /31.07.2026 Sineva gitti gecdi</t>
  </si>
  <si>
    <t>Наимов Файзали Баглоншоевич</t>
  </si>
  <si>
    <t>Рахимов Шехназар Бахтиёрович</t>
  </si>
  <si>
    <t>FA2313763</t>
  </si>
  <si>
    <t>28.07.2026 Sineva gitti gecemedi 31.07.2026 Sineva gitti gecdi</t>
  </si>
  <si>
    <t>Анафиев Хаётбек Маматкаримович</t>
  </si>
  <si>
    <t>FB2475605</t>
  </si>
  <si>
    <t>Hasta tedavi olmasi gerekiyor</t>
  </si>
  <si>
    <t>Бектошев Элмурод Мамарасулович</t>
  </si>
  <si>
    <t>FA5179942</t>
  </si>
  <si>
    <t>Бектошов Ихтиёр Амириллоевич</t>
  </si>
  <si>
    <t>FA1420086</t>
  </si>
  <si>
    <t>Имомалиев Нушервон Джамшедович</t>
  </si>
  <si>
    <t>Какабаев Иззатбек Машерийбай Огли</t>
  </si>
  <si>
    <t>FA3378619</t>
  </si>
  <si>
    <t>Курбонов Хикматбек Рустамович</t>
  </si>
  <si>
    <t>FA1616592</t>
  </si>
  <si>
    <t>Шамсиев Жонибек Шухратович</t>
  </si>
  <si>
    <t>FA8462384</t>
  </si>
  <si>
    <t>Абдухакимов Абдукаххор Азимахаммад Угли</t>
  </si>
  <si>
    <t>FA7767687</t>
  </si>
  <si>
    <t>Ic testimizden gecemiyor 27.07.2026 egitime alindi /04.08.2026 Sineva gitti gecdi</t>
  </si>
  <si>
    <t>Аменов Равшан Зариббоевич</t>
  </si>
  <si>
    <t>FA2021848</t>
  </si>
  <si>
    <t>Базарбаев Азамат Сабит Улы</t>
  </si>
  <si>
    <t>FK0338623</t>
  </si>
  <si>
    <t>Бобокулов Жамшид Холикович</t>
  </si>
  <si>
    <t>FA5343625</t>
  </si>
  <si>
    <t>Чориев Тулкин Хурсанович</t>
  </si>
  <si>
    <t>FA5310216</t>
  </si>
  <si>
    <t>Джураев Олимжон Довлятович</t>
  </si>
  <si>
    <t>FA6224174</t>
  </si>
  <si>
    <t>Ic testimizden gecemiyor 27.07.2026 egitime alindi /04.08.2026 Sineva gitti gecemedi /12.08.2026 Sineva gitti gecdi</t>
  </si>
  <si>
    <t>Ибрагимов Муродбек Рахим угли</t>
  </si>
  <si>
    <t>FA0862246</t>
  </si>
  <si>
    <t>Кенжаев Элёр Орипович</t>
  </si>
  <si>
    <t>FA1315415</t>
  </si>
  <si>
    <t>Ходжакулов Одилжон Юлдашевич</t>
  </si>
  <si>
    <t>FB2555183</t>
  </si>
  <si>
    <t>Хуррамов Сирожиддин Шухрат Угли</t>
  </si>
  <si>
    <t>FA6857168</t>
  </si>
  <si>
    <t>Кучимов Шерзод Махаммади Угли</t>
  </si>
  <si>
    <t>FB0730365</t>
  </si>
  <si>
    <t>Маткаримов Расулбек Сапарбаевич</t>
  </si>
  <si>
    <t>FK0649029</t>
  </si>
  <si>
    <t>Мустафаев Жамолиддин Равшанович</t>
  </si>
  <si>
    <t>FA2690196</t>
  </si>
  <si>
    <t>Нишонбоев Исломжон Мухтор угли</t>
  </si>
  <si>
    <t>FA3777119</t>
  </si>
  <si>
    <t>Ражабов Иззат Шавкат Угли</t>
  </si>
  <si>
    <t>FA2959489</t>
  </si>
  <si>
    <t>Рахматов Бердимурод Хуррамович</t>
  </si>
  <si>
    <t>FB2459920</t>
  </si>
  <si>
    <t>Санакулов Алим Актамович</t>
  </si>
  <si>
    <t>FA1003973</t>
  </si>
  <si>
    <t>Сапарбоев Дониёр Ихтиёр Угли</t>
  </si>
  <si>
    <t>FK0717777</t>
  </si>
  <si>
    <t>Тошбоев Санжар Жовлиевич</t>
  </si>
  <si>
    <t>FA6986580</t>
  </si>
  <si>
    <t>Турсоатов Хуррам Исмоилович</t>
  </si>
  <si>
    <t>FA4325714</t>
  </si>
  <si>
    <t>31.07.2026 Sineva gitti gecemedi /04.08.2026 Sineva gitti gecdi</t>
  </si>
  <si>
    <t>Турсунов Кудратилло Икром Угли</t>
  </si>
  <si>
    <t>FB2555182</t>
  </si>
  <si>
    <t>Яхшиев Шахбозбек Уктам Угли</t>
  </si>
  <si>
    <t>FA2271546</t>
  </si>
  <si>
    <t>Янгиев Туйчи Жахонгир Угли</t>
  </si>
  <si>
    <t>FB0257930</t>
  </si>
  <si>
    <t>Саидов Фахриддин Гулимбаевич</t>
  </si>
  <si>
    <t>FA4806637</t>
  </si>
  <si>
    <t>Ic testimizden gecemiyor 31.07.2026 egitime alindi /12.08.2026 Sineva gitti gecdi</t>
  </si>
  <si>
    <t>Gitmedi uyuyakalmıs</t>
  </si>
  <si>
    <t>Абдуллаев Илгар Хусейн Оглы</t>
  </si>
  <si>
    <t>C05602605</t>
  </si>
  <si>
    <t>Ic testimizden gecemiyor 31.07.2026 egitime alindi</t>
  </si>
  <si>
    <t>Холбоев Бекзод Махаммадиевич</t>
  </si>
  <si>
    <t>FA1503888</t>
  </si>
  <si>
    <t>04.08.2026 Sineva gitti gecdi</t>
  </si>
  <si>
    <t>Кошаев Азамат Джумабекович</t>
  </si>
  <si>
    <t>FK0196677</t>
  </si>
  <si>
    <t>Ic testimizden gecemiyor 31.07.2026 egitime alindi /11.08.2026 Sineva gitti gecdi</t>
  </si>
  <si>
    <t>Мусурмонов Нозимбек Хасан Угли</t>
  </si>
  <si>
    <t>FA9850999</t>
  </si>
  <si>
    <t>12.08.2026 Sineva gitti gecdi</t>
  </si>
  <si>
    <t>Сафаров Аброр Турди угли</t>
  </si>
  <si>
    <t>FA4929268</t>
  </si>
  <si>
    <t>Шарипов Арсланбек Рейимбергенович</t>
  </si>
  <si>
    <t>FK0256464</t>
  </si>
  <si>
    <t>Мамиев Гутлимурат Амандурдыевич</t>
  </si>
  <si>
    <t>FK0275215</t>
  </si>
  <si>
    <t>Бегматов Мирзабек Низомидин Угли</t>
  </si>
  <si>
    <t>FA7161031</t>
  </si>
  <si>
    <t>Cikis</t>
  </si>
  <si>
    <t>Дониёров Жавохир Аллаберди Угли</t>
  </si>
  <si>
    <t>FB2556480</t>
  </si>
  <si>
    <t>Холматов Илёсбек Тулкинович</t>
  </si>
  <si>
    <t>FA1751919</t>
  </si>
  <si>
    <t>Ic testimizden gecemiyor 31.07.2026 egitime alindi /Ic testimizden gecemedi 04.08.2026 /12.08.2026 Sineva gitti gecdi</t>
  </si>
  <si>
    <t>kedi hisabindan</t>
  </si>
  <si>
    <t>Кучкаров Холжура Иброхимович</t>
  </si>
  <si>
    <t>FA1788905</t>
  </si>
  <si>
    <t>04.08.2026 Sineva gitti gecemedi /11.08.2026 Sineva gitti gecemedi /14.08.2026 Sineva gitti gecdi</t>
  </si>
  <si>
    <t>Мухторов Дилмурод Низомидин угли</t>
  </si>
  <si>
    <t>FA1106563</t>
  </si>
  <si>
    <t>Ic testimizden gecemiyor 31.07.2026 egitime alindi /11.08.2026 Sineva gitti gecemedi /14.08.2026 Sineva gitti gecdi</t>
  </si>
  <si>
    <t>Омонов Озодбек Зиёдула Угли</t>
  </si>
  <si>
    <t>FA3167000</t>
  </si>
  <si>
    <t>Ic testimizden gecemiyor 31.07.2026 egitime alindi /04.08.2026 Sineva gitti gecemedi /14.08.2026 Sineva gitti gecdi</t>
  </si>
  <si>
    <t>Рахматов Уткир Хужаёр Угли</t>
  </si>
  <si>
    <t>FA1868496</t>
  </si>
  <si>
    <t>Сафаров Эшмурод Худоёрович</t>
  </si>
  <si>
    <t>FB0554432</t>
  </si>
  <si>
    <t>Тилаволдиев Назиржон Набижон Угли</t>
  </si>
  <si>
    <t>FB1837310</t>
  </si>
  <si>
    <t>Зухуров Ризванбек Толиб Угли</t>
  </si>
  <si>
    <t>FA1777065</t>
  </si>
  <si>
    <t>06.08.2026 Sineva gitti gecdi</t>
  </si>
  <si>
    <t>Абдуллаев Рустам Абдуллаевич</t>
  </si>
  <si>
    <t>FA4877310</t>
  </si>
  <si>
    <t>11.08.2026 Sineva gitti gecdi</t>
  </si>
  <si>
    <t>Байжанов Джуманазар Айназарович</t>
  </si>
  <si>
    <t>FK0377754</t>
  </si>
  <si>
    <t>Мамиров Асадбек Аскар Угли</t>
  </si>
  <si>
    <t>FA4021933</t>
  </si>
  <si>
    <t xml:space="preserve">Ic testimizden gecemedi 04.08.2026 /12.06.2026 Sineva gitti gecemedi </t>
  </si>
  <si>
    <t>Мавланов Гуломжон Киромиддинович</t>
  </si>
  <si>
    <t>FA1894245</t>
  </si>
  <si>
    <t>Назаров Аскарбек Кадамбаевич</t>
  </si>
  <si>
    <t>FA5763279</t>
  </si>
  <si>
    <t>Отаназаров Умирбек Хушнудович</t>
  </si>
  <si>
    <t>FA4919270</t>
  </si>
  <si>
    <t>Рашидов Шухрат Шароп Угли</t>
  </si>
  <si>
    <t>FA1503826</t>
  </si>
  <si>
    <t>Ic testimizden gecemedi 04.08.2026 /12.08.2026 Sineva gitti gecdi</t>
  </si>
  <si>
    <t>Рузатов Зафар Баходирович</t>
  </si>
  <si>
    <t>FA1759800</t>
  </si>
  <si>
    <t xml:space="preserve">Ic testimizden gecemedi 04.08.2026  /12.06.2026 Sineva gitti gecemedi </t>
  </si>
  <si>
    <t>Абдужалилов Отабек Фарход Угли</t>
  </si>
  <si>
    <t>FA4655035</t>
  </si>
  <si>
    <t>Ic testimizden gecemedi 08.08.2026 /Ic testimizden gecemedi 11.08.2026</t>
  </si>
  <si>
    <t>Абдуллаев Зайр Турсунбоевич</t>
  </si>
  <si>
    <t>FA1738192</t>
  </si>
  <si>
    <t>Ic testimizden gecemedi 08.08.2026  /14.07.2026 Sineva gitti gecemedi /19.08.2026 Sineva gitti gecdi</t>
  </si>
  <si>
    <t>Абдурахмонов Сарвар Музаффар Угли</t>
  </si>
  <si>
    <t>FB0407917</t>
  </si>
  <si>
    <t>Ашуров Фаррух Нурунбоевич</t>
  </si>
  <si>
    <t>FA2797890</t>
  </si>
  <si>
    <t>Чариев Суннатулло Сафарович</t>
  </si>
  <si>
    <t>FA6715160</t>
  </si>
  <si>
    <t>Элмуродов Бобур Хабиб угли</t>
  </si>
  <si>
    <t>FA6688198</t>
  </si>
  <si>
    <t>Эшкувватов Мирзабек Рахматулла Угли</t>
  </si>
  <si>
    <t>FA3241367</t>
  </si>
  <si>
    <t>Гафоров Рустам Исроилович</t>
  </si>
  <si>
    <t>FA4251536</t>
  </si>
  <si>
    <t>Исаев Замонбек Акбар Угли</t>
  </si>
  <si>
    <t>FK0352729</t>
  </si>
  <si>
    <t>Исмоилов Дилшодбек Якуббой Угли</t>
  </si>
  <si>
    <t>FB2543193</t>
  </si>
  <si>
    <t>Хамраев Ботир Хамро Угли</t>
  </si>
  <si>
    <t>FK0718771</t>
  </si>
  <si>
    <t>Ic testimizden gecemedi 08.08.2026 /14.07.2026 Sineva gitti gecdi</t>
  </si>
  <si>
    <t>Муродзода Маснун Нурмурод</t>
  </si>
  <si>
    <t>17.08.2026 Sineva gitti gecemedi.</t>
  </si>
  <si>
    <t>Норматов Огабек Равшонбоевич</t>
  </si>
  <si>
    <t>FA2982506</t>
  </si>
  <si>
    <t>Юлдошов Хаётбек Анварбек Угли</t>
  </si>
  <si>
    <t>FB1218528</t>
  </si>
  <si>
    <t>Хакимов Мухриддин Фарходжонович</t>
  </si>
  <si>
    <t>FA2304109</t>
  </si>
  <si>
    <t>17.08.2026 Sineva gitti gecdi</t>
  </si>
  <si>
    <t>Куранбаев Шокирбек Парходович</t>
  </si>
  <si>
    <t>FA1586848</t>
  </si>
  <si>
    <t>Сафарбоев Шохзод Шухрат Угли</t>
  </si>
  <si>
    <t>FA7361867</t>
  </si>
  <si>
    <t>Усвалиев Фарходжон Абдурахимович</t>
  </si>
  <si>
    <t>FA4525835</t>
  </si>
  <si>
    <t>Акабаев Тулкин Адашбаевич</t>
  </si>
  <si>
    <t>FA1739309</t>
  </si>
  <si>
    <t>Ic testimizden gecemedi 11.08.2026</t>
  </si>
  <si>
    <t>Исматиллаев Обид Исматилла Угли</t>
  </si>
  <si>
    <t>FA7332495</t>
  </si>
  <si>
    <t>Кеулимжаев Рамазан Муратбай Ули</t>
  </si>
  <si>
    <t>FK0109420</t>
  </si>
  <si>
    <t>Курбонов Журабек Зайнидинович</t>
  </si>
  <si>
    <t>FA4025905</t>
  </si>
  <si>
    <t>Лукмонов Жамолиддин Тоштемирович</t>
  </si>
  <si>
    <t>FA6758995</t>
  </si>
  <si>
    <t>Некбаев Бекмирза Хамидович</t>
  </si>
  <si>
    <t>FA9773988</t>
  </si>
  <si>
    <t>Пардаев Муроджон Очил Угли</t>
  </si>
  <si>
    <t>FA2871267</t>
  </si>
  <si>
    <t>Сулаймонов Голибжон Кимсанбой Угли</t>
  </si>
  <si>
    <t>FA7242852</t>
  </si>
  <si>
    <t>Сулаймонов Гайратбек Кимсанбой Угли</t>
  </si>
  <si>
    <t>FA6282170</t>
  </si>
  <si>
    <t>Тураев Фуркат Уткир Угли</t>
  </si>
  <si>
    <t>FB2646204</t>
  </si>
  <si>
    <t>Усаров Аюбжон Киличевич</t>
  </si>
  <si>
    <t>FA2403423</t>
  </si>
  <si>
    <t>Хожикулов Кувончбек Чориевич</t>
  </si>
  <si>
    <t>FA4441097</t>
  </si>
  <si>
    <t>Ic testimizden gecemedi 08.08.2026 /Ic testimizden gecemedi 11.08.2026 /19.08.2026 Sineva gitti gecemedi</t>
  </si>
  <si>
    <t>Чориев Хасан Хуррамович</t>
  </si>
  <si>
    <t>FA6982639</t>
  </si>
  <si>
    <t>Ic testimizden gecemedi 08.08.2026  /Ic testimizden gecemedi 11.08.2026 /19.08.2026 Sineva gitti gecdi</t>
  </si>
  <si>
    <t>Шавкиев Улмас Мирзакулович</t>
  </si>
  <si>
    <t>FA5882897</t>
  </si>
  <si>
    <t>Миразимов Муроджон Содикжонович</t>
  </si>
  <si>
    <t>FA6357096</t>
  </si>
  <si>
    <t>14.08.2026 Sineva gitti gecdi</t>
  </si>
  <si>
    <t>polvon</t>
  </si>
  <si>
    <t>Рузмаматов Тохирбек Зокир Угли</t>
  </si>
  <si>
    <t>FA4169374</t>
  </si>
  <si>
    <t>Ic testimizden gecemedi 08.08.2026</t>
  </si>
  <si>
    <t>Бозоров Жахонгир Соатмурод Угли</t>
  </si>
  <si>
    <t>FA4836854</t>
  </si>
  <si>
    <t>Абдуллаев Сухроб Хикматулла угли</t>
  </si>
  <si>
    <t>FK0316162</t>
  </si>
  <si>
    <t>Богибеков Мухиддин Мухаммад Угли</t>
  </si>
  <si>
    <t>FK0697956</t>
  </si>
  <si>
    <t>Ic testimizden gecemedi 11.08.2026 /Ic testimizden gecemedi 18.08.2026</t>
  </si>
  <si>
    <t>Богибеков Хусниддин Мухаммад Угли</t>
  </si>
  <si>
    <t>FK0635272</t>
  </si>
  <si>
    <t>Машарипов Хурмат Фарид Угли</t>
  </si>
  <si>
    <t>FA6236114</t>
  </si>
  <si>
    <t>Султанов Атаулла Абдуллаевич</t>
  </si>
  <si>
    <t>FK0190731</t>
  </si>
  <si>
    <t>Валиев Арслан Мыратович</t>
  </si>
  <si>
    <t>Абаев Шохбоз Обиджон угли</t>
  </si>
  <si>
    <t>FB2415863</t>
  </si>
  <si>
    <t>14.08.20226</t>
  </si>
  <si>
    <t>Абдуррахимов Махир Гурбанали Оглы</t>
  </si>
  <si>
    <t>C05869153</t>
  </si>
  <si>
    <t>Egitime alinacak</t>
  </si>
  <si>
    <t>Алиев Давриддин Зухриддин Угли</t>
  </si>
  <si>
    <t>FA4312348</t>
  </si>
  <si>
    <t>Ziazetdinov Arslan/ Валерия Алексеева</t>
  </si>
  <si>
    <t>Ic testimizden gecemedi 18.08.2026</t>
  </si>
  <si>
    <t>Egitime  devem eden</t>
  </si>
  <si>
    <t>Аннеков Хамид Арисланбек Угли</t>
  </si>
  <si>
    <t>FK0616396</t>
  </si>
  <si>
    <t>Баратов Абдували Ирисович</t>
  </si>
  <si>
    <t>FA3704235</t>
  </si>
  <si>
    <t>Бобоназаров Шербек Толлибой Угли</t>
  </si>
  <si>
    <t>FA3648305</t>
  </si>
  <si>
    <t>Гадоев Бахридин Фатхудинович</t>
  </si>
  <si>
    <t>Дониёров Озодбек Химматалиевич</t>
  </si>
  <si>
    <t>FA9284292</t>
  </si>
  <si>
    <t>Жуллибаев Шахзод Асадулла Угли</t>
  </si>
  <si>
    <t>FB2615085</t>
  </si>
  <si>
    <t>Истамов Алибек Низомович</t>
  </si>
  <si>
    <t>FA1553803</t>
  </si>
  <si>
    <t>Dil sertifikasi var Arsivde</t>
  </si>
  <si>
    <t>Косимов Музаффар Мехмоналиевич</t>
  </si>
  <si>
    <t>FA1832372</t>
  </si>
  <si>
    <t>Косимов Отабек Абдухалилович</t>
  </si>
  <si>
    <t>FA2278335</t>
  </si>
  <si>
    <t>Курязов Алишер Пархатович</t>
  </si>
  <si>
    <t>FK0119048</t>
  </si>
  <si>
    <t>Латифли Джавидан Сабир Оглы</t>
  </si>
  <si>
    <t>C03610923</t>
  </si>
  <si>
    <t>Валерия Алексеева</t>
  </si>
  <si>
    <t>Матчанов Жавохир Муродбек Угли</t>
  </si>
  <si>
    <t>FA4402953</t>
  </si>
  <si>
    <t>Матякубов Ихтиёр Бахтиярович</t>
  </si>
  <si>
    <t>FA7013831</t>
  </si>
  <si>
    <t>Норбоев Мухиддин Шаймардонович</t>
  </si>
  <si>
    <t>FB1317742</t>
  </si>
  <si>
    <t>Норбоев Тулкин Шаймарданович</t>
  </si>
  <si>
    <t>FA5632599</t>
  </si>
  <si>
    <t>Нортоджиев Азамат Махмараджаб угли</t>
  </si>
  <si>
    <t>FA4582044</t>
  </si>
  <si>
    <t>Оллаберганов Максадбек Шухрат Угли</t>
  </si>
  <si>
    <t>FA9957044</t>
  </si>
  <si>
    <t>Рузатов Фарход Кодирович</t>
  </si>
  <si>
    <t>FA4779048</t>
  </si>
  <si>
    <t>Салоев Музаффар Запар угли</t>
  </si>
  <si>
    <t>FA1554098</t>
  </si>
  <si>
    <t>19.08.2026 Sineva gitti gecdi</t>
  </si>
  <si>
    <t>Сапаров Сайдилла Ашурович</t>
  </si>
  <si>
    <t>FA1102867</t>
  </si>
  <si>
    <t>Сулаймонов Шахбозбек Шавкатжон Угли</t>
  </si>
  <si>
    <t>FA3011781</t>
  </si>
  <si>
    <t>Хакимов Исомиддин Шаймордон Угли</t>
  </si>
  <si>
    <t>FB1239223</t>
  </si>
  <si>
    <t>Хожаев Хожаназар Айытназар Угли</t>
  </si>
  <si>
    <t>FK0675906</t>
  </si>
  <si>
    <t>Холбоев Рустомжон Тухтаевич</t>
  </si>
  <si>
    <t>FA7084925</t>
  </si>
  <si>
    <t>Худайбердиев Сохбет Базарбаевич</t>
  </si>
  <si>
    <t>FK0305749</t>
  </si>
  <si>
    <t>Эшонкулов Акмал Очилович</t>
  </si>
  <si>
    <t>FA7485203</t>
  </si>
  <si>
    <t>Юлдашев Мехмонали Пирназарович</t>
  </si>
  <si>
    <t>Болтаев Максуд Аширали Угли</t>
  </si>
  <si>
    <t>FA8283946</t>
  </si>
  <si>
    <t>Галиев Журабек Акмал Угли</t>
  </si>
  <si>
    <t>FB0482541</t>
  </si>
  <si>
    <t>Жумаев Фахриддин Сахобиддин Угли</t>
  </si>
  <si>
    <t>FB2138375</t>
  </si>
  <si>
    <t>Кандахаров Достонбек Холбобо Угли</t>
  </si>
  <si>
    <t>FA5741598</t>
  </si>
  <si>
    <t xml:space="preserve">Суяров Шодиёр Абдурахим Угли </t>
  </si>
  <si>
    <t>FA1284668</t>
  </si>
  <si>
    <t>Эркинов Джамшидбек Дилмурод Угли</t>
  </si>
  <si>
    <t>FB0272266</t>
  </si>
  <si>
    <t xml:space="preserve">Абдуманнопов Мухаммад Абдумутал угли </t>
  </si>
  <si>
    <t>FB2601061</t>
  </si>
  <si>
    <t>Абдуллаев Садулла Абдуллаевич</t>
  </si>
  <si>
    <t>FK0534682</t>
  </si>
  <si>
    <t>Азамхонов Максудхон Аблиясхон Угли</t>
  </si>
  <si>
    <t>FA7001530</t>
  </si>
  <si>
    <t>Эгамова Нилуфар Шерипбоевна</t>
  </si>
  <si>
    <t>FA8178828</t>
  </si>
  <si>
    <t>Рузиев Дилмурод Кудратович</t>
  </si>
  <si>
    <t>FA4626822</t>
  </si>
  <si>
    <t>Сувонкулов Аслиддин Умид Угли</t>
  </si>
  <si>
    <t>FB0122031</t>
  </si>
  <si>
    <t>Чориев Сайфиддин Туйчи угли</t>
  </si>
  <si>
    <t>FA6693833</t>
  </si>
  <si>
    <t>Каюмов Шохзод Акрам Угли</t>
  </si>
  <si>
    <t>FA8809537</t>
  </si>
  <si>
    <t>Хурсанов Нурбек Шодмонович</t>
  </si>
  <si>
    <t>FB2453869</t>
  </si>
  <si>
    <t>Хурсанов Фазлиддин Шодмон Угли</t>
  </si>
  <si>
    <t>FB2567855</t>
  </si>
  <si>
    <t>Гражданство</t>
  </si>
  <si>
    <t>Тип документа</t>
  </si>
  <si>
    <t>Объект (Santiye)</t>
  </si>
  <si>
    <t>Категория</t>
  </si>
  <si>
    <t>Кол-во</t>
  </si>
  <si>
    <t>Статус обучения / экзамена</t>
  </si>
  <si>
    <t>Категория (RU)</t>
  </si>
  <si>
    <t>Обучение завершено, экзамен сдан</t>
  </si>
  <si>
    <t>2 раза не сдал экзамен</t>
  </si>
  <si>
    <t>Продолжает обучение</t>
  </si>
  <si>
    <t>Есть сертификат (на руках)</t>
  </si>
  <si>
    <t>Сдал экзамен в Ташкенте</t>
  </si>
  <si>
    <t>Готов к экзамену</t>
  </si>
  <si>
    <t>Подал заявку на патент</t>
  </si>
  <si>
    <t>Будет направлен на обучение</t>
  </si>
  <si>
    <t>Сообщил об увольнении</t>
  </si>
  <si>
    <t>Есть сертификат (на руках, доп.)</t>
  </si>
  <si>
    <t>Сертификат сдан без направления</t>
  </si>
  <si>
    <t>Требуется лечение</t>
  </si>
  <si>
    <t>Уволен</t>
  </si>
  <si>
    <t>Сертификат в архиве</t>
  </si>
  <si>
    <t>← Назад на дашборд</t>
  </si>
  <si>
    <t>Сотрудники: 2 раза не сдали экзамен</t>
  </si>
  <si>
    <t>Обновляется автоматически из листа «Данные» по статусу = «2 kere sinavden gecemedi»</t>
  </si>
  <si>
    <t>Табельный №</t>
  </si>
  <si>
    <t>ФИО</t>
  </si>
  <si>
    <t>Объект</t>
  </si>
  <si>
    <t>Учитель</t>
  </si>
  <si>
    <t>Экзамен (детали)</t>
  </si>
  <si>
    <t>Статус обучения</t>
  </si>
  <si>
    <t>Примечание</t>
  </si>
  <si>
    <t>Сотрудники в процессе обучения</t>
  </si>
  <si>
    <t>Обновляется автоматически: продолжает обучение / будет направлен на обучение / готов к экзамену</t>
  </si>
  <si>
    <t>Сотрудники, готовые к экзамену (sinavi hazir)</t>
  </si>
  <si>
    <t>Обновляется автоматически из листа «Данные» по статусу = «sinavi hazir»</t>
  </si>
  <si>
    <t>Сотрудники, продолжающие обучение</t>
  </si>
  <si>
    <t>Обновляется автоматически из листа «Данные» по статусу = «Egitime devem eden»</t>
  </si>
  <si>
    <t>Сотрудники, сдавшие экзамен</t>
  </si>
  <si>
    <t>Обновляется автоматически из листа «Данные» по статусу = «Dil egitimi tamamlandi sinavdan gecti»</t>
  </si>
  <si>
    <t>Сотрудники, которых направят на обучение</t>
  </si>
  <si>
    <t>Обновляется автоматически из листа «Данные» по статусу = «Egitime alınacak»</t>
  </si>
  <si>
    <t>Поиск сотрудника по табельному номеру (Sicil)</t>
  </si>
  <si>
    <t>Введите Sicil в жёлтую ячейку — карточка сотрудника заполнится автоматически</t>
  </si>
  <si>
    <t>Sicil:</t>
  </si>
  <si>
    <t>MK (дата въезда)</t>
  </si>
  <si>
    <t xml:space="preserve">ОТЧЁТ ПО ПЕРСОНАЛУ — ОБУЧЕНИЕ И ОФОРМЛЕНИЕ ПАТЕНТОВ                            </t>
  </si>
  <si>
    <t>Sineva gitti gecdi</t>
  </si>
  <si>
    <t>Хажиев Бунёдбек Отабоевич</t>
  </si>
  <si>
    <t>Vkes patent donismi</t>
  </si>
  <si>
    <t>Toplam sayi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</si>
</sst>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&quot; от общего числа&quot;"/>
    <numFmt numFmtId="165" formatCode="dd\.mm\.yyyy"/>
  </numFmts>
  <fonts count="46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204"/>
    </font>
    <font>
      <i/>
      <sz val="10.5"/>
      <color rgb="FF757575"/>
      <name val="Calibri"/>
      <family val="2"/>
      <charset val="204"/>
    </font>
    <font>
      <b/>
      <sz val="9.5"/>
      <color rgb="FF757575"/>
      <name val="Calibri"/>
      <family val="2"/>
      <charset val="204"/>
    </font>
    <font>
      <b/>
      <u/>
      <sz val="22"/>
      <color rgb="FF1F3864"/>
      <name val="Calibri"/>
      <family val="2"/>
      <charset val="204"/>
    </font>
    <font>
      <i/>
      <sz val="7.5"/>
      <color rgb="FF757575"/>
      <name val="Calibri"/>
      <family val="2"/>
      <charset val="204"/>
    </font>
    <font>
      <i/>
      <sz val="7.5"/>
      <color rgb="FF6A4C93"/>
      <name val="Calibri"/>
      <family val="2"/>
      <charset val="204"/>
    </font>
    <font>
      <b/>
      <u/>
      <sz val="10"/>
      <color rgb="FF2E86AB"/>
      <name val="Calibri"/>
      <family val="2"/>
      <charset val="204"/>
    </font>
    <font>
      <i/>
      <sz val="8.5"/>
      <color rgb="FF757575"/>
      <name val="Calibri"/>
      <family val="2"/>
      <charset val="204"/>
    </font>
    <font>
      <b/>
      <sz val="12"/>
      <color rgb="FF1F3864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0"/>
      <name val="Calibri"/>
      <family val="2"/>
      <charset val="204"/>
    </font>
    <font>
      <b/>
      <sz val="11"/>
      <color rgb="FF1F3864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6"/>
      <color rgb="FFC62828"/>
      <name val="Calibri"/>
      <family val="2"/>
      <charset val="204"/>
    </font>
    <font>
      <b/>
      <sz val="10"/>
      <color rgb="FFC62828"/>
      <name val="Calibri"/>
      <family val="2"/>
      <charset val="204"/>
    </font>
    <font>
      <b/>
      <sz val="10.5"/>
      <color rgb="FFFFFFFF"/>
      <name val="Calibri"/>
      <family val="2"/>
      <charset val="204"/>
    </font>
    <font>
      <b/>
      <sz val="16"/>
      <color rgb="FFE67E22"/>
      <name val="Calibri"/>
      <family val="2"/>
      <charset val="204"/>
    </font>
    <font>
      <b/>
      <sz val="10"/>
      <color rgb="FFE67E22"/>
      <name val="Calibri"/>
      <family val="2"/>
      <charset val="204"/>
    </font>
    <font>
      <b/>
      <sz val="16"/>
      <color rgb="FFD35400"/>
      <name val="Calibri"/>
      <family val="2"/>
      <charset val="204"/>
    </font>
    <font>
      <b/>
      <sz val="10"/>
      <color rgb="FFD35400"/>
      <name val="Calibri"/>
      <family val="2"/>
      <charset val="204"/>
    </font>
    <font>
      <b/>
      <sz val="16"/>
      <color rgb="FF6A4C93"/>
      <name val="Calibri"/>
      <family val="2"/>
      <charset val="204"/>
    </font>
    <font>
      <b/>
      <sz val="10"/>
      <color rgb="FF6A4C93"/>
      <name val="Calibri"/>
      <family val="2"/>
      <charset val="204"/>
    </font>
    <font>
      <b/>
      <sz val="16"/>
      <color rgb="FF2E7D32"/>
      <name val="Calibri"/>
      <family val="2"/>
      <charset val="204"/>
    </font>
    <font>
      <b/>
      <sz val="10"/>
      <color rgb="FF2E7D32"/>
      <name val="Calibri"/>
      <family val="2"/>
      <charset val="204"/>
    </font>
    <font>
      <b/>
      <sz val="16"/>
      <color rgb="FF1B998B"/>
      <name val="Calibri"/>
      <family val="2"/>
      <charset val="204"/>
    </font>
    <font>
      <b/>
      <sz val="10"/>
      <color rgb="FF1B998B"/>
      <name val="Calibri"/>
      <family val="2"/>
      <charset val="204"/>
    </font>
    <font>
      <b/>
      <sz val="16"/>
      <color rgb="FF1F3864"/>
      <name val="Calibri"/>
      <family val="2"/>
      <charset val="204"/>
    </font>
    <font>
      <b/>
      <sz val="10.5"/>
      <color rgb="FF757575"/>
      <name val="Calibri"/>
      <family val="2"/>
      <charset val="204"/>
    </font>
    <font>
      <sz val="11"/>
      <color rgb="FF1F3864"/>
      <name val="Calibri"/>
      <family val="2"/>
      <charset val="204"/>
    </font>
    <font>
      <b/>
      <u/>
      <sz val="20"/>
      <color rgb="FF2E86AB"/>
      <name val="Calibri"/>
      <family val="2"/>
      <charset val="204"/>
    </font>
    <font>
      <i/>
      <sz val="14"/>
      <color rgb="FF757575"/>
      <name val="Calibri"/>
      <family val="2"/>
      <charset val="204"/>
    </font>
    <font>
      <b/>
      <u/>
      <sz val="22"/>
      <color rgb="FF7030A0"/>
      <name val="Calibri"/>
      <family val="2"/>
      <charset val="204"/>
    </font>
    <font>
      <b/>
      <u/>
      <sz val="22"/>
      <color rgb="FF00B050"/>
      <name val="Calibri"/>
      <family val="2"/>
      <charset val="204"/>
    </font>
    <font>
      <i/>
      <sz val="7.5"/>
      <color rgb="FF00B050"/>
      <name val="Calibri"/>
      <family val="2"/>
      <charset val="204"/>
    </font>
    <font>
      <b/>
      <u/>
      <sz val="22"/>
      <color rgb="FFFF0000"/>
      <name val="Calibri"/>
      <family val="2"/>
      <charset val="204"/>
    </font>
    <font>
      <sz val="11"/>
      <color rgb="FFFF0000"/>
      <name val="Calibri"/>
      <family val="2"/>
      <charset val="1"/>
    </font>
    <font>
      <i/>
      <sz val="12"/>
      <color rgb="FFFF0000"/>
      <name val="Calibri"/>
      <family val="2"/>
      <charset val="204"/>
    </font>
    <font>
      <i/>
      <sz val="11"/>
      <color rgb="FF6A4C93"/>
      <name val="Calibri"/>
      <family val="2"/>
      <charset val="204"/>
    </font>
    <font>
      <i/>
      <sz val="12"/>
      <color rgb="FF00B050"/>
      <name val="Calibri"/>
      <family val="2"/>
      <charset val="204"/>
    </font>
    <font>
      <b/>
      <u/>
      <sz val="22"/>
      <color theme="5"/>
      <name val="Calibri"/>
      <family val="2"/>
      <charset val="204"/>
    </font>
    <font>
      <i/>
      <sz val="9"/>
      <color rgb="FF757575"/>
      <name val="Calibri"/>
      <family val="2"/>
      <charset val="204"/>
    </font>
    <font>
      <i/>
      <sz val="10"/>
      <color theme="5"/>
      <name val="Calibri"/>
      <family val="2"/>
      <charset val="204"/>
    </font>
    <font>
      <i/>
      <sz val="12"/>
      <color theme="6" tint="-0.499984740745262"/>
      <name val="Calibri"/>
      <family val="2"/>
      <charset val="204"/>
    </font>
    <font>
      <b/>
      <u/>
      <sz val="22"/>
      <color theme="6" tint="-0.499984740745262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5F7FA"/>
        <bgColor rgb="FFF2F5FA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5F7FA"/>
      </patternFill>
    </fill>
    <fill>
      <patternFill patternType="solid">
        <fgColor rgb="FFC62828"/>
        <bgColor rgb="FFD35400"/>
      </patternFill>
    </fill>
    <fill>
      <patternFill patternType="solid">
        <fgColor rgb="FFFDECEA"/>
        <bgColor rgb="FFFFF3E0"/>
      </patternFill>
    </fill>
    <fill>
      <patternFill patternType="solid">
        <fgColor rgb="FFE67E22"/>
        <bgColor rgb="FFFF9900"/>
      </patternFill>
    </fill>
    <fill>
      <patternFill patternType="solid">
        <fgColor rgb="FFFFF3E0"/>
        <bgColor rgb="FFFDECEA"/>
      </patternFill>
    </fill>
    <fill>
      <patternFill patternType="solid">
        <fgColor rgb="FFD35400"/>
        <bgColor rgb="FFE67E22"/>
      </patternFill>
    </fill>
    <fill>
      <patternFill patternType="solid">
        <fgColor rgb="FFFBE4D5"/>
        <bgColor rgb="FFFDECEA"/>
      </patternFill>
    </fill>
    <fill>
      <patternFill patternType="solid">
        <fgColor rgb="FF6A4C93"/>
        <bgColor rgb="FF2E5395"/>
      </patternFill>
    </fill>
    <fill>
      <patternFill patternType="solid">
        <fgColor rgb="FFEDE7F6"/>
        <bgColor rgb="FFEAF0FA"/>
      </patternFill>
    </fill>
    <fill>
      <patternFill patternType="solid">
        <fgColor rgb="FF2E7D32"/>
        <bgColor rgb="FF008080"/>
      </patternFill>
    </fill>
    <fill>
      <patternFill patternType="solid">
        <fgColor rgb="FFE8F5E9"/>
        <bgColor rgb="FFEAF0FA"/>
      </patternFill>
    </fill>
    <fill>
      <patternFill patternType="solid">
        <fgColor rgb="FF1B998B"/>
        <bgColor rgb="FF2E86AB"/>
      </patternFill>
    </fill>
    <fill>
      <patternFill patternType="solid">
        <fgColor rgb="FFD9F2ED"/>
        <bgColor rgb="FFE8F5E9"/>
      </patternFill>
    </fill>
    <fill>
      <patternFill patternType="solid">
        <fgColor rgb="FF2E86AB"/>
        <bgColor rgb="FF4F81BD"/>
      </patternFill>
    </fill>
    <fill>
      <patternFill patternType="solid">
        <fgColor rgb="FFEAF0FA"/>
        <bgColor rgb="FFF2F5FA"/>
      </patternFill>
    </fill>
  </fills>
  <borders count="22">
    <border>
      <left/>
      <right/>
      <top/>
      <bottom/>
      <diagonal/>
    </border>
    <border>
      <left style="thin">
        <color rgb="FFB7C3D9"/>
      </left>
      <right/>
      <top style="medium">
        <color rgb="FF2E86AB"/>
      </top>
      <bottom/>
      <diagonal/>
    </border>
    <border>
      <left/>
      <right style="thin">
        <color rgb="FFB7C3D9"/>
      </right>
      <top style="medium">
        <color rgb="FF2E86AB"/>
      </top>
      <bottom/>
      <diagonal/>
    </border>
    <border>
      <left style="thin">
        <color rgb="FFB7C3D9"/>
      </left>
      <right/>
      <top style="medium">
        <color rgb="FF2E7D32"/>
      </top>
      <bottom/>
      <diagonal/>
    </border>
    <border>
      <left/>
      <right style="thin">
        <color rgb="FFB7C3D9"/>
      </right>
      <top style="medium">
        <color rgb="FF2E7D32"/>
      </top>
      <bottom/>
      <diagonal/>
    </border>
    <border>
      <left style="thin">
        <color rgb="FFB7C3D9"/>
      </left>
      <right/>
      <top style="medium">
        <color rgb="FFC62828"/>
      </top>
      <bottom/>
      <diagonal/>
    </border>
    <border>
      <left/>
      <right style="thin">
        <color rgb="FFB7C3D9"/>
      </right>
      <top style="medium">
        <color rgb="FFC62828"/>
      </top>
      <bottom/>
      <diagonal/>
    </border>
    <border>
      <left style="thin">
        <color rgb="FFB7C3D9"/>
      </left>
      <right/>
      <top style="medium">
        <color rgb="FFD35400"/>
      </top>
      <bottom/>
      <diagonal/>
    </border>
    <border>
      <left/>
      <right style="thin">
        <color rgb="FFB7C3D9"/>
      </right>
      <top style="medium">
        <color rgb="FFD35400"/>
      </top>
      <bottom/>
      <diagonal/>
    </border>
    <border>
      <left style="thin">
        <color rgb="FFB7C3D9"/>
      </left>
      <right/>
      <top style="medium">
        <color rgb="FF6A4C93"/>
      </top>
      <bottom/>
      <diagonal/>
    </border>
    <border>
      <left/>
      <right style="thin">
        <color rgb="FFB7C3D9"/>
      </right>
      <top style="medium">
        <color rgb="FF6A4C93"/>
      </top>
      <bottom/>
      <diagonal/>
    </border>
    <border>
      <left style="thin">
        <color rgb="FFB7C3D9"/>
      </left>
      <right/>
      <top style="medium">
        <color rgb="FF1B998B"/>
      </top>
      <bottom/>
      <diagonal/>
    </border>
    <border>
      <left/>
      <right style="thin">
        <color rgb="FFB7C3D9"/>
      </right>
      <top style="medium">
        <color rgb="FF1B998B"/>
      </top>
      <bottom/>
      <diagonal/>
    </border>
    <border>
      <left style="thin">
        <color rgb="FFB7C3D9"/>
      </left>
      <right style="thin">
        <color rgb="FFB7C3D9"/>
      </right>
      <top/>
      <bottom/>
      <diagonal/>
    </border>
    <border>
      <left style="thin">
        <color rgb="FFB7C3D9"/>
      </left>
      <right/>
      <top/>
      <bottom/>
      <diagonal/>
    </border>
    <border>
      <left/>
      <right style="thin">
        <color rgb="FFB7C3D9"/>
      </right>
      <top/>
      <bottom/>
      <diagonal/>
    </border>
    <border>
      <left style="thin">
        <color rgb="FFB7C3D9"/>
      </left>
      <right/>
      <top/>
      <bottom style="thin">
        <color rgb="FFB7C3D9"/>
      </bottom>
      <diagonal/>
    </border>
    <border>
      <left/>
      <right style="thin">
        <color rgb="FFB7C3D9"/>
      </right>
      <top/>
      <bottom style="thin">
        <color rgb="FFB7C3D9"/>
      </bottom>
      <diagonal/>
    </border>
    <border>
      <left style="thin">
        <color rgb="FFB7C3D9"/>
      </left>
      <right style="thin">
        <color rgb="FFB7C3D9"/>
      </right>
      <top style="thin">
        <color rgb="FFB7C3D9"/>
      </top>
      <bottom style="thin">
        <color rgb="FFB7C3D9"/>
      </bottom>
      <diagonal/>
    </border>
    <border>
      <left style="thin">
        <color rgb="FFB7C3D9"/>
      </left>
      <right/>
      <top style="thin">
        <color rgb="FFB7C3D9"/>
      </top>
      <bottom style="thin">
        <color rgb="FFB7C3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3D9"/>
      </left>
      <right style="thin">
        <color rgb="FFB7C3D9"/>
      </right>
      <top style="thin">
        <color rgb="FFB7C3D9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11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7" fillId="5" borderId="18" xfId="0" applyFont="1" applyFill="1" applyBorder="1" applyAlignment="1">
      <alignment horizontal="center" vertical="center" wrapText="1"/>
    </xf>
    <xf numFmtId="1" fontId="11" fillId="0" borderId="18" xfId="0" applyNumberFormat="1" applyFont="1" applyBorder="1" applyAlignment="1">
      <alignment vertical="center"/>
    </xf>
    <xf numFmtId="0" fontId="0" fillId="0" borderId="0" xfId="0"/>
    <xf numFmtId="0" fontId="11" fillId="6" borderId="18" xfId="0" applyFont="1" applyFill="1" applyBorder="1" applyAlignment="1">
      <alignment vertical="center"/>
    </xf>
    <xf numFmtId="0" fontId="11" fillId="6" borderId="18" xfId="0" applyFont="1" applyFill="1" applyBorder="1" applyAlignment="1">
      <alignment vertical="center" wrapText="1"/>
    </xf>
    <xf numFmtId="1" fontId="11" fillId="6" borderId="18" xfId="0" applyNumberFormat="1" applyFont="1" applyFill="1" applyBorder="1" applyAlignment="1">
      <alignment vertical="center"/>
    </xf>
    <xf numFmtId="0" fontId="17" fillId="7" borderId="18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vertical="center"/>
    </xf>
    <xf numFmtId="0" fontId="11" fillId="8" borderId="18" xfId="0" applyFont="1" applyFill="1" applyBorder="1" applyAlignment="1">
      <alignment vertical="center" wrapText="1"/>
    </xf>
    <xf numFmtId="1" fontId="11" fillId="8" borderId="18" xfId="0" applyNumberFormat="1" applyFont="1" applyFill="1" applyBorder="1" applyAlignment="1">
      <alignment vertical="center"/>
    </xf>
    <xf numFmtId="0" fontId="17" fillId="9" borderId="18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vertical="center"/>
    </xf>
    <xf numFmtId="0" fontId="11" fillId="10" borderId="18" xfId="0" applyFont="1" applyFill="1" applyBorder="1" applyAlignment="1">
      <alignment vertical="center" wrapText="1"/>
    </xf>
    <xf numFmtId="1" fontId="11" fillId="10" borderId="18" xfId="0" applyNumberFormat="1" applyFont="1" applyFill="1" applyBorder="1" applyAlignment="1">
      <alignment vertical="center"/>
    </xf>
    <xf numFmtId="0" fontId="17" fillId="11" borderId="18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vertical="center"/>
    </xf>
    <xf numFmtId="0" fontId="11" fillId="12" borderId="18" xfId="0" applyFont="1" applyFill="1" applyBorder="1" applyAlignment="1">
      <alignment vertical="center" wrapText="1"/>
    </xf>
    <xf numFmtId="1" fontId="11" fillId="12" borderId="18" xfId="0" applyNumberFormat="1" applyFont="1" applyFill="1" applyBorder="1" applyAlignment="1">
      <alignment vertical="center"/>
    </xf>
    <xf numFmtId="0" fontId="17" fillId="13" borderId="18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vertical="center"/>
    </xf>
    <xf numFmtId="0" fontId="11" fillId="14" borderId="18" xfId="0" applyFont="1" applyFill="1" applyBorder="1" applyAlignment="1">
      <alignment vertical="center" wrapText="1"/>
    </xf>
    <xf numFmtId="1" fontId="11" fillId="14" borderId="18" xfId="0" applyNumberFormat="1" applyFont="1" applyFill="1" applyBorder="1" applyAlignment="1">
      <alignment vertical="center"/>
    </xf>
    <xf numFmtId="0" fontId="17" fillId="15" borderId="18" xfId="0" applyFont="1" applyFill="1" applyBorder="1" applyAlignment="1">
      <alignment horizontal="center" vertical="center" wrapText="1"/>
    </xf>
    <xf numFmtId="0" fontId="11" fillId="16" borderId="18" xfId="0" applyFont="1" applyFill="1" applyBorder="1" applyAlignment="1">
      <alignment vertical="center"/>
    </xf>
    <xf numFmtId="0" fontId="11" fillId="16" borderId="18" xfId="0" applyFont="1" applyFill="1" applyBorder="1" applyAlignment="1">
      <alignment vertical="center" wrapText="1"/>
    </xf>
    <xf numFmtId="1" fontId="11" fillId="16" borderId="18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29" fillId="18" borderId="18" xfId="0" applyFont="1" applyFill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37" fillId="4" borderId="12" xfId="0" applyFont="1" applyFill="1" applyBorder="1"/>
    <xf numFmtId="0" fontId="10" fillId="3" borderId="21" xfId="0" applyFont="1" applyFill="1" applyBorder="1" applyAlignment="1">
      <alignment horizontal="center" vertical="center" wrapText="1"/>
    </xf>
    <xf numFmtId="0" fontId="0" fillId="0" borderId="20" xfId="0" applyBorder="1"/>
    <xf numFmtId="14" fontId="0" fillId="0" borderId="20" xfId="0" applyNumberFormat="1" applyBorder="1"/>
    <xf numFmtId="1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1" fillId="3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2" fillId="2" borderId="0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 indent="1"/>
    </xf>
    <xf numFmtId="0" fontId="33" fillId="4" borderId="13" xfId="0" applyFont="1" applyFill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42" fillId="4" borderId="13" xfId="0" applyNumberFormat="1" applyFont="1" applyFill="1" applyBorder="1" applyAlignment="1">
      <alignment horizontal="center" vertical="center"/>
    </xf>
    <xf numFmtId="0" fontId="35" fillId="4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5" fillId="4" borderId="13" xfId="0" applyFont="1" applyFill="1" applyBorder="1" applyAlignment="1">
      <alignment horizontal="center" vertical="center"/>
    </xf>
    <xf numFmtId="0" fontId="41" fillId="4" borderId="13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15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center"/>
    </xf>
    <xf numFmtId="164" fontId="43" fillId="4" borderId="13" xfId="0" applyNumberFormat="1" applyFont="1" applyFill="1" applyBorder="1" applyAlignment="1">
      <alignment horizontal="left" vertical="center"/>
    </xf>
    <xf numFmtId="0" fontId="44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4" fillId="5" borderId="0" xfId="0" applyFont="1" applyFill="1" applyBorder="1"/>
    <xf numFmtId="0" fontId="15" fillId="0" borderId="0" xfId="0" applyFont="1" applyBorder="1"/>
    <xf numFmtId="0" fontId="2" fillId="0" borderId="0" xfId="0" applyFont="1" applyBorder="1"/>
    <xf numFmtId="0" fontId="16" fillId="0" borderId="0" xfId="0" applyFont="1" applyBorder="1"/>
    <xf numFmtId="0" fontId="14" fillId="7" borderId="0" xfId="0" applyFont="1" applyFill="1" applyBorder="1"/>
    <xf numFmtId="0" fontId="18" fillId="0" borderId="0" xfId="0" applyFont="1" applyBorder="1"/>
    <xf numFmtId="0" fontId="19" fillId="0" borderId="0" xfId="0" applyFont="1" applyBorder="1"/>
    <xf numFmtId="0" fontId="14" fillId="9" borderId="0" xfId="0" applyFont="1" applyFill="1" applyBorder="1"/>
    <xf numFmtId="0" fontId="20" fillId="0" borderId="0" xfId="0" applyFont="1" applyBorder="1"/>
    <xf numFmtId="0" fontId="21" fillId="0" borderId="0" xfId="0" applyFont="1" applyBorder="1"/>
    <xf numFmtId="0" fontId="14" fillId="11" borderId="0" xfId="0" applyFont="1" applyFill="1" applyBorder="1"/>
    <xf numFmtId="0" fontId="22" fillId="0" borderId="0" xfId="0" applyFont="1" applyBorder="1"/>
    <xf numFmtId="0" fontId="23" fillId="0" borderId="0" xfId="0" applyFont="1" applyBorder="1"/>
    <xf numFmtId="0" fontId="14" fillId="13" borderId="0" xfId="0" applyFont="1" applyFill="1" applyBorder="1"/>
    <xf numFmtId="0" fontId="24" fillId="0" borderId="0" xfId="0" applyFont="1" applyBorder="1"/>
    <xf numFmtId="0" fontId="25" fillId="0" borderId="0" xfId="0" applyFont="1" applyBorder="1"/>
    <xf numFmtId="0" fontId="14" fillId="15" borderId="0" xfId="0" applyFont="1" applyFill="1" applyBorder="1"/>
    <xf numFmtId="0" fontId="26" fillId="0" borderId="0" xfId="0" applyFont="1" applyBorder="1"/>
    <xf numFmtId="0" fontId="27" fillId="0" borderId="0" xfId="0" applyFont="1" applyBorder="1"/>
    <xf numFmtId="0" fontId="14" fillId="17" borderId="0" xfId="0" applyFont="1" applyFill="1" applyBorder="1"/>
    <xf numFmtId="0" fontId="28" fillId="2" borderId="0" xfId="0" applyFont="1" applyFill="1" applyBorder="1"/>
    <xf numFmtId="0" fontId="2" fillId="2" borderId="0" xfId="0" applyFont="1" applyFill="1" applyBorder="1"/>
    <xf numFmtId="0" fontId="30" fillId="18" borderId="19" xfId="0" applyFont="1" applyFill="1" applyBorder="1" applyAlignment="1">
      <alignment vertical="center" wrapText="1"/>
    </xf>
    <xf numFmtId="0" fontId="30" fillId="4" borderId="19" xfId="0" applyFont="1" applyFill="1" applyBorder="1" applyAlignment="1">
      <alignment vertical="center" wrapText="1"/>
    </xf>
    <xf numFmtId="14" fontId="30" fillId="4" borderId="19" xfId="0" applyNumberFormat="1" applyFont="1" applyFill="1" applyBorder="1" applyAlignment="1">
      <alignment vertical="center" wrapText="1"/>
    </xf>
    <xf numFmtId="165" fontId="30" fillId="4" borderId="19" xfId="0" applyNumberFormat="1" applyFont="1" applyFill="1" applyBorder="1" applyAlignment="1">
      <alignment vertical="center" wrapText="1"/>
    </xf>
    <xf numFmtId="1" fontId="30" fillId="18" borderId="19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17"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2E7D32"/>
      <rgbColor rgb="FF000080"/>
      <rgbColor rgb="FF808000"/>
      <rgbColor rgb="FF800080"/>
      <rgbColor rgb="FF2E86AB"/>
      <rgbColor rgb="FFB7C3D9"/>
      <rgbColor rgb="FF878787"/>
      <rgbColor rgb="FFEAF0FA"/>
      <rgbColor rgb="FF6A4C93"/>
      <rgbColor rgb="FFFFF9C4"/>
      <rgbColor rgb="FFD9F2ED"/>
      <rgbColor rgb="FF660066"/>
      <rgbColor rgb="FFFF8080"/>
      <rgbColor rgb="FF0066CC"/>
      <rgbColor rgb="FFD9D9D9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EDE7F6"/>
      <rgbColor rgb="FFFFCDD2"/>
      <rgbColor rgb="FFFBE4D5"/>
      <rgbColor rgb="FFFFE0B2"/>
      <rgbColor rgb="FF4F81BD"/>
      <rgbColor rgb="FF33CCCC"/>
      <rgbColor rgb="FF99CC00"/>
      <rgbColor rgb="FFF2F5FA"/>
      <rgbColor rgb="FFFF9900"/>
      <rgbColor rgb="FFE67E22"/>
      <rgbColor rgb="FF757575"/>
      <rgbColor rgb="FF969696"/>
      <rgbColor rgb="FF1F3864"/>
      <rgbColor rgb="FF1B998B"/>
      <rgbColor rgb="FF003300"/>
      <rgbColor rgb="FF333300"/>
      <rgbColor rgb="FFC62828"/>
      <rgbColor rgb="FFD35400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Гражданство сотрудников</a:t>
            </a:r>
          </a:p>
        </c:rich>
      </c:tx>
      <c:layout>
        <c:manualLayout>
          <c:xMode val="edge"/>
          <c:yMode val="edge"/>
          <c:x val="0.58632755651306301"/>
          <c:y val="2.6246708311443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Расчёты!$B$2</c:f>
              <c:strCache>
                <c:ptCount val="1"/>
                <c:pt idx="0">
                  <c:v>Кол-во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EA-4B48-A0F0-1537A275D4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EA-4B48-A0F0-1537A275D4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EA-4B48-A0F0-1537A275D45C}"/>
              </c:ext>
            </c:extLst>
          </c:dPt>
          <c:dLbls>
            <c:dLbl>
              <c:idx val="0"/>
              <c:layout>
                <c:manualLayout>
                  <c:x val="-8.0083633613594912E-2"/>
                  <c:y val="-0.132535292297310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EA-4B48-A0F0-1537A275D45C}"/>
                </c:ext>
              </c:extLst>
            </c:dLbl>
            <c:dLbl>
              <c:idx val="1"/>
              <c:layout>
                <c:manualLayout>
                  <c:x val="-8.3165367040984289E-2"/>
                  <c:y val="1.488043694362661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EA-4B48-A0F0-1537A275D45C}"/>
                </c:ext>
              </c:extLst>
            </c:dLbl>
            <c:dLbl>
              <c:idx val="2"/>
              <c:layout>
                <c:manualLayout>
                  <c:x val="0.27944367123601083"/>
                  <c:y val="0.1154344698226921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977401129943504"/>
                      <c:h val="0.218827280539285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AEA-4B48-A0F0-1537A275D45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Расчёты!$A$3:$A$5</c:f>
              <c:strCache>
                <c:ptCount val="3"/>
                <c:pt idx="0">
                  <c:v>УЗБЕКИСТАН</c:v>
                </c:pt>
                <c:pt idx="1">
                  <c:v>ТАДЖИКИСТАН</c:v>
                </c:pt>
                <c:pt idx="2">
                  <c:v>АЗЕРБАЙДЖАН</c:v>
                </c:pt>
              </c:strCache>
            </c:strRef>
          </c:cat>
          <c:val>
            <c:numRef>
              <c:f>Расчёты!$B$3:$B$5</c:f>
              <c:numCache>
                <c:formatCode>General</c:formatCode>
                <c:ptCount val="3"/>
                <c:pt idx="0">
                  <c:v>725</c:v>
                </c:pt>
                <c:pt idx="1">
                  <c:v>27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EA-4B48-A0F0-1537A275D4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57050707644596"/>
          <c:y val="0.42091295363942355"/>
          <c:w val="0.27414539284284378"/>
          <c:h val="0.4764801979171120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Статус обучения и экзаменов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Расчёты!$B$13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1.3383647798742139E-2"/>
                  <c:y val="-9.28961748633879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7-41DC-8A66-C03D7CF13F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Расчёты!$C$14:$C$27</c:f>
              <c:strCache>
                <c:ptCount val="14"/>
                <c:pt idx="0">
                  <c:v>Обучение завершено, экзамен сдан</c:v>
                </c:pt>
                <c:pt idx="1">
                  <c:v>2 раза не сдал экзамен</c:v>
                </c:pt>
                <c:pt idx="2">
                  <c:v>Продолжает обучение</c:v>
                </c:pt>
                <c:pt idx="3">
                  <c:v>Есть сертификат (на руках)</c:v>
                </c:pt>
                <c:pt idx="4">
                  <c:v>Сдал экзамен в Ташкенте</c:v>
                </c:pt>
                <c:pt idx="5">
                  <c:v>Готов к экзамену</c:v>
                </c:pt>
                <c:pt idx="6">
                  <c:v>Подал заявку на патент</c:v>
                </c:pt>
                <c:pt idx="7">
                  <c:v>Будет направлен на обучение</c:v>
                </c:pt>
                <c:pt idx="8">
                  <c:v>Сообщил об увольнении</c:v>
                </c:pt>
                <c:pt idx="9">
                  <c:v>Есть сертификат (на руках, доп.)</c:v>
                </c:pt>
                <c:pt idx="10">
                  <c:v>Сертификат сдан без направления</c:v>
                </c:pt>
                <c:pt idx="11">
                  <c:v>Требуется лечение</c:v>
                </c:pt>
                <c:pt idx="12">
                  <c:v>Уволен</c:v>
                </c:pt>
                <c:pt idx="13">
                  <c:v>Сертификат в архиве</c:v>
                </c:pt>
              </c:strCache>
            </c:strRef>
          </c:cat>
          <c:val>
            <c:numRef>
              <c:f>Расчёты!$B$14:$B$27</c:f>
              <c:numCache>
                <c:formatCode>General</c:formatCode>
                <c:ptCount val="14"/>
                <c:pt idx="0">
                  <c:v>583</c:v>
                </c:pt>
                <c:pt idx="1">
                  <c:v>48</c:v>
                </c:pt>
                <c:pt idx="2">
                  <c:v>31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17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7-41DC-8A66-C03D7CF13F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439475"/>
        <c:axId val="35506654"/>
      </c:barChart>
      <c:catAx>
        <c:axId val="904394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6654"/>
        <c:crosses val="autoZero"/>
        <c:auto val="1"/>
        <c:lblAlgn val="ctr"/>
        <c:lblOffset val="100"/>
        <c:noMultiLvlLbl val="0"/>
      </c:catAx>
      <c:valAx>
        <c:axId val="3550665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94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Тип документа (патент)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477707006369428E-2"/>
          <c:y val="0.2586500105208368"/>
          <c:w val="0.93772116065109701"/>
          <c:h val="0.63334285745927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Расчёты!$E$2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2.8308563340410475E-3"/>
                  <c:y val="-1.73273599420762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9-41CE-BE3A-638E4C1AEC6F}"/>
                </c:ext>
              </c:extLst>
            </c:dLbl>
            <c:dLbl>
              <c:idx val="1"/>
              <c:layout>
                <c:manualLayout>
                  <c:x val="2.8308563340409434E-3"/>
                  <c:y val="-2.96845868404381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E9-41CE-BE3A-638E4C1AE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Расчёты!$D$3:$D$4</c:f>
              <c:strCache>
                <c:ptCount val="2"/>
                <c:pt idx="0">
                  <c:v>Новый Патент</c:v>
                </c:pt>
                <c:pt idx="1">
                  <c:v>Переоформленный Патент</c:v>
                </c:pt>
              </c:strCache>
            </c:strRef>
          </c:cat>
          <c:val>
            <c:numRef>
              <c:f>Расчёты!$E$3:$E$4</c:f>
              <c:numCache>
                <c:formatCode>General</c:formatCode>
                <c:ptCount val="2"/>
                <c:pt idx="0">
                  <c:v>683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9-41CE-BE3A-638E4C1AEC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941673"/>
        <c:axId val="87678983"/>
      </c:barChart>
      <c:catAx>
        <c:axId val="909416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8983"/>
        <c:crosses val="autoZero"/>
        <c:auto val="1"/>
        <c:lblAlgn val="ctr"/>
        <c:lblOffset val="100"/>
        <c:noMultiLvlLbl val="0"/>
      </c:catAx>
      <c:valAx>
        <c:axId val="876789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9416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 объектам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Расчёты!$H$2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5.5210489993097675E-3"/>
                  <c:y val="-0.200286123032904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33-4321-90CB-96862A704C8B}"/>
                </c:ext>
              </c:extLst>
            </c:dLbl>
            <c:dLbl>
              <c:idx val="1"/>
              <c:layout>
                <c:manualLayout>
                  <c:x val="4.96894409937888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33-4321-90CB-96862A704C8B}"/>
                </c:ext>
              </c:extLst>
            </c:dLbl>
            <c:dLbl>
              <c:idx val="2"/>
              <c:layout>
                <c:manualLayout>
                  <c:x val="5.5210489993098688E-2"/>
                  <c:y val="5.245528339785061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33-4321-90CB-96862A704C8B}"/>
                </c:ext>
              </c:extLst>
            </c:dLbl>
            <c:dLbl>
              <c:idx val="3"/>
              <c:layout>
                <c:manualLayout>
                  <c:x val="4.1407867494824065E-2"/>
                  <c:y val="1.144492131616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33-4321-90CB-96862A704C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Расчёты!$G$3:$G$6</c:f>
              <c:strCache>
                <c:ptCount val="4"/>
                <c:pt idx="0">
                  <c:v>GPP Proje</c:v>
                </c:pt>
                <c:pt idx="1">
                  <c:v>GPP Proje (TSF)</c:v>
                </c:pt>
                <c:pt idx="2">
                  <c:v>Ust Luga Ana Kamp 1</c:v>
                </c:pt>
                <c:pt idx="3">
                  <c:v>Ust Luga Fabrika - GPC</c:v>
                </c:pt>
              </c:strCache>
            </c:strRef>
          </c:cat>
          <c:val>
            <c:numRef>
              <c:f>Расчёты!$H$3:$H$6</c:f>
              <c:numCache>
                <c:formatCode>General</c:formatCode>
                <c:ptCount val="4"/>
                <c:pt idx="0">
                  <c:v>759</c:v>
                </c:pt>
                <c:pt idx="1">
                  <c:v>12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3-4321-90CB-96862A704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7773048"/>
        <c:axId val="30146408"/>
        <c:axId val="0"/>
      </c:bar3DChart>
      <c:catAx>
        <c:axId val="27773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6408"/>
        <c:crosses val="autoZero"/>
        <c:auto val="1"/>
        <c:lblAlgn val="ctr"/>
        <c:lblOffset val="100"/>
        <c:noMultiLvlLbl val="0"/>
      </c:catAx>
      <c:valAx>
        <c:axId val="3014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133349</xdr:rowOff>
    </xdr:from>
    <xdr:to>
      <xdr:col>7</xdr:col>
      <xdr:colOff>104775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142875</xdr:colOff>
      <xdr:row>11</xdr:row>
      <xdr:rowOff>133350</xdr:rowOff>
    </xdr:from>
    <xdr:to>
      <xdr:col>14</xdr:col>
      <xdr:colOff>600076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152400</xdr:colOff>
      <xdr:row>24</xdr:row>
      <xdr:rowOff>76200</xdr:rowOff>
    </xdr:from>
    <xdr:to>
      <xdr:col>7</xdr:col>
      <xdr:colOff>609600</xdr:colOff>
      <xdr:row>35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638176</xdr:colOff>
      <xdr:row>24</xdr:row>
      <xdr:rowOff>85726</xdr:rowOff>
    </xdr:from>
    <xdr:to>
      <xdr:col>14</xdr:col>
      <xdr:colOff>628651</xdr:colOff>
      <xdr:row>35</xdr:row>
      <xdr:rowOff>161926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nel" displayName="Personnel" ref="A1:N777" totalsRowShown="0">
  <autoFilter ref="A1:N777" xr:uid="{00000000-000C-0000-FFFF-FFFF00000000}"/>
  <tableColumns count="14">
    <tableColumn id="1" xr3:uid="{00000000-0010-0000-0000-000001000000}" name="№" dataDxfId="13"/>
    <tableColumn id="2" xr3:uid="{00000000-0010-0000-0000-000002000000}" name="Sicil" dataDxfId="12"/>
    <tableColumn id="3" xr3:uid="{00000000-0010-0000-0000-000003000000}" name="Adi Soyadi" dataDxfId="11"/>
    <tableColumn id="4" xr3:uid="{00000000-0010-0000-0000-000004000000}" name="Vatandaslik" dataDxfId="10"/>
    <tableColumn id="5" xr3:uid="{00000000-0010-0000-0000-000005000000}" name="Santiye" dataDxfId="9"/>
    <tableColumn id="6" xr3:uid="{00000000-0010-0000-0000-000006000000}" name="№ Паспорта" dataDxfId="8"/>
    <tableColumn id="7" xr3:uid="{00000000-0010-0000-0000-000007000000}" name="Документ" dataDxfId="7"/>
    <tableColumn id="8" xr3:uid="{00000000-0010-0000-0000-000008000000}" name="Kamp girisi" dataDxfId="6"/>
    <tableColumn id="10" xr3:uid="{00000000-0010-0000-0000-00000A000000}" name="MK" dataDxfId="5"/>
    <tableColumn id="11" xr3:uid="{00000000-0010-0000-0000-00000B000000}" name="Ogretmen" dataDxfId="4"/>
    <tableColumn id="12" xr3:uid="{00000000-0010-0000-0000-00000C000000}" name="Sinav " dataDxfId="3"/>
    <tableColumn id="13" xr3:uid="{00000000-0010-0000-0000-00000D000000}" name="Egtim durumu" dataDxfId="2"/>
    <tableColumn id="14" xr3:uid="{00000000-0010-0000-0000-00000E000000}" name="Shohruh Not" dataDxfId="1"/>
    <tableColumn id="15" xr3:uid="{00000000-0010-0000-0000-00000F000000}" name="Дней в РФ" dataDxfId="0">
      <calculatedColumnFormula>IFERROR(TODAY()-I2,"-")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1F3864"/>
    <pageSetUpPr fitToPage="1"/>
  </sheetPr>
  <dimension ref="A1:R63"/>
  <sheetViews>
    <sheetView showGridLines="0" zoomScaleNormal="100" workbookViewId="0">
      <selection activeCell="P7" sqref="P7:P8"/>
    </sheetView>
  </sheetViews>
  <sheetFormatPr defaultColWidth="8.7109375" defaultRowHeight="15" x14ac:dyDescent="0.25"/>
  <cols>
    <col min="1" max="1" width="3" customWidth="1"/>
    <col min="2" max="7" width="9.5703125" customWidth="1"/>
    <col min="8" max="9" width="11" customWidth="1"/>
    <col min="10" max="15" width="9.5703125" customWidth="1"/>
    <col min="16" max="16" width="61.7109375" customWidth="1"/>
    <col min="17" max="19" width="8.710937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ht="25.5" customHeight="1" x14ac:dyDescent="0.25">
      <c r="A2" s="1"/>
      <c r="B2" s="57" t="s">
        <v>1829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8" ht="12" customHeight="1" x14ac:dyDescent="0.25">
      <c r="A3" s="1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8" ht="19.5" customHeight="1" x14ac:dyDescent="0.25">
      <c r="A4" s="1"/>
      <c r="B4" s="58"/>
      <c r="C4" s="58"/>
      <c r="D4" s="58"/>
      <c r="E4" s="58"/>
      <c r="F4" s="58"/>
      <c r="G4" s="58"/>
      <c r="H4" s="58"/>
      <c r="I4" s="58"/>
      <c r="J4" s="58"/>
      <c r="K4" s="59" t="s">
        <v>0</v>
      </c>
      <c r="L4" s="59"/>
      <c r="M4" s="59"/>
      <c r="N4" s="59"/>
      <c r="O4" s="1"/>
      <c r="P4" s="1"/>
      <c r="Q4" s="23"/>
      <c r="R4" s="23"/>
    </row>
    <row r="5" spans="1:18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3"/>
      <c r="R5" s="23"/>
    </row>
    <row r="6" spans="1:18" ht="3.75" customHeight="1" x14ac:dyDescent="0.25">
      <c r="A6" s="1"/>
      <c r="B6" s="2"/>
      <c r="C6" s="3"/>
      <c r="D6" s="4"/>
      <c r="E6" s="5"/>
      <c r="F6" s="6"/>
      <c r="G6" s="7"/>
      <c r="H6" s="8"/>
      <c r="I6" s="9"/>
      <c r="J6" s="10"/>
      <c r="K6" s="11"/>
      <c r="L6" s="12"/>
      <c r="M6" s="50"/>
      <c r="N6" s="1"/>
      <c r="O6" s="1"/>
      <c r="P6" s="1"/>
      <c r="Q6" s="23"/>
      <c r="R6" s="23"/>
    </row>
    <row r="7" spans="1:18" ht="15" customHeight="1" x14ac:dyDescent="0.25">
      <c r="A7" s="1"/>
      <c r="B7" s="60" t="s">
        <v>1</v>
      </c>
      <c r="C7" s="60"/>
      <c r="D7" s="60" t="s">
        <v>2</v>
      </c>
      <c r="E7" s="60"/>
      <c r="F7" s="60" t="s">
        <v>3</v>
      </c>
      <c r="G7" s="60"/>
      <c r="H7" s="60" t="s">
        <v>4</v>
      </c>
      <c r="I7" s="60"/>
      <c r="J7" s="60" t="s">
        <v>5</v>
      </c>
      <c r="K7" s="60"/>
      <c r="L7" s="60" t="s">
        <v>6</v>
      </c>
      <c r="M7" s="60"/>
      <c r="N7" s="1"/>
      <c r="O7" s="1"/>
      <c r="P7" s="76" t="s">
        <v>10</v>
      </c>
      <c r="Q7" s="23"/>
      <c r="R7" s="23"/>
    </row>
    <row r="8" spans="1:18" ht="15" customHeight="1" x14ac:dyDescent="0.25">
      <c r="A8" s="1"/>
      <c r="B8" s="69">
        <f>COUNTA(Personnel[Sicil])</f>
        <v>776</v>
      </c>
      <c r="C8" s="69"/>
      <c r="D8" s="70">
        <f>COUNTIF(Personnel[Egtim durumu],"Dil egitimi tamamlandi sinavdan gecti")</f>
        <v>583</v>
      </c>
      <c r="E8" s="70"/>
      <c r="F8" s="71">
        <f>COUNTIF(Personnel[Egtim durumu],"2 kere sinavden gecemedi")</f>
        <v>48</v>
      </c>
      <c r="G8" s="71"/>
      <c r="H8" s="72">
        <f>COUNTIF(Personnel[Egtim durumu],"sinavi hazir")</f>
        <v>23</v>
      </c>
      <c r="I8" s="73"/>
      <c r="J8" s="62">
        <f>COUNTIF(Personnel[Egtim durumu],"Egitime  devem eden")</f>
        <v>31</v>
      </c>
      <c r="K8" s="62"/>
      <c r="L8" s="63">
        <f>COUNTIF(Personnel[Egtim durumu],"Egitime alinacak")</f>
        <v>2</v>
      </c>
      <c r="M8" s="63"/>
      <c r="N8" s="1"/>
      <c r="O8" s="1"/>
      <c r="P8" s="76"/>
      <c r="Q8" s="23"/>
      <c r="R8" s="23"/>
    </row>
    <row r="9" spans="1:18" ht="15" customHeight="1" x14ac:dyDescent="0.25">
      <c r="A9" s="1"/>
      <c r="B9" s="13"/>
      <c r="C9" s="14"/>
      <c r="D9" s="64"/>
      <c r="E9" s="64"/>
      <c r="F9" s="65"/>
      <c r="G9" s="65"/>
      <c r="H9" s="66"/>
      <c r="I9" s="66"/>
      <c r="J9" s="67"/>
      <c r="K9" s="67"/>
      <c r="L9" s="68"/>
      <c r="M9" s="68"/>
      <c r="N9" s="1"/>
      <c r="O9" s="1"/>
      <c r="P9" s="1"/>
      <c r="Q9" s="23"/>
      <c r="R9" s="23"/>
    </row>
    <row r="10" spans="1:18" ht="15" customHeight="1" x14ac:dyDescent="0.25">
      <c r="A10" s="1"/>
      <c r="B10" s="81" t="s">
        <v>1833</v>
      </c>
      <c r="C10" s="82"/>
      <c r="D10" s="80" t="s">
        <v>1830</v>
      </c>
      <c r="E10" s="80"/>
      <c r="F10" s="79" t="s">
        <v>66</v>
      </c>
      <c r="G10" s="79"/>
      <c r="H10" s="75" t="s">
        <v>7</v>
      </c>
      <c r="I10" s="75"/>
      <c r="J10" s="74" t="s">
        <v>8</v>
      </c>
      <c r="K10" s="74"/>
      <c r="L10" s="68" t="s">
        <v>9</v>
      </c>
      <c r="M10" s="68"/>
      <c r="N10" s="1"/>
      <c r="O10" s="1"/>
      <c r="P10" s="1"/>
      <c r="Q10" s="23"/>
      <c r="R10" s="23"/>
    </row>
    <row r="11" spans="1:18" ht="15" customHeight="1" x14ac:dyDescent="0.25">
      <c r="A11" s="1"/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"/>
      <c r="O11" s="1"/>
      <c r="P11" s="1"/>
      <c r="Q11" s="23"/>
      <c r="R11" s="23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8" x14ac:dyDescent="0.25">
      <c r="A13" s="1"/>
      <c r="B13" s="77"/>
      <c r="C13" s="77"/>
      <c r="D13" s="77"/>
      <c r="E13" s="77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8" ht="19.5" customHeight="1" x14ac:dyDescent="0.25">
      <c r="A15" s="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9.5" customHeight="1" x14ac:dyDescent="0.25">
      <c r="A33" s="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</sheetData>
  <mergeCells count="33">
    <mergeCell ref="B13:E13"/>
    <mergeCell ref="F13:O13"/>
    <mergeCell ref="B15:G15"/>
    <mergeCell ref="H15:P15"/>
    <mergeCell ref="F10:G10"/>
    <mergeCell ref="D10:E10"/>
    <mergeCell ref="B10:C10"/>
    <mergeCell ref="B33:G33"/>
    <mergeCell ref="H33:P33"/>
    <mergeCell ref="J8:K8"/>
    <mergeCell ref="L8:M8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L10:M10"/>
    <mergeCell ref="J10:K10"/>
    <mergeCell ref="H10:I10"/>
    <mergeCell ref="B2:P3"/>
    <mergeCell ref="B4:J4"/>
    <mergeCell ref="K4:N4"/>
    <mergeCell ref="B7:C7"/>
    <mergeCell ref="D7:E7"/>
    <mergeCell ref="F7:G7"/>
    <mergeCell ref="H7:I7"/>
    <mergeCell ref="J7:K7"/>
    <mergeCell ref="L7:M7"/>
    <mergeCell ref="P7:P8"/>
  </mergeCells>
  <hyperlinks>
    <hyperlink ref="B8" location="'Данные'!A1" display="'Данные'!A1" xr:uid="{00000000-0004-0000-0000-000000000000}"/>
    <hyperlink ref="D8" location="'Детали — экзамен сдан'!A1" display="'Детали — экзамен сдан'!A1" xr:uid="{00000000-0004-0000-0000-000001000000}"/>
    <hyperlink ref="F8" location="'Детали — не сдали'!A1" display="'Детали — не сдали'!A1" xr:uid="{00000000-0004-0000-0000-000002000000}"/>
    <hyperlink ref="H8" location="'Детали — готовы к экзамену'!A1" display="'Детали — готовы к экзамену'!A1" xr:uid="{00000000-0004-0000-0000-000004000000}"/>
    <hyperlink ref="J8" location="'Детали — обучение'!A1" display="'Детали — обучение'!A1" xr:uid="{00000000-0004-0000-0000-000005000000}"/>
    <hyperlink ref="L8" location="'Детали — к обучению'!A1" display="'Детали — к обучению'!A1" xr:uid="{00000000-0004-0000-0000-000006000000}"/>
    <hyperlink ref="P7" location="'Поиск'!B6" display="'Поиск'!B6" xr:uid="{E9706930-276F-4AFA-BDD1-EE0FE337BC4C}"/>
    <hyperlink ref="L8:M8" location="'K обучению'!A1" display="'K обучению'!A1" xr:uid="{FF51ABC0-24D5-4573-BB33-A28E6439A542}"/>
    <hyperlink ref="J8:K8" location="Обучение!A1" display="Обучение!A1" xr:uid="{6355D2E0-4C9F-4035-8FA4-4A4BCEA5C9B2}"/>
    <hyperlink ref="H8:I8" location="'Готовы к экзамену'!A1" display="'Готовы к экзамену'!A1" xr:uid="{D271BFC3-801C-49A6-9BC6-E13A804C59F8}"/>
    <hyperlink ref="F8:G8" location="'Не сдали'!A1" display="'Не сдали'!A1" xr:uid="{F2ECE888-4E38-49AB-BBAD-5B1B339C7D40}"/>
    <hyperlink ref="D8:E8" location="'Экзамен сдан'!A1" display="'Экзамен сдан'!A1" xr:uid="{C0438A2B-B55D-4540-93BA-2EC66B1BB58B}"/>
  </hyperlinks>
  <pageMargins left="0.3" right="0.3" top="0.4" bottom="0.4" header="0.511811023622047" footer="0.511811023622047"/>
  <pageSetup fitToHeight="2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2E5395"/>
    <pageSetUpPr fitToPage="1"/>
  </sheetPr>
  <dimension ref="A1:N777"/>
  <sheetViews>
    <sheetView showGridLines="0" zoomScaleNormal="100" workbookViewId="0">
      <pane xSplit="2" ySplit="1" topLeftCell="C2" activePane="bottomRight" state="frozen"/>
      <selection activeCell="F30" sqref="F30"/>
      <selection pane="topRight" activeCell="F30" sqref="F30"/>
      <selection pane="bottomLeft" activeCell="F30" sqref="F30"/>
      <selection pane="bottomRight"/>
    </sheetView>
  </sheetViews>
  <sheetFormatPr defaultColWidth="8.7109375" defaultRowHeight="15" x14ac:dyDescent="0.25"/>
  <cols>
    <col min="1" max="1" width="7.85546875" bestFit="1" customWidth="1"/>
    <col min="2" max="2" width="9.140625" bestFit="1" customWidth="1"/>
    <col min="3" max="3" width="46.5703125" bestFit="1" customWidth="1"/>
    <col min="4" max="4" width="15.85546875" bestFit="1" customWidth="1"/>
    <col min="5" max="5" width="20.5703125" bestFit="1" customWidth="1"/>
    <col min="6" max="6" width="16.7109375" bestFit="1" customWidth="1"/>
    <col min="7" max="7" width="26.28515625" bestFit="1" customWidth="1"/>
    <col min="8" max="8" width="20.42578125" bestFit="1" customWidth="1"/>
    <col min="9" max="9" width="10.140625" bestFit="1" customWidth="1"/>
    <col min="10" max="10" width="40.85546875" bestFit="1" customWidth="1"/>
    <col min="11" max="11" width="108.85546875" bestFit="1" customWidth="1"/>
    <col min="12" max="12" width="77.5703125" bestFit="1" customWidth="1"/>
    <col min="13" max="13" width="93.140625" bestFit="1" customWidth="1"/>
    <col min="14" max="14" width="15" bestFit="1" customWidth="1"/>
    <col min="15" max="15" width="13" customWidth="1"/>
  </cols>
  <sheetData>
    <row r="1" spans="1:14" ht="30" customHeight="1" x14ac:dyDescent="0.25">
      <c r="A1" s="51" t="s">
        <v>11</v>
      </c>
      <c r="B1" s="51" t="s">
        <v>12</v>
      </c>
      <c r="C1" s="51" t="s">
        <v>13</v>
      </c>
      <c r="D1" s="51" t="s">
        <v>14</v>
      </c>
      <c r="E1" s="51" t="s">
        <v>15</v>
      </c>
      <c r="F1" s="51" t="s">
        <v>16</v>
      </c>
      <c r="G1" s="51" t="s">
        <v>17</v>
      </c>
      <c r="H1" s="51" t="s">
        <v>18</v>
      </c>
      <c r="I1" s="51" t="s">
        <v>19</v>
      </c>
      <c r="J1" s="51" t="s">
        <v>20</v>
      </c>
      <c r="K1" s="51" t="s">
        <v>21</v>
      </c>
      <c r="L1" s="51" t="s">
        <v>22</v>
      </c>
      <c r="M1" s="51" t="s">
        <v>23</v>
      </c>
      <c r="N1" s="51" t="s">
        <v>24</v>
      </c>
    </row>
    <row r="2" spans="1:14" x14ac:dyDescent="0.25">
      <c r="A2" s="52">
        <v>1</v>
      </c>
      <c r="B2" s="52">
        <v>620941</v>
      </c>
      <c r="C2" s="52" t="s">
        <v>25</v>
      </c>
      <c r="D2" s="55" t="s">
        <v>26</v>
      </c>
      <c r="E2" s="55" t="s">
        <v>27</v>
      </c>
      <c r="F2" s="55" t="s">
        <v>28</v>
      </c>
      <c r="G2" s="52" t="s">
        <v>29</v>
      </c>
      <c r="H2" s="54">
        <v>46122</v>
      </c>
      <c r="I2" s="53">
        <v>46119</v>
      </c>
      <c r="J2" s="52" t="s">
        <v>31</v>
      </c>
      <c r="K2" s="52" t="s">
        <v>32</v>
      </c>
      <c r="L2" s="52" t="s">
        <v>33</v>
      </c>
      <c r="M2" s="52" t="s">
        <v>34</v>
      </c>
      <c r="N2" s="56">
        <f t="shared" ref="N2:N58" ca="1" si="0">IFERROR(TODAY()-I2,"-")</f>
        <v>137</v>
      </c>
    </row>
    <row r="3" spans="1:14" x14ac:dyDescent="0.25">
      <c r="A3" s="52">
        <v>2</v>
      </c>
      <c r="B3" s="52">
        <v>641979</v>
      </c>
      <c r="C3" s="52" t="s">
        <v>35</v>
      </c>
      <c r="D3" s="55" t="s">
        <v>26</v>
      </c>
      <c r="E3" s="55" t="s">
        <v>27</v>
      </c>
      <c r="F3" s="55" t="s">
        <v>36</v>
      </c>
      <c r="G3" s="52" t="s">
        <v>29</v>
      </c>
      <c r="H3" s="54">
        <v>46126</v>
      </c>
      <c r="I3" s="53">
        <v>46119</v>
      </c>
      <c r="J3" s="52" t="s">
        <v>30</v>
      </c>
      <c r="K3" s="52" t="s">
        <v>30</v>
      </c>
      <c r="L3" s="52" t="s">
        <v>33</v>
      </c>
      <c r="M3" s="52" t="s">
        <v>34</v>
      </c>
      <c r="N3" s="56">
        <f t="shared" ca="1" si="0"/>
        <v>137</v>
      </c>
    </row>
    <row r="4" spans="1:14" x14ac:dyDescent="0.25">
      <c r="A4" s="52">
        <v>3</v>
      </c>
      <c r="B4" s="52">
        <v>614033</v>
      </c>
      <c r="C4" s="52" t="s">
        <v>37</v>
      </c>
      <c r="D4" s="55" t="s">
        <v>26</v>
      </c>
      <c r="E4" s="55" t="s">
        <v>27</v>
      </c>
      <c r="F4" s="55" t="s">
        <v>38</v>
      </c>
      <c r="G4" s="52" t="s">
        <v>29</v>
      </c>
      <c r="H4" s="54">
        <v>46127</v>
      </c>
      <c r="I4" s="53">
        <v>46124</v>
      </c>
      <c r="J4" s="52" t="s">
        <v>31</v>
      </c>
      <c r="K4" s="52" t="s">
        <v>39</v>
      </c>
      <c r="L4" s="52" t="s">
        <v>40</v>
      </c>
      <c r="M4" s="52" t="s">
        <v>30</v>
      </c>
      <c r="N4" s="56">
        <f t="shared" ca="1" si="0"/>
        <v>132</v>
      </c>
    </row>
    <row r="5" spans="1:14" x14ac:dyDescent="0.25">
      <c r="A5" s="52">
        <v>4</v>
      </c>
      <c r="B5" s="52">
        <v>642207</v>
      </c>
      <c r="C5" s="52" t="s">
        <v>41</v>
      </c>
      <c r="D5" s="55" t="s">
        <v>26</v>
      </c>
      <c r="E5" s="55" t="s">
        <v>27</v>
      </c>
      <c r="F5" s="55" t="s">
        <v>42</v>
      </c>
      <c r="G5" s="52" t="s">
        <v>29</v>
      </c>
      <c r="H5" s="54">
        <v>46127</v>
      </c>
      <c r="I5" s="53">
        <v>46124</v>
      </c>
      <c r="J5" s="52" t="s">
        <v>31</v>
      </c>
      <c r="K5" s="52" t="s">
        <v>43</v>
      </c>
      <c r="L5" s="52" t="s">
        <v>40</v>
      </c>
      <c r="M5" s="52" t="s">
        <v>30</v>
      </c>
      <c r="N5" s="56">
        <f t="shared" ca="1" si="0"/>
        <v>132</v>
      </c>
    </row>
    <row r="6" spans="1:14" x14ac:dyDescent="0.25">
      <c r="A6" s="52">
        <v>5</v>
      </c>
      <c r="B6" s="52">
        <v>642247</v>
      </c>
      <c r="C6" s="52" t="s">
        <v>44</v>
      </c>
      <c r="D6" s="55" t="s">
        <v>26</v>
      </c>
      <c r="E6" s="55" t="s">
        <v>27</v>
      </c>
      <c r="F6" s="55" t="s">
        <v>45</v>
      </c>
      <c r="G6" s="52" t="s">
        <v>29</v>
      </c>
      <c r="H6" s="54">
        <v>46129</v>
      </c>
      <c r="I6" s="53">
        <v>46124</v>
      </c>
      <c r="J6" s="52" t="s">
        <v>31</v>
      </c>
      <c r="K6" s="52" t="s">
        <v>46</v>
      </c>
      <c r="L6" s="52" t="s">
        <v>40</v>
      </c>
      <c r="M6" s="52" t="s">
        <v>30</v>
      </c>
      <c r="N6" s="56">
        <f t="shared" ca="1" si="0"/>
        <v>132</v>
      </c>
    </row>
    <row r="7" spans="1:14" x14ac:dyDescent="0.25">
      <c r="A7" s="52">
        <v>6</v>
      </c>
      <c r="B7" s="52">
        <v>642254</v>
      </c>
      <c r="C7" s="52" t="s">
        <v>47</v>
      </c>
      <c r="D7" s="55" t="s">
        <v>26</v>
      </c>
      <c r="E7" s="55" t="s">
        <v>27</v>
      </c>
      <c r="F7" s="55" t="s">
        <v>48</v>
      </c>
      <c r="G7" s="52" t="s">
        <v>29</v>
      </c>
      <c r="H7" s="54">
        <v>46129</v>
      </c>
      <c r="I7" s="53">
        <v>46124</v>
      </c>
      <c r="J7" s="52" t="s">
        <v>31</v>
      </c>
      <c r="K7" s="52" t="s">
        <v>46</v>
      </c>
      <c r="L7" s="52" t="s">
        <v>40</v>
      </c>
      <c r="M7" s="52" t="s">
        <v>30</v>
      </c>
      <c r="N7" s="56">
        <f t="shared" ca="1" si="0"/>
        <v>132</v>
      </c>
    </row>
    <row r="8" spans="1:14" x14ac:dyDescent="0.25">
      <c r="A8" s="52">
        <v>7</v>
      </c>
      <c r="B8" s="52">
        <v>642246</v>
      </c>
      <c r="C8" s="52" t="s">
        <v>49</v>
      </c>
      <c r="D8" s="55" t="s">
        <v>26</v>
      </c>
      <c r="E8" s="55" t="s">
        <v>27</v>
      </c>
      <c r="F8" s="55" t="s">
        <v>50</v>
      </c>
      <c r="G8" s="52" t="s">
        <v>29</v>
      </c>
      <c r="H8" s="54">
        <v>46129</v>
      </c>
      <c r="I8" s="53">
        <v>46124</v>
      </c>
      <c r="J8" s="52" t="s">
        <v>31</v>
      </c>
      <c r="K8" s="52" t="s">
        <v>51</v>
      </c>
      <c r="L8" s="52" t="s">
        <v>40</v>
      </c>
      <c r="M8" s="52" t="s">
        <v>30</v>
      </c>
      <c r="N8" s="56">
        <f t="shared" ca="1" si="0"/>
        <v>132</v>
      </c>
    </row>
    <row r="9" spans="1:14" x14ac:dyDescent="0.25">
      <c r="A9" s="52">
        <v>8</v>
      </c>
      <c r="B9" s="52">
        <v>642252</v>
      </c>
      <c r="C9" s="52" t="s">
        <v>52</v>
      </c>
      <c r="D9" s="55" t="s">
        <v>26</v>
      </c>
      <c r="E9" s="55" t="s">
        <v>27</v>
      </c>
      <c r="F9" s="55" t="s">
        <v>53</v>
      </c>
      <c r="G9" s="52" t="s">
        <v>29</v>
      </c>
      <c r="H9" s="54">
        <v>46129</v>
      </c>
      <c r="I9" s="53">
        <v>46125</v>
      </c>
      <c r="J9" s="52" t="s">
        <v>30</v>
      </c>
      <c r="K9" s="52" t="s">
        <v>30</v>
      </c>
      <c r="L9" s="52" t="s">
        <v>33</v>
      </c>
      <c r="M9" s="52" t="s">
        <v>54</v>
      </c>
      <c r="N9" s="56">
        <f t="shared" ca="1" si="0"/>
        <v>131</v>
      </c>
    </row>
    <row r="10" spans="1:14" x14ac:dyDescent="0.25">
      <c r="A10" s="52">
        <v>9</v>
      </c>
      <c r="B10" s="52">
        <v>642253</v>
      </c>
      <c r="C10" s="52" t="s">
        <v>55</v>
      </c>
      <c r="D10" s="55" t="s">
        <v>26</v>
      </c>
      <c r="E10" s="55" t="s">
        <v>27</v>
      </c>
      <c r="F10" s="55" t="s">
        <v>56</v>
      </c>
      <c r="G10" s="52" t="s">
        <v>29</v>
      </c>
      <c r="H10" s="54">
        <v>46129</v>
      </c>
      <c r="I10" s="53">
        <v>46125</v>
      </c>
      <c r="J10" s="52" t="s">
        <v>30</v>
      </c>
      <c r="K10" s="52" t="s">
        <v>30</v>
      </c>
      <c r="L10" s="52" t="s">
        <v>33</v>
      </c>
      <c r="M10" s="52" t="s">
        <v>54</v>
      </c>
      <c r="N10" s="56">
        <f t="shared" ca="1" si="0"/>
        <v>131</v>
      </c>
    </row>
    <row r="11" spans="1:14" x14ac:dyDescent="0.25">
      <c r="A11" s="52">
        <v>10</v>
      </c>
      <c r="B11" s="52">
        <v>642257</v>
      </c>
      <c r="C11" s="52" t="s">
        <v>57</v>
      </c>
      <c r="D11" s="55" t="s">
        <v>26</v>
      </c>
      <c r="E11" s="55" t="s">
        <v>27</v>
      </c>
      <c r="F11" s="55" t="s">
        <v>58</v>
      </c>
      <c r="G11" s="52" t="s">
        <v>29</v>
      </c>
      <c r="H11" s="54">
        <v>46129</v>
      </c>
      <c r="I11" s="53">
        <v>46125</v>
      </c>
      <c r="J11" s="52" t="s">
        <v>31</v>
      </c>
      <c r="K11" s="52" t="s">
        <v>43</v>
      </c>
      <c r="L11" s="52" t="s">
        <v>40</v>
      </c>
      <c r="M11" s="52" t="s">
        <v>30</v>
      </c>
      <c r="N11" s="56">
        <f t="shared" ca="1" si="0"/>
        <v>131</v>
      </c>
    </row>
    <row r="12" spans="1:14" x14ac:dyDescent="0.25">
      <c r="A12" s="52">
        <v>11</v>
      </c>
      <c r="B12" s="52">
        <v>642291</v>
      </c>
      <c r="C12" s="52" t="s">
        <v>59</v>
      </c>
      <c r="D12" s="55" t="s">
        <v>26</v>
      </c>
      <c r="E12" s="55" t="s">
        <v>27</v>
      </c>
      <c r="F12" s="55" t="s">
        <v>60</v>
      </c>
      <c r="G12" s="52" t="s">
        <v>29</v>
      </c>
      <c r="H12" s="54">
        <v>46129</v>
      </c>
      <c r="I12" s="53">
        <v>46126</v>
      </c>
      <c r="J12" s="52" t="s">
        <v>31</v>
      </c>
      <c r="K12" s="52" t="s">
        <v>61</v>
      </c>
      <c r="L12" s="52" t="s">
        <v>40</v>
      </c>
      <c r="M12" s="52" t="s">
        <v>30</v>
      </c>
      <c r="N12" s="56">
        <f t="shared" ca="1" si="0"/>
        <v>130</v>
      </c>
    </row>
    <row r="13" spans="1:14" x14ac:dyDescent="0.25">
      <c r="A13" s="52">
        <v>12</v>
      </c>
      <c r="B13" s="52">
        <v>642570</v>
      </c>
      <c r="C13" s="52" t="s">
        <v>62</v>
      </c>
      <c r="D13" s="55" t="s">
        <v>63</v>
      </c>
      <c r="E13" s="55" t="s">
        <v>27</v>
      </c>
      <c r="F13" s="55">
        <v>406023552</v>
      </c>
      <c r="G13" s="52" t="s">
        <v>29</v>
      </c>
      <c r="H13" s="54">
        <v>46137</v>
      </c>
      <c r="I13" s="53">
        <v>46134</v>
      </c>
      <c r="J13" s="52" t="s">
        <v>64</v>
      </c>
      <c r="K13" s="52" t="s">
        <v>65</v>
      </c>
      <c r="L13" s="52" t="s">
        <v>66</v>
      </c>
      <c r="M13" s="52" t="s">
        <v>67</v>
      </c>
      <c r="N13" s="56">
        <f t="shared" ca="1" si="0"/>
        <v>122</v>
      </c>
    </row>
    <row r="14" spans="1:14" x14ac:dyDescent="0.25">
      <c r="A14" s="52">
        <v>13</v>
      </c>
      <c r="B14" s="52">
        <v>642323</v>
      </c>
      <c r="C14" s="52" t="s">
        <v>68</v>
      </c>
      <c r="D14" s="55" t="s">
        <v>26</v>
      </c>
      <c r="E14" s="55" t="s">
        <v>27</v>
      </c>
      <c r="F14" s="55" t="s">
        <v>69</v>
      </c>
      <c r="G14" s="52" t="s">
        <v>29</v>
      </c>
      <c r="H14" s="54">
        <v>46132</v>
      </c>
      <c r="I14" s="53">
        <v>46126</v>
      </c>
      <c r="J14" s="52" t="s">
        <v>31</v>
      </c>
      <c r="K14" s="52" t="s">
        <v>46</v>
      </c>
      <c r="L14" s="52" t="s">
        <v>40</v>
      </c>
      <c r="M14" s="52" t="s">
        <v>30</v>
      </c>
      <c r="N14" s="56">
        <f t="shared" ca="1" si="0"/>
        <v>130</v>
      </c>
    </row>
    <row r="15" spans="1:14" x14ac:dyDescent="0.25">
      <c r="A15" s="52">
        <v>14</v>
      </c>
      <c r="B15" s="52">
        <v>642319</v>
      </c>
      <c r="C15" s="52" t="s">
        <v>70</v>
      </c>
      <c r="D15" s="55" t="s">
        <v>26</v>
      </c>
      <c r="E15" s="55" t="s">
        <v>27</v>
      </c>
      <c r="F15" s="55" t="s">
        <v>71</v>
      </c>
      <c r="G15" s="52" t="s">
        <v>29</v>
      </c>
      <c r="H15" s="54">
        <v>46132</v>
      </c>
      <c r="I15" s="53">
        <v>46126</v>
      </c>
      <c r="J15" s="52" t="s">
        <v>31</v>
      </c>
      <c r="K15" s="52" t="s">
        <v>46</v>
      </c>
      <c r="L15" s="52" t="s">
        <v>40</v>
      </c>
      <c r="M15" s="52" t="s">
        <v>30</v>
      </c>
      <c r="N15" s="56">
        <f t="shared" ca="1" si="0"/>
        <v>130</v>
      </c>
    </row>
    <row r="16" spans="1:14" x14ac:dyDescent="0.25">
      <c r="A16" s="52">
        <v>15</v>
      </c>
      <c r="B16" s="52">
        <v>642338</v>
      </c>
      <c r="C16" s="52" t="s">
        <v>72</v>
      </c>
      <c r="D16" s="55" t="s">
        <v>26</v>
      </c>
      <c r="E16" s="55" t="s">
        <v>27</v>
      </c>
      <c r="F16" s="55" t="s">
        <v>73</v>
      </c>
      <c r="G16" s="52" t="s">
        <v>29</v>
      </c>
      <c r="H16" s="54">
        <v>46132</v>
      </c>
      <c r="I16" s="53">
        <v>46126</v>
      </c>
      <c r="J16" s="52" t="s">
        <v>31</v>
      </c>
      <c r="K16" s="52" t="s">
        <v>46</v>
      </c>
      <c r="L16" s="52" t="s">
        <v>40</v>
      </c>
      <c r="M16" s="52" t="s">
        <v>30</v>
      </c>
      <c r="N16" s="56">
        <f t="shared" ca="1" si="0"/>
        <v>130</v>
      </c>
    </row>
    <row r="17" spans="1:14" x14ac:dyDescent="0.25">
      <c r="A17" s="52">
        <v>16</v>
      </c>
      <c r="B17" s="52">
        <v>522851</v>
      </c>
      <c r="C17" s="52" t="s">
        <v>74</v>
      </c>
      <c r="D17" s="55" t="s">
        <v>26</v>
      </c>
      <c r="E17" s="55" t="s">
        <v>27</v>
      </c>
      <c r="F17" s="55" t="s">
        <v>75</v>
      </c>
      <c r="G17" s="52" t="s">
        <v>76</v>
      </c>
      <c r="H17" s="54" t="s">
        <v>30</v>
      </c>
      <c r="I17" s="53">
        <v>45777</v>
      </c>
      <c r="J17" s="52" t="s">
        <v>77</v>
      </c>
      <c r="K17" s="52" t="s">
        <v>78</v>
      </c>
      <c r="L17" s="52" t="s">
        <v>40</v>
      </c>
      <c r="M17" s="52" t="s">
        <v>30</v>
      </c>
      <c r="N17" s="56">
        <f t="shared" ca="1" si="0"/>
        <v>479</v>
      </c>
    </row>
    <row r="18" spans="1:14" x14ac:dyDescent="0.25">
      <c r="A18" s="52">
        <v>17</v>
      </c>
      <c r="B18" s="52">
        <v>642249</v>
      </c>
      <c r="C18" s="52" t="s">
        <v>79</v>
      </c>
      <c r="D18" s="55" t="s">
        <v>26</v>
      </c>
      <c r="E18" s="55" t="s">
        <v>27</v>
      </c>
      <c r="F18" s="55" t="s">
        <v>80</v>
      </c>
      <c r="G18" s="52" t="s">
        <v>29</v>
      </c>
      <c r="H18" s="54">
        <v>46132</v>
      </c>
      <c r="I18" s="53">
        <v>46124</v>
      </c>
      <c r="J18" s="52" t="s">
        <v>31</v>
      </c>
      <c r="K18" s="52" t="s">
        <v>46</v>
      </c>
      <c r="L18" s="52" t="s">
        <v>40</v>
      </c>
      <c r="M18" s="52" t="s">
        <v>30</v>
      </c>
      <c r="N18" s="56">
        <f t="shared" ca="1" si="0"/>
        <v>132</v>
      </c>
    </row>
    <row r="19" spans="1:14" x14ac:dyDescent="0.25">
      <c r="A19" s="52">
        <v>18</v>
      </c>
      <c r="B19" s="52">
        <v>403996</v>
      </c>
      <c r="C19" s="52" t="s">
        <v>81</v>
      </c>
      <c r="D19" s="55" t="s">
        <v>26</v>
      </c>
      <c r="E19" s="55" t="s">
        <v>27</v>
      </c>
      <c r="F19" s="55" t="s">
        <v>82</v>
      </c>
      <c r="G19" s="52" t="s">
        <v>76</v>
      </c>
      <c r="H19" s="54" t="s">
        <v>30</v>
      </c>
      <c r="I19" s="53">
        <v>45791</v>
      </c>
      <c r="J19" s="52" t="s">
        <v>77</v>
      </c>
      <c r="K19" s="52" t="s">
        <v>78</v>
      </c>
      <c r="L19" s="52" t="s">
        <v>40</v>
      </c>
      <c r="M19" s="52" t="s">
        <v>30</v>
      </c>
      <c r="N19" s="56">
        <f t="shared" ca="1" si="0"/>
        <v>465</v>
      </c>
    </row>
    <row r="20" spans="1:14" x14ac:dyDescent="0.25">
      <c r="A20" s="52">
        <v>19</v>
      </c>
      <c r="B20" s="52">
        <v>642264</v>
      </c>
      <c r="C20" s="52" t="s">
        <v>83</v>
      </c>
      <c r="D20" s="55" t="s">
        <v>26</v>
      </c>
      <c r="E20" s="55" t="s">
        <v>27</v>
      </c>
      <c r="F20" s="55" t="s">
        <v>84</v>
      </c>
      <c r="G20" s="52" t="s">
        <v>29</v>
      </c>
      <c r="H20" s="54">
        <v>46132</v>
      </c>
      <c r="I20" s="53">
        <v>46124</v>
      </c>
      <c r="J20" s="52" t="s">
        <v>31</v>
      </c>
      <c r="K20" s="52" t="s">
        <v>46</v>
      </c>
      <c r="L20" s="52" t="s">
        <v>40</v>
      </c>
      <c r="M20" s="52" t="s">
        <v>30</v>
      </c>
      <c r="N20" s="56">
        <f t="shared" ca="1" si="0"/>
        <v>132</v>
      </c>
    </row>
    <row r="21" spans="1:14" x14ac:dyDescent="0.25">
      <c r="A21" s="52">
        <v>20</v>
      </c>
      <c r="B21" s="52">
        <v>642294</v>
      </c>
      <c r="C21" s="52" t="s">
        <v>85</v>
      </c>
      <c r="D21" s="55" t="s">
        <v>26</v>
      </c>
      <c r="E21" s="55" t="s">
        <v>27</v>
      </c>
      <c r="F21" s="55" t="s">
        <v>86</v>
      </c>
      <c r="G21" s="52" t="s">
        <v>29</v>
      </c>
      <c r="H21" s="54">
        <v>46133</v>
      </c>
      <c r="I21" s="53">
        <v>45622</v>
      </c>
      <c r="J21" s="52" t="s">
        <v>31</v>
      </c>
      <c r="K21" s="52" t="s">
        <v>30</v>
      </c>
      <c r="L21" s="52" t="s">
        <v>33</v>
      </c>
      <c r="M21" s="52" t="s">
        <v>34</v>
      </c>
      <c r="N21" s="56">
        <f t="shared" ca="1" si="0"/>
        <v>634</v>
      </c>
    </row>
    <row r="22" spans="1:14" x14ac:dyDescent="0.25">
      <c r="A22" s="52">
        <v>21</v>
      </c>
      <c r="B22" s="52">
        <v>642361</v>
      </c>
      <c r="C22" s="52" t="s">
        <v>87</v>
      </c>
      <c r="D22" s="55" t="s">
        <v>26</v>
      </c>
      <c r="E22" s="55" t="s">
        <v>27</v>
      </c>
      <c r="F22" s="55" t="s">
        <v>88</v>
      </c>
      <c r="G22" s="52" t="s">
        <v>29</v>
      </c>
      <c r="H22" s="54">
        <v>46133</v>
      </c>
      <c r="I22" s="53">
        <v>46129</v>
      </c>
      <c r="J22" s="52" t="s">
        <v>31</v>
      </c>
      <c r="K22" s="52" t="s">
        <v>46</v>
      </c>
      <c r="L22" s="52" t="s">
        <v>40</v>
      </c>
      <c r="M22" s="52" t="s">
        <v>30</v>
      </c>
      <c r="N22" s="56">
        <f t="shared" ca="1" si="0"/>
        <v>127</v>
      </c>
    </row>
    <row r="23" spans="1:14" x14ac:dyDescent="0.25">
      <c r="A23" s="52">
        <v>22</v>
      </c>
      <c r="B23" s="52">
        <v>630386</v>
      </c>
      <c r="C23" s="52" t="s">
        <v>89</v>
      </c>
      <c r="D23" s="55" t="s">
        <v>26</v>
      </c>
      <c r="E23" s="55" t="s">
        <v>27</v>
      </c>
      <c r="F23" s="55" t="s">
        <v>90</v>
      </c>
      <c r="G23" s="52" t="s">
        <v>29</v>
      </c>
      <c r="H23" s="54">
        <v>46135</v>
      </c>
      <c r="I23" s="53">
        <v>46131</v>
      </c>
      <c r="J23" s="52" t="s">
        <v>31</v>
      </c>
      <c r="K23" s="52" t="s">
        <v>91</v>
      </c>
      <c r="L23" s="52" t="s">
        <v>40</v>
      </c>
      <c r="M23" s="52" t="s">
        <v>30</v>
      </c>
      <c r="N23" s="56">
        <f t="shared" ca="1" si="0"/>
        <v>125</v>
      </c>
    </row>
    <row r="24" spans="1:14" x14ac:dyDescent="0.25">
      <c r="A24" s="52">
        <v>23</v>
      </c>
      <c r="B24" s="52">
        <v>642380</v>
      </c>
      <c r="C24" s="52" t="s">
        <v>92</v>
      </c>
      <c r="D24" s="55" t="s">
        <v>26</v>
      </c>
      <c r="E24" s="55" t="s">
        <v>27</v>
      </c>
      <c r="F24" s="55" t="s">
        <v>93</v>
      </c>
      <c r="G24" s="52" t="s">
        <v>29</v>
      </c>
      <c r="H24" s="54">
        <v>46135</v>
      </c>
      <c r="I24" s="53">
        <v>46131</v>
      </c>
      <c r="J24" s="52" t="s">
        <v>31</v>
      </c>
      <c r="K24" s="52" t="s">
        <v>46</v>
      </c>
      <c r="L24" s="52" t="s">
        <v>40</v>
      </c>
      <c r="M24" s="52" t="s">
        <v>30</v>
      </c>
      <c r="N24" s="56">
        <f t="shared" ca="1" si="0"/>
        <v>125</v>
      </c>
    </row>
    <row r="25" spans="1:14" x14ac:dyDescent="0.25">
      <c r="A25" s="52">
        <v>24</v>
      </c>
      <c r="B25" s="52">
        <v>642395</v>
      </c>
      <c r="C25" s="52" t="s">
        <v>94</v>
      </c>
      <c r="D25" s="55" t="s">
        <v>26</v>
      </c>
      <c r="E25" s="55" t="s">
        <v>27</v>
      </c>
      <c r="F25" s="55" t="s">
        <v>95</v>
      </c>
      <c r="G25" s="52" t="s">
        <v>29</v>
      </c>
      <c r="H25" s="54">
        <v>46135</v>
      </c>
      <c r="I25" s="53">
        <v>46130</v>
      </c>
      <c r="J25" s="52" t="s">
        <v>31</v>
      </c>
      <c r="K25" s="52" t="s">
        <v>46</v>
      </c>
      <c r="L25" s="52" t="s">
        <v>40</v>
      </c>
      <c r="M25" s="52" t="s">
        <v>30</v>
      </c>
      <c r="N25" s="56">
        <f t="shared" ca="1" si="0"/>
        <v>126</v>
      </c>
    </row>
    <row r="26" spans="1:14" x14ac:dyDescent="0.25">
      <c r="A26" s="52">
        <v>25</v>
      </c>
      <c r="B26" s="52">
        <v>623010</v>
      </c>
      <c r="C26" s="52" t="s">
        <v>96</v>
      </c>
      <c r="D26" s="55" t="s">
        <v>26</v>
      </c>
      <c r="E26" s="55" t="s">
        <v>27</v>
      </c>
      <c r="F26" s="55" t="s">
        <v>97</v>
      </c>
      <c r="G26" s="52" t="s">
        <v>29</v>
      </c>
      <c r="H26" s="54">
        <v>46135</v>
      </c>
      <c r="I26" s="53">
        <v>46130</v>
      </c>
      <c r="J26" s="52" t="s">
        <v>31</v>
      </c>
      <c r="K26" s="52" t="s">
        <v>46</v>
      </c>
      <c r="L26" s="52" t="s">
        <v>40</v>
      </c>
      <c r="M26" s="52" t="s">
        <v>30</v>
      </c>
      <c r="N26" s="56">
        <f t="shared" ca="1" si="0"/>
        <v>126</v>
      </c>
    </row>
    <row r="27" spans="1:14" x14ac:dyDescent="0.25">
      <c r="A27" s="52">
        <v>26</v>
      </c>
      <c r="B27" s="52">
        <v>278392</v>
      </c>
      <c r="C27" s="52" t="s">
        <v>98</v>
      </c>
      <c r="D27" s="55" t="s">
        <v>26</v>
      </c>
      <c r="E27" s="55" t="s">
        <v>27</v>
      </c>
      <c r="F27" s="55" t="s">
        <v>99</v>
      </c>
      <c r="G27" s="52" t="s">
        <v>76</v>
      </c>
      <c r="H27" s="54" t="s">
        <v>30</v>
      </c>
      <c r="I27" s="53">
        <v>45811</v>
      </c>
      <c r="J27" s="52" t="s">
        <v>77</v>
      </c>
      <c r="K27" s="52" t="s">
        <v>78</v>
      </c>
      <c r="L27" s="52" t="s">
        <v>40</v>
      </c>
      <c r="M27" s="52" t="s">
        <v>30</v>
      </c>
      <c r="N27" s="56">
        <f t="shared" ca="1" si="0"/>
        <v>445</v>
      </c>
    </row>
    <row r="28" spans="1:14" x14ac:dyDescent="0.25">
      <c r="A28" s="52">
        <v>27</v>
      </c>
      <c r="B28" s="52">
        <v>642433</v>
      </c>
      <c r="C28" s="52" t="s">
        <v>100</v>
      </c>
      <c r="D28" s="55" t="s">
        <v>26</v>
      </c>
      <c r="E28" s="55" t="s">
        <v>27</v>
      </c>
      <c r="F28" s="55" t="s">
        <v>101</v>
      </c>
      <c r="G28" s="52" t="s">
        <v>29</v>
      </c>
      <c r="H28" s="54">
        <v>46135</v>
      </c>
      <c r="I28" s="53">
        <v>46132</v>
      </c>
      <c r="J28" s="52" t="s">
        <v>31</v>
      </c>
      <c r="K28" s="52" t="s">
        <v>46</v>
      </c>
      <c r="L28" s="52" t="s">
        <v>40</v>
      </c>
      <c r="M28" s="52" t="s">
        <v>30</v>
      </c>
      <c r="N28" s="56">
        <f t="shared" ca="1" si="0"/>
        <v>124</v>
      </c>
    </row>
    <row r="29" spans="1:14" x14ac:dyDescent="0.25">
      <c r="A29" s="52">
        <v>28</v>
      </c>
      <c r="B29" s="52">
        <v>642383</v>
      </c>
      <c r="C29" s="52" t="s">
        <v>102</v>
      </c>
      <c r="D29" s="55" t="s">
        <v>26</v>
      </c>
      <c r="E29" s="55" t="s">
        <v>27</v>
      </c>
      <c r="F29" s="55" t="s">
        <v>103</v>
      </c>
      <c r="G29" s="52" t="s">
        <v>29</v>
      </c>
      <c r="H29" s="54">
        <v>46135</v>
      </c>
      <c r="I29" s="53">
        <v>46131</v>
      </c>
      <c r="J29" s="52" t="s">
        <v>31</v>
      </c>
      <c r="K29" s="52" t="s">
        <v>91</v>
      </c>
      <c r="L29" s="52" t="s">
        <v>40</v>
      </c>
      <c r="M29" s="52" t="s">
        <v>30</v>
      </c>
      <c r="N29" s="56">
        <f t="shared" ca="1" si="0"/>
        <v>125</v>
      </c>
    </row>
    <row r="30" spans="1:14" x14ac:dyDescent="0.25">
      <c r="A30" s="52">
        <v>29</v>
      </c>
      <c r="B30" s="52">
        <v>642377</v>
      </c>
      <c r="C30" s="52" t="s">
        <v>104</v>
      </c>
      <c r="D30" s="55" t="s">
        <v>26</v>
      </c>
      <c r="E30" s="55" t="s">
        <v>27</v>
      </c>
      <c r="F30" s="55" t="s">
        <v>105</v>
      </c>
      <c r="G30" s="52" t="s">
        <v>29</v>
      </c>
      <c r="H30" s="54">
        <v>46135</v>
      </c>
      <c r="I30" s="53">
        <v>46130</v>
      </c>
      <c r="J30" s="52" t="s">
        <v>31</v>
      </c>
      <c r="K30" s="52" t="s">
        <v>46</v>
      </c>
      <c r="L30" s="52" t="s">
        <v>40</v>
      </c>
      <c r="M30" s="52" t="s">
        <v>30</v>
      </c>
      <c r="N30" s="56">
        <f t="shared" ca="1" si="0"/>
        <v>126</v>
      </c>
    </row>
    <row r="31" spans="1:14" x14ac:dyDescent="0.25">
      <c r="A31" s="52">
        <v>30</v>
      </c>
      <c r="B31" s="52">
        <v>633582</v>
      </c>
      <c r="C31" s="52" t="s">
        <v>106</v>
      </c>
      <c r="D31" s="55" t="s">
        <v>26</v>
      </c>
      <c r="E31" s="55" t="s">
        <v>27</v>
      </c>
      <c r="F31" s="55" t="s">
        <v>107</v>
      </c>
      <c r="G31" s="52" t="s">
        <v>76</v>
      </c>
      <c r="H31" s="54" t="s">
        <v>30</v>
      </c>
      <c r="I31" s="53">
        <v>45798</v>
      </c>
      <c r="J31" s="52" t="s">
        <v>30</v>
      </c>
      <c r="K31" s="52" t="s">
        <v>30</v>
      </c>
      <c r="L31" s="52" t="s">
        <v>33</v>
      </c>
      <c r="M31" s="52" t="s">
        <v>108</v>
      </c>
      <c r="N31" s="56">
        <f t="shared" ca="1" si="0"/>
        <v>458</v>
      </c>
    </row>
    <row r="32" spans="1:14" x14ac:dyDescent="0.25">
      <c r="A32" s="52">
        <v>31</v>
      </c>
      <c r="B32" s="52">
        <v>642431</v>
      </c>
      <c r="C32" s="52" t="s">
        <v>109</v>
      </c>
      <c r="D32" s="55" t="s">
        <v>26</v>
      </c>
      <c r="E32" s="55" t="s">
        <v>27</v>
      </c>
      <c r="F32" s="55" t="s">
        <v>110</v>
      </c>
      <c r="G32" s="52" t="s">
        <v>29</v>
      </c>
      <c r="H32" s="54">
        <v>46135</v>
      </c>
      <c r="I32" s="53">
        <v>46131</v>
      </c>
      <c r="J32" s="52" t="s">
        <v>31</v>
      </c>
      <c r="K32" s="52" t="s">
        <v>46</v>
      </c>
      <c r="L32" s="52" t="s">
        <v>40</v>
      </c>
      <c r="M32" s="52" t="s">
        <v>30</v>
      </c>
      <c r="N32" s="56">
        <f t="shared" ca="1" si="0"/>
        <v>125</v>
      </c>
    </row>
    <row r="33" spans="1:14" x14ac:dyDescent="0.25">
      <c r="A33" s="52">
        <v>32</v>
      </c>
      <c r="B33" s="52">
        <v>642379</v>
      </c>
      <c r="C33" s="52" t="s">
        <v>111</v>
      </c>
      <c r="D33" s="55" t="s">
        <v>26</v>
      </c>
      <c r="E33" s="55" t="s">
        <v>27</v>
      </c>
      <c r="F33" s="55" t="s">
        <v>112</v>
      </c>
      <c r="G33" s="52" t="s">
        <v>29</v>
      </c>
      <c r="H33" s="54">
        <v>46135</v>
      </c>
      <c r="I33" s="53">
        <v>46130</v>
      </c>
      <c r="J33" s="52" t="s">
        <v>31</v>
      </c>
      <c r="K33" s="52" t="s">
        <v>51</v>
      </c>
      <c r="L33" s="52" t="s">
        <v>40</v>
      </c>
      <c r="M33" s="52" t="s">
        <v>30</v>
      </c>
      <c r="N33" s="56">
        <f t="shared" ca="1" si="0"/>
        <v>126</v>
      </c>
    </row>
    <row r="34" spans="1:14" x14ac:dyDescent="0.25">
      <c r="A34" s="52">
        <v>33</v>
      </c>
      <c r="B34" s="52">
        <v>270531</v>
      </c>
      <c r="C34" s="52" t="s">
        <v>113</v>
      </c>
      <c r="D34" s="55" t="s">
        <v>26</v>
      </c>
      <c r="E34" s="55" t="s">
        <v>27</v>
      </c>
      <c r="F34" s="55" t="s">
        <v>114</v>
      </c>
      <c r="G34" s="52" t="s">
        <v>29</v>
      </c>
      <c r="H34" s="54">
        <v>46135</v>
      </c>
      <c r="I34" s="53">
        <v>46130</v>
      </c>
      <c r="J34" s="52" t="s">
        <v>31</v>
      </c>
      <c r="K34" s="52" t="s">
        <v>46</v>
      </c>
      <c r="L34" s="52" t="s">
        <v>40</v>
      </c>
      <c r="M34" s="52" t="s">
        <v>30</v>
      </c>
      <c r="N34" s="56">
        <f t="shared" ca="1" si="0"/>
        <v>126</v>
      </c>
    </row>
    <row r="35" spans="1:14" x14ac:dyDescent="0.25">
      <c r="A35" s="52">
        <v>34</v>
      </c>
      <c r="B35" s="52">
        <v>514626</v>
      </c>
      <c r="C35" s="52" t="s">
        <v>115</v>
      </c>
      <c r="D35" s="55" t="s">
        <v>26</v>
      </c>
      <c r="E35" s="55" t="s">
        <v>27</v>
      </c>
      <c r="F35" s="55" t="s">
        <v>116</v>
      </c>
      <c r="G35" s="52" t="s">
        <v>29</v>
      </c>
      <c r="H35" s="54">
        <v>46135</v>
      </c>
      <c r="I35" s="53">
        <v>46130</v>
      </c>
      <c r="J35" s="52" t="s">
        <v>31</v>
      </c>
      <c r="K35" s="52" t="s">
        <v>46</v>
      </c>
      <c r="L35" s="52" t="s">
        <v>40</v>
      </c>
      <c r="M35" s="52" t="s">
        <v>30</v>
      </c>
      <c r="N35" s="56">
        <f t="shared" ca="1" si="0"/>
        <v>126</v>
      </c>
    </row>
    <row r="36" spans="1:14" x14ac:dyDescent="0.25">
      <c r="A36" s="52">
        <v>35</v>
      </c>
      <c r="B36" s="52">
        <v>530712</v>
      </c>
      <c r="C36" s="52" t="s">
        <v>117</v>
      </c>
      <c r="D36" s="55" t="s">
        <v>26</v>
      </c>
      <c r="E36" s="55" t="s">
        <v>27</v>
      </c>
      <c r="F36" s="55" t="s">
        <v>118</v>
      </c>
      <c r="G36" s="52" t="s">
        <v>76</v>
      </c>
      <c r="H36" s="54" t="s">
        <v>30</v>
      </c>
      <c r="I36" s="53">
        <v>45798</v>
      </c>
      <c r="J36" s="52" t="s">
        <v>77</v>
      </c>
      <c r="K36" s="52" t="s">
        <v>78</v>
      </c>
      <c r="L36" s="52" t="s">
        <v>40</v>
      </c>
      <c r="M36" s="52" t="s">
        <v>30</v>
      </c>
      <c r="N36" s="56">
        <f t="shared" ca="1" si="0"/>
        <v>458</v>
      </c>
    </row>
    <row r="37" spans="1:14" x14ac:dyDescent="0.25">
      <c r="A37" s="52">
        <v>36</v>
      </c>
      <c r="B37" s="52">
        <v>642434</v>
      </c>
      <c r="C37" s="52" t="s">
        <v>119</v>
      </c>
      <c r="D37" s="55" t="s">
        <v>26</v>
      </c>
      <c r="E37" s="55" t="s">
        <v>27</v>
      </c>
      <c r="F37" s="55" t="s">
        <v>120</v>
      </c>
      <c r="G37" s="52" t="s">
        <v>29</v>
      </c>
      <c r="H37" s="54">
        <v>46136</v>
      </c>
      <c r="I37" s="53">
        <v>46132</v>
      </c>
      <c r="J37" s="52" t="s">
        <v>31</v>
      </c>
      <c r="K37" s="52" t="s">
        <v>46</v>
      </c>
      <c r="L37" s="52" t="s">
        <v>40</v>
      </c>
      <c r="M37" s="52" t="s">
        <v>30</v>
      </c>
      <c r="N37" s="56">
        <f t="shared" ca="1" si="0"/>
        <v>124</v>
      </c>
    </row>
    <row r="38" spans="1:14" x14ac:dyDescent="0.25">
      <c r="A38" s="52">
        <v>37</v>
      </c>
      <c r="B38" s="52">
        <v>453749</v>
      </c>
      <c r="C38" s="52" t="s">
        <v>121</v>
      </c>
      <c r="D38" s="55" t="s">
        <v>26</v>
      </c>
      <c r="E38" s="55" t="s">
        <v>27</v>
      </c>
      <c r="F38" s="55" t="s">
        <v>122</v>
      </c>
      <c r="G38" s="52" t="s">
        <v>29</v>
      </c>
      <c r="H38" s="54">
        <v>46136</v>
      </c>
      <c r="I38" s="53">
        <v>46133</v>
      </c>
      <c r="J38" s="52" t="s">
        <v>30</v>
      </c>
      <c r="K38" s="52" t="s">
        <v>30</v>
      </c>
      <c r="L38" s="52" t="s">
        <v>33</v>
      </c>
      <c r="M38" s="52" t="s">
        <v>30</v>
      </c>
      <c r="N38" s="56">
        <f t="shared" ca="1" si="0"/>
        <v>123</v>
      </c>
    </row>
    <row r="39" spans="1:14" x14ac:dyDescent="0.25">
      <c r="A39" s="52">
        <v>38</v>
      </c>
      <c r="B39" s="52">
        <v>514850</v>
      </c>
      <c r="C39" s="52" t="s">
        <v>123</v>
      </c>
      <c r="D39" s="55" t="s">
        <v>26</v>
      </c>
      <c r="E39" s="55" t="s">
        <v>27</v>
      </c>
      <c r="F39" s="55" t="s">
        <v>124</v>
      </c>
      <c r="G39" s="52" t="s">
        <v>76</v>
      </c>
      <c r="H39" s="54" t="s">
        <v>30</v>
      </c>
      <c r="I39" s="53">
        <v>45803</v>
      </c>
      <c r="J39" s="52" t="s">
        <v>30</v>
      </c>
      <c r="K39" s="52" t="s">
        <v>125</v>
      </c>
      <c r="L39" s="52" t="s">
        <v>40</v>
      </c>
      <c r="M39" s="52" t="s">
        <v>30</v>
      </c>
      <c r="N39" s="56">
        <f t="shared" ca="1" si="0"/>
        <v>453</v>
      </c>
    </row>
    <row r="40" spans="1:14" x14ac:dyDescent="0.25">
      <c r="A40" s="52">
        <v>39</v>
      </c>
      <c r="B40" s="52">
        <v>623249</v>
      </c>
      <c r="C40" s="52" t="s">
        <v>126</v>
      </c>
      <c r="D40" s="55" t="s">
        <v>26</v>
      </c>
      <c r="E40" s="55" t="s">
        <v>27</v>
      </c>
      <c r="F40" s="55" t="s">
        <v>127</v>
      </c>
      <c r="G40" s="52" t="s">
        <v>29</v>
      </c>
      <c r="H40" s="54">
        <v>46136</v>
      </c>
      <c r="I40" s="53">
        <v>46133</v>
      </c>
      <c r="J40" s="52" t="s">
        <v>31</v>
      </c>
      <c r="K40" s="52" t="s">
        <v>46</v>
      </c>
      <c r="L40" s="52" t="s">
        <v>40</v>
      </c>
      <c r="M40" s="52" t="s">
        <v>30</v>
      </c>
      <c r="N40" s="56">
        <f t="shared" ca="1" si="0"/>
        <v>123</v>
      </c>
    </row>
    <row r="41" spans="1:14" x14ac:dyDescent="0.25">
      <c r="A41" s="52">
        <v>40</v>
      </c>
      <c r="B41" s="52">
        <v>607412</v>
      </c>
      <c r="C41" s="52" t="s">
        <v>128</v>
      </c>
      <c r="D41" s="55" t="s">
        <v>26</v>
      </c>
      <c r="E41" s="55" t="s">
        <v>129</v>
      </c>
      <c r="F41" s="55" t="s">
        <v>130</v>
      </c>
      <c r="G41" s="52" t="s">
        <v>29</v>
      </c>
      <c r="H41" s="54">
        <v>46136</v>
      </c>
      <c r="I41" s="53">
        <v>46132</v>
      </c>
      <c r="J41" s="52" t="s">
        <v>31</v>
      </c>
      <c r="K41" s="52" t="s">
        <v>46</v>
      </c>
      <c r="L41" s="52" t="s">
        <v>40</v>
      </c>
      <c r="M41" s="52" t="s">
        <v>30</v>
      </c>
      <c r="N41" s="56">
        <f t="shared" ca="1" si="0"/>
        <v>124</v>
      </c>
    </row>
    <row r="42" spans="1:14" x14ac:dyDescent="0.25">
      <c r="A42" s="52">
        <v>41</v>
      </c>
      <c r="B42" s="52">
        <v>637081</v>
      </c>
      <c r="C42" s="52" t="s">
        <v>131</v>
      </c>
      <c r="D42" s="55" t="s">
        <v>26</v>
      </c>
      <c r="E42" s="55" t="s">
        <v>27</v>
      </c>
      <c r="F42" s="55" t="s">
        <v>132</v>
      </c>
      <c r="G42" s="52" t="s">
        <v>76</v>
      </c>
      <c r="H42" s="54" t="s">
        <v>30</v>
      </c>
      <c r="I42" s="53">
        <v>45781</v>
      </c>
      <c r="J42" s="52" t="s">
        <v>77</v>
      </c>
      <c r="K42" s="52" t="s">
        <v>78</v>
      </c>
      <c r="L42" s="52" t="s">
        <v>40</v>
      </c>
      <c r="M42" s="52" t="s">
        <v>30</v>
      </c>
      <c r="N42" s="56">
        <f t="shared" ca="1" si="0"/>
        <v>475</v>
      </c>
    </row>
    <row r="43" spans="1:14" x14ac:dyDescent="0.25">
      <c r="A43" s="52">
        <v>42</v>
      </c>
      <c r="B43" s="52">
        <v>642506</v>
      </c>
      <c r="C43" s="52" t="s">
        <v>133</v>
      </c>
      <c r="D43" s="55" t="s">
        <v>26</v>
      </c>
      <c r="E43" s="55" t="s">
        <v>27</v>
      </c>
      <c r="F43" s="55" t="s">
        <v>134</v>
      </c>
      <c r="G43" s="52" t="s">
        <v>29</v>
      </c>
      <c r="H43" s="54">
        <v>46136</v>
      </c>
      <c r="I43" s="53">
        <v>46133</v>
      </c>
      <c r="J43" s="52" t="s">
        <v>31</v>
      </c>
      <c r="K43" s="52" t="s">
        <v>46</v>
      </c>
      <c r="L43" s="52" t="s">
        <v>40</v>
      </c>
      <c r="M43" s="52" t="s">
        <v>30</v>
      </c>
      <c r="N43" s="56">
        <f t="shared" ca="1" si="0"/>
        <v>123</v>
      </c>
    </row>
    <row r="44" spans="1:14" x14ac:dyDescent="0.25">
      <c r="A44" s="52">
        <v>43</v>
      </c>
      <c r="B44" s="52">
        <v>642336</v>
      </c>
      <c r="C44" s="52" t="s">
        <v>135</v>
      </c>
      <c r="D44" s="55" t="s">
        <v>26</v>
      </c>
      <c r="E44" s="55" t="s">
        <v>27</v>
      </c>
      <c r="F44" s="55" t="s">
        <v>136</v>
      </c>
      <c r="G44" s="52" t="s">
        <v>29</v>
      </c>
      <c r="H44" s="54">
        <v>46132</v>
      </c>
      <c r="I44" s="53">
        <v>46126</v>
      </c>
      <c r="J44" s="52" t="s">
        <v>31</v>
      </c>
      <c r="K44" s="52" t="s">
        <v>137</v>
      </c>
      <c r="L44" s="52" t="s">
        <v>40</v>
      </c>
      <c r="M44" s="52" t="s">
        <v>30</v>
      </c>
      <c r="N44" s="56">
        <f t="shared" ca="1" si="0"/>
        <v>130</v>
      </c>
    </row>
    <row r="45" spans="1:14" x14ac:dyDescent="0.25">
      <c r="A45" s="52">
        <v>44</v>
      </c>
      <c r="B45" s="52">
        <v>642320</v>
      </c>
      <c r="C45" s="52" t="s">
        <v>138</v>
      </c>
      <c r="D45" s="55" t="s">
        <v>26</v>
      </c>
      <c r="E45" s="55" t="s">
        <v>27</v>
      </c>
      <c r="F45" s="55" t="s">
        <v>139</v>
      </c>
      <c r="G45" s="52" t="s">
        <v>29</v>
      </c>
      <c r="H45" s="54">
        <v>46132</v>
      </c>
      <c r="I45" s="53">
        <v>46126</v>
      </c>
      <c r="J45" s="52" t="s">
        <v>31</v>
      </c>
      <c r="K45" s="52" t="s">
        <v>137</v>
      </c>
      <c r="L45" s="52" t="s">
        <v>40</v>
      </c>
      <c r="M45" s="52" t="s">
        <v>30</v>
      </c>
      <c r="N45" s="56">
        <f t="shared" ca="1" si="0"/>
        <v>130</v>
      </c>
    </row>
    <row r="46" spans="1:14" x14ac:dyDescent="0.25">
      <c r="A46" s="52">
        <v>45</v>
      </c>
      <c r="B46" s="52">
        <v>642292</v>
      </c>
      <c r="C46" s="52" t="s">
        <v>140</v>
      </c>
      <c r="D46" s="55" t="s">
        <v>26</v>
      </c>
      <c r="E46" s="55" t="s">
        <v>27</v>
      </c>
      <c r="F46" s="55" t="s">
        <v>141</v>
      </c>
      <c r="G46" s="52" t="s">
        <v>29</v>
      </c>
      <c r="H46" s="54">
        <v>46132</v>
      </c>
      <c r="I46" s="53">
        <v>46126</v>
      </c>
      <c r="J46" s="52" t="s">
        <v>31</v>
      </c>
      <c r="K46" s="52" t="s">
        <v>142</v>
      </c>
      <c r="L46" s="52" t="s">
        <v>66</v>
      </c>
      <c r="M46" s="52" t="s">
        <v>143</v>
      </c>
      <c r="N46" s="56">
        <f t="shared" ca="1" si="0"/>
        <v>130</v>
      </c>
    </row>
    <row r="47" spans="1:14" x14ac:dyDescent="0.25">
      <c r="A47" s="52">
        <v>46</v>
      </c>
      <c r="B47" s="52">
        <v>642571</v>
      </c>
      <c r="C47" s="52" t="s">
        <v>144</v>
      </c>
      <c r="D47" s="55" t="s">
        <v>26</v>
      </c>
      <c r="E47" s="55" t="s">
        <v>27</v>
      </c>
      <c r="F47" s="55" t="s">
        <v>145</v>
      </c>
      <c r="G47" s="52" t="s">
        <v>29</v>
      </c>
      <c r="H47" s="54">
        <v>46137</v>
      </c>
      <c r="I47" s="53">
        <v>46133</v>
      </c>
      <c r="J47" s="52" t="s">
        <v>31</v>
      </c>
      <c r="K47" s="52" t="s">
        <v>146</v>
      </c>
      <c r="L47" s="52" t="s">
        <v>40</v>
      </c>
      <c r="M47" s="52" t="s">
        <v>30</v>
      </c>
      <c r="N47" s="56">
        <f t="shared" ca="1" si="0"/>
        <v>123</v>
      </c>
    </row>
    <row r="48" spans="1:14" x14ac:dyDescent="0.25">
      <c r="A48" s="52">
        <v>47</v>
      </c>
      <c r="B48" s="52">
        <v>642572</v>
      </c>
      <c r="C48" s="52" t="s">
        <v>147</v>
      </c>
      <c r="D48" s="55" t="s">
        <v>26</v>
      </c>
      <c r="E48" s="55" t="s">
        <v>27</v>
      </c>
      <c r="F48" s="55" t="s">
        <v>148</v>
      </c>
      <c r="G48" s="52" t="s">
        <v>29</v>
      </c>
      <c r="H48" s="54">
        <v>46137</v>
      </c>
      <c r="I48" s="53">
        <v>46133</v>
      </c>
      <c r="J48" s="52" t="s">
        <v>31</v>
      </c>
      <c r="K48" s="52" t="s">
        <v>146</v>
      </c>
      <c r="L48" s="52" t="s">
        <v>40</v>
      </c>
      <c r="M48" s="52" t="s">
        <v>30</v>
      </c>
      <c r="N48" s="56">
        <f t="shared" ca="1" si="0"/>
        <v>123</v>
      </c>
    </row>
    <row r="49" spans="1:14" x14ac:dyDescent="0.25">
      <c r="A49" s="52">
        <v>48</v>
      </c>
      <c r="B49" s="52">
        <v>642393</v>
      </c>
      <c r="C49" s="52" t="s">
        <v>149</v>
      </c>
      <c r="D49" s="55" t="s">
        <v>26</v>
      </c>
      <c r="E49" s="55" t="s">
        <v>27</v>
      </c>
      <c r="F49" s="55" t="s">
        <v>150</v>
      </c>
      <c r="G49" s="52" t="s">
        <v>29</v>
      </c>
      <c r="H49" s="54">
        <v>46135</v>
      </c>
      <c r="I49" s="53">
        <v>46130</v>
      </c>
      <c r="J49" s="52" t="s">
        <v>31</v>
      </c>
      <c r="K49" s="52" t="s">
        <v>151</v>
      </c>
      <c r="L49" s="52" t="s">
        <v>33</v>
      </c>
      <c r="M49" s="52" t="s">
        <v>34</v>
      </c>
      <c r="N49" s="56">
        <f t="shared" ca="1" si="0"/>
        <v>126</v>
      </c>
    </row>
    <row r="50" spans="1:14" x14ac:dyDescent="0.25">
      <c r="A50" s="52">
        <v>49</v>
      </c>
      <c r="B50" s="52">
        <v>507826</v>
      </c>
      <c r="C50" s="52" t="s">
        <v>152</v>
      </c>
      <c r="D50" s="55" t="s">
        <v>26</v>
      </c>
      <c r="E50" s="55" t="s">
        <v>153</v>
      </c>
      <c r="F50" s="55" t="s">
        <v>154</v>
      </c>
      <c r="G50" s="52" t="s">
        <v>76</v>
      </c>
      <c r="H50" s="54" t="s">
        <v>30</v>
      </c>
      <c r="I50" s="53">
        <v>45341</v>
      </c>
      <c r="J50" s="52" t="s">
        <v>30</v>
      </c>
      <c r="K50" s="52" t="s">
        <v>30</v>
      </c>
      <c r="L50" s="52" t="s">
        <v>155</v>
      </c>
      <c r="M50" s="52" t="s">
        <v>30</v>
      </c>
      <c r="N50" s="56">
        <f t="shared" ca="1" si="0"/>
        <v>915</v>
      </c>
    </row>
    <row r="51" spans="1:14" x14ac:dyDescent="0.25">
      <c r="A51" s="52">
        <v>50</v>
      </c>
      <c r="B51" s="52">
        <v>609771</v>
      </c>
      <c r="C51" s="52" t="s">
        <v>156</v>
      </c>
      <c r="D51" s="55" t="s">
        <v>26</v>
      </c>
      <c r="E51" s="55" t="s">
        <v>27</v>
      </c>
      <c r="F51" s="55" t="s">
        <v>157</v>
      </c>
      <c r="G51" s="52" t="s">
        <v>29</v>
      </c>
      <c r="H51" s="54">
        <v>46135</v>
      </c>
      <c r="I51" s="53">
        <v>46134</v>
      </c>
      <c r="J51" s="52" t="s">
        <v>31</v>
      </c>
      <c r="K51" s="52" t="s">
        <v>78</v>
      </c>
      <c r="L51" s="52" t="s">
        <v>40</v>
      </c>
      <c r="M51" s="52" t="s">
        <v>30</v>
      </c>
      <c r="N51" s="56">
        <f t="shared" ca="1" si="0"/>
        <v>122</v>
      </c>
    </row>
    <row r="52" spans="1:14" x14ac:dyDescent="0.25">
      <c r="A52" s="52">
        <v>51</v>
      </c>
      <c r="B52" s="52">
        <v>642450</v>
      </c>
      <c r="C52" s="52" t="s">
        <v>158</v>
      </c>
      <c r="D52" s="55" t="s">
        <v>26</v>
      </c>
      <c r="E52" s="55" t="s">
        <v>27</v>
      </c>
      <c r="F52" s="55" t="s">
        <v>159</v>
      </c>
      <c r="G52" s="52" t="s">
        <v>29</v>
      </c>
      <c r="H52" s="54">
        <v>46136</v>
      </c>
      <c r="I52" s="53">
        <v>46132</v>
      </c>
      <c r="J52" s="52" t="s">
        <v>31</v>
      </c>
      <c r="K52" s="52" t="s">
        <v>137</v>
      </c>
      <c r="L52" s="52" t="s">
        <v>40</v>
      </c>
      <c r="M52" s="52" t="s">
        <v>30</v>
      </c>
      <c r="N52" s="56">
        <f t="shared" ca="1" si="0"/>
        <v>124</v>
      </c>
    </row>
    <row r="53" spans="1:14" x14ac:dyDescent="0.25">
      <c r="A53" s="52">
        <v>52</v>
      </c>
      <c r="B53" s="52">
        <v>512121</v>
      </c>
      <c r="C53" s="52" t="s">
        <v>160</v>
      </c>
      <c r="D53" s="55" t="s">
        <v>26</v>
      </c>
      <c r="E53" s="55" t="s">
        <v>27</v>
      </c>
      <c r="F53" s="55" t="s">
        <v>161</v>
      </c>
      <c r="G53" s="52" t="s">
        <v>29</v>
      </c>
      <c r="H53" s="54">
        <v>46136</v>
      </c>
      <c r="I53" s="53">
        <v>46133</v>
      </c>
      <c r="J53" s="52" t="s">
        <v>31</v>
      </c>
      <c r="K53" s="52" t="s">
        <v>146</v>
      </c>
      <c r="L53" s="52" t="s">
        <v>40</v>
      </c>
      <c r="M53" s="52" t="s">
        <v>30</v>
      </c>
      <c r="N53" s="56">
        <f t="shared" ca="1" si="0"/>
        <v>123</v>
      </c>
    </row>
    <row r="54" spans="1:14" x14ac:dyDescent="0.25">
      <c r="A54" s="52">
        <v>53</v>
      </c>
      <c r="B54" s="52">
        <v>64243</v>
      </c>
      <c r="C54" s="52" t="s">
        <v>162</v>
      </c>
      <c r="D54" s="55" t="s">
        <v>163</v>
      </c>
      <c r="E54" s="55" t="s">
        <v>27</v>
      </c>
      <c r="F54" s="55" t="s">
        <v>164</v>
      </c>
      <c r="G54" s="52" t="s">
        <v>29</v>
      </c>
      <c r="H54" s="54">
        <v>46136</v>
      </c>
      <c r="I54" s="53">
        <v>46132</v>
      </c>
      <c r="J54" s="52" t="s">
        <v>64</v>
      </c>
      <c r="K54" s="52" t="s">
        <v>165</v>
      </c>
      <c r="L54" s="52" t="s">
        <v>66</v>
      </c>
      <c r="M54" s="52" t="s">
        <v>30</v>
      </c>
      <c r="N54" s="56">
        <f t="shared" ca="1" si="0"/>
        <v>124</v>
      </c>
    </row>
    <row r="55" spans="1:14" x14ac:dyDescent="0.25">
      <c r="A55" s="52">
        <v>54</v>
      </c>
      <c r="B55" s="52">
        <v>642449</v>
      </c>
      <c r="C55" s="52" t="s">
        <v>166</v>
      </c>
      <c r="D55" s="55" t="s">
        <v>26</v>
      </c>
      <c r="E55" s="55" t="s">
        <v>27</v>
      </c>
      <c r="F55" s="55" t="s">
        <v>167</v>
      </c>
      <c r="G55" s="52" t="s">
        <v>29</v>
      </c>
      <c r="H55" s="54">
        <v>46136</v>
      </c>
      <c r="I55" s="53">
        <v>46132</v>
      </c>
      <c r="J55" s="52" t="s">
        <v>31</v>
      </c>
      <c r="K55" s="52" t="s">
        <v>78</v>
      </c>
      <c r="L55" s="52" t="s">
        <v>40</v>
      </c>
      <c r="M55" s="52" t="s">
        <v>30</v>
      </c>
      <c r="N55" s="56">
        <f t="shared" ca="1" si="0"/>
        <v>124</v>
      </c>
    </row>
    <row r="56" spans="1:14" x14ac:dyDescent="0.25">
      <c r="A56" s="52">
        <v>55</v>
      </c>
      <c r="B56" s="52">
        <v>591961</v>
      </c>
      <c r="C56" s="52" t="s">
        <v>168</v>
      </c>
      <c r="D56" s="55" t="s">
        <v>26</v>
      </c>
      <c r="E56" s="55" t="s">
        <v>27</v>
      </c>
      <c r="F56" s="55" t="s">
        <v>169</v>
      </c>
      <c r="G56" s="52" t="s">
        <v>29</v>
      </c>
      <c r="H56" s="54">
        <v>46137</v>
      </c>
      <c r="I56" s="53">
        <v>46133</v>
      </c>
      <c r="J56" s="52" t="s">
        <v>31</v>
      </c>
      <c r="K56" s="52" t="s">
        <v>78</v>
      </c>
      <c r="L56" s="52" t="s">
        <v>40</v>
      </c>
      <c r="M56" s="52" t="s">
        <v>30</v>
      </c>
      <c r="N56" s="56">
        <f t="shared" ca="1" si="0"/>
        <v>123</v>
      </c>
    </row>
    <row r="57" spans="1:14" x14ac:dyDescent="0.25">
      <c r="A57" s="52">
        <v>56</v>
      </c>
      <c r="B57" s="52">
        <v>547622</v>
      </c>
      <c r="C57" s="52" t="s">
        <v>170</v>
      </c>
      <c r="D57" s="55" t="s">
        <v>26</v>
      </c>
      <c r="E57" s="55" t="s">
        <v>27</v>
      </c>
      <c r="F57" s="55" t="s">
        <v>171</v>
      </c>
      <c r="G57" s="52" t="s">
        <v>29</v>
      </c>
      <c r="H57" s="54">
        <v>46137</v>
      </c>
      <c r="I57" s="53">
        <v>46133</v>
      </c>
      <c r="J57" s="52" t="s">
        <v>31</v>
      </c>
      <c r="K57" s="52" t="s">
        <v>142</v>
      </c>
      <c r="L57" s="52" t="s">
        <v>66</v>
      </c>
      <c r="M57" s="52" t="s">
        <v>30</v>
      </c>
      <c r="N57" s="56">
        <f t="shared" ca="1" si="0"/>
        <v>123</v>
      </c>
    </row>
    <row r="58" spans="1:14" x14ac:dyDescent="0.25">
      <c r="A58" s="52">
        <v>57</v>
      </c>
      <c r="B58" s="52">
        <v>642505</v>
      </c>
      <c r="C58" s="52" t="s">
        <v>172</v>
      </c>
      <c r="D58" s="55" t="s">
        <v>26</v>
      </c>
      <c r="E58" s="55" t="s">
        <v>27</v>
      </c>
      <c r="F58" s="55" t="s">
        <v>173</v>
      </c>
      <c r="G58" s="52" t="s">
        <v>29</v>
      </c>
      <c r="H58" s="54">
        <v>46137</v>
      </c>
      <c r="I58" s="53">
        <v>46133</v>
      </c>
      <c r="J58" s="52" t="s">
        <v>31</v>
      </c>
      <c r="K58" s="52" t="s">
        <v>137</v>
      </c>
      <c r="L58" s="52" t="s">
        <v>40</v>
      </c>
      <c r="M58" s="52" t="s">
        <v>30</v>
      </c>
      <c r="N58" s="56">
        <f t="shared" ca="1" si="0"/>
        <v>123</v>
      </c>
    </row>
    <row r="59" spans="1:14" x14ac:dyDescent="0.25">
      <c r="A59" s="52">
        <v>58</v>
      </c>
      <c r="B59" s="52">
        <v>569489</v>
      </c>
      <c r="C59" s="52" t="s">
        <v>174</v>
      </c>
      <c r="D59" s="55" t="s">
        <v>26</v>
      </c>
      <c r="E59" s="55" t="s">
        <v>27</v>
      </c>
      <c r="F59" s="55" t="s">
        <v>175</v>
      </c>
      <c r="G59" s="52" t="s">
        <v>29</v>
      </c>
      <c r="H59" s="54">
        <v>46135</v>
      </c>
      <c r="I59" s="53">
        <v>46131</v>
      </c>
      <c r="J59" s="52" t="s">
        <v>30</v>
      </c>
      <c r="K59" s="52" t="s">
        <v>30</v>
      </c>
      <c r="L59" s="52" t="s">
        <v>176</v>
      </c>
      <c r="M59" s="52" t="s">
        <v>30</v>
      </c>
      <c r="N59" s="56">
        <f t="shared" ref="N59:N122" ca="1" si="1">IFERROR(TODAY()-I59,"-")</f>
        <v>125</v>
      </c>
    </row>
    <row r="60" spans="1:14" x14ac:dyDescent="0.25">
      <c r="A60" s="52">
        <v>59</v>
      </c>
      <c r="B60" s="52">
        <v>608263</v>
      </c>
      <c r="C60" s="52" t="s">
        <v>177</v>
      </c>
      <c r="D60" s="55" t="s">
        <v>26</v>
      </c>
      <c r="E60" s="55" t="s">
        <v>27</v>
      </c>
      <c r="F60" s="55" t="s">
        <v>178</v>
      </c>
      <c r="G60" s="52" t="s">
        <v>76</v>
      </c>
      <c r="H60" s="54" t="s">
        <v>30</v>
      </c>
      <c r="I60" s="53">
        <v>46056</v>
      </c>
      <c r="J60" s="52" t="s">
        <v>31</v>
      </c>
      <c r="K60" s="52" t="s">
        <v>78</v>
      </c>
      <c r="L60" s="52" t="s">
        <v>40</v>
      </c>
      <c r="M60" s="52" t="s">
        <v>30</v>
      </c>
      <c r="N60" s="56">
        <f t="shared" ca="1" si="1"/>
        <v>200</v>
      </c>
    </row>
    <row r="61" spans="1:14" x14ac:dyDescent="0.25">
      <c r="A61" s="52">
        <v>60</v>
      </c>
      <c r="B61" s="52">
        <v>540156</v>
      </c>
      <c r="C61" s="52" t="s">
        <v>179</v>
      </c>
      <c r="D61" s="55" t="s">
        <v>26</v>
      </c>
      <c r="E61" s="55" t="s">
        <v>27</v>
      </c>
      <c r="F61" s="55" t="s">
        <v>180</v>
      </c>
      <c r="G61" s="52" t="s">
        <v>76</v>
      </c>
      <c r="H61" s="54" t="s">
        <v>30</v>
      </c>
      <c r="I61" s="53">
        <v>45803</v>
      </c>
      <c r="J61" s="52" t="s">
        <v>30</v>
      </c>
      <c r="K61" s="52" t="s">
        <v>91</v>
      </c>
      <c r="L61" s="52" t="s">
        <v>40</v>
      </c>
      <c r="M61" s="52" t="s">
        <v>30</v>
      </c>
      <c r="N61" s="56">
        <f t="shared" ca="1" si="1"/>
        <v>453</v>
      </c>
    </row>
    <row r="62" spans="1:14" x14ac:dyDescent="0.25">
      <c r="A62" s="52">
        <v>61</v>
      </c>
      <c r="B62" s="52">
        <v>498568</v>
      </c>
      <c r="C62" s="52" t="s">
        <v>181</v>
      </c>
      <c r="D62" s="55" t="s">
        <v>26</v>
      </c>
      <c r="E62" s="55" t="s">
        <v>129</v>
      </c>
      <c r="F62" s="55" t="s">
        <v>182</v>
      </c>
      <c r="G62" s="52" t="s">
        <v>76</v>
      </c>
      <c r="H62" s="54" t="s">
        <v>30</v>
      </c>
      <c r="I62" s="53">
        <v>45429</v>
      </c>
      <c r="J62" s="52" t="s">
        <v>31</v>
      </c>
      <c r="K62" s="52" t="s">
        <v>78</v>
      </c>
      <c r="L62" s="52" t="s">
        <v>40</v>
      </c>
      <c r="M62" s="52" t="s">
        <v>30</v>
      </c>
      <c r="N62" s="56">
        <f t="shared" ca="1" si="1"/>
        <v>827</v>
      </c>
    </row>
    <row r="63" spans="1:14" x14ac:dyDescent="0.25">
      <c r="A63" s="52">
        <v>62</v>
      </c>
      <c r="B63" s="52">
        <v>633520</v>
      </c>
      <c r="C63" s="52" t="s">
        <v>183</v>
      </c>
      <c r="D63" s="55" t="s">
        <v>26</v>
      </c>
      <c r="E63" s="55" t="s">
        <v>27</v>
      </c>
      <c r="F63" s="55" t="s">
        <v>184</v>
      </c>
      <c r="G63" s="52" t="s">
        <v>76</v>
      </c>
      <c r="H63" s="54" t="s">
        <v>30</v>
      </c>
      <c r="I63" s="53">
        <v>45795</v>
      </c>
      <c r="J63" s="52" t="s">
        <v>31</v>
      </c>
      <c r="K63" s="52" t="s">
        <v>78</v>
      </c>
      <c r="L63" s="52" t="s">
        <v>40</v>
      </c>
      <c r="M63" s="52" t="s">
        <v>30</v>
      </c>
      <c r="N63" s="56">
        <f t="shared" ca="1" si="1"/>
        <v>461</v>
      </c>
    </row>
    <row r="64" spans="1:14" x14ac:dyDescent="0.25">
      <c r="A64" s="52">
        <v>63</v>
      </c>
      <c r="B64" s="52">
        <v>633916</v>
      </c>
      <c r="C64" s="52" t="s">
        <v>185</v>
      </c>
      <c r="D64" s="55" t="s">
        <v>26</v>
      </c>
      <c r="E64" s="55" t="s">
        <v>27</v>
      </c>
      <c r="F64" s="55" t="s">
        <v>186</v>
      </c>
      <c r="G64" s="52" t="s">
        <v>76</v>
      </c>
      <c r="H64" s="54" t="s">
        <v>30</v>
      </c>
      <c r="I64" s="53">
        <v>46094</v>
      </c>
      <c r="J64" s="52" t="s">
        <v>77</v>
      </c>
      <c r="K64" s="52" t="s">
        <v>78</v>
      </c>
      <c r="L64" s="52" t="s">
        <v>40</v>
      </c>
      <c r="M64" s="52" t="s">
        <v>30</v>
      </c>
      <c r="N64" s="56">
        <f t="shared" ca="1" si="1"/>
        <v>162</v>
      </c>
    </row>
    <row r="65" spans="1:14" x14ac:dyDescent="0.25">
      <c r="A65" s="52">
        <v>64</v>
      </c>
      <c r="B65" s="52">
        <v>436944</v>
      </c>
      <c r="C65" s="52" t="s">
        <v>187</v>
      </c>
      <c r="D65" s="55" t="s">
        <v>26</v>
      </c>
      <c r="E65" s="55" t="s">
        <v>27</v>
      </c>
      <c r="F65" s="55" t="s">
        <v>188</v>
      </c>
      <c r="G65" s="52" t="s">
        <v>76</v>
      </c>
      <c r="H65" s="54" t="s">
        <v>30</v>
      </c>
      <c r="I65" s="53">
        <v>45787</v>
      </c>
      <c r="J65" s="52" t="s">
        <v>31</v>
      </c>
      <c r="K65" s="52" t="s">
        <v>78</v>
      </c>
      <c r="L65" s="52" t="s">
        <v>40</v>
      </c>
      <c r="M65" s="52" t="s">
        <v>30</v>
      </c>
      <c r="N65" s="56">
        <f t="shared" ca="1" si="1"/>
        <v>469</v>
      </c>
    </row>
    <row r="66" spans="1:14" x14ac:dyDescent="0.25">
      <c r="A66" s="52">
        <v>65</v>
      </c>
      <c r="B66" s="52">
        <v>463622</v>
      </c>
      <c r="C66" s="52" t="s">
        <v>189</v>
      </c>
      <c r="D66" s="55" t="s">
        <v>26</v>
      </c>
      <c r="E66" s="55" t="s">
        <v>27</v>
      </c>
      <c r="F66" s="55" t="s">
        <v>190</v>
      </c>
      <c r="G66" s="52" t="s">
        <v>76</v>
      </c>
      <c r="H66" s="54" t="s">
        <v>30</v>
      </c>
      <c r="I66" s="53">
        <v>45795</v>
      </c>
      <c r="J66" s="52" t="s">
        <v>31</v>
      </c>
      <c r="K66" s="52" t="s">
        <v>78</v>
      </c>
      <c r="L66" s="52" t="s">
        <v>40</v>
      </c>
      <c r="M66" s="52" t="s">
        <v>30</v>
      </c>
      <c r="N66" s="56">
        <f t="shared" ca="1" si="1"/>
        <v>461</v>
      </c>
    </row>
    <row r="67" spans="1:14" x14ac:dyDescent="0.25">
      <c r="A67" s="52">
        <v>66</v>
      </c>
      <c r="B67" s="52">
        <v>633695</v>
      </c>
      <c r="C67" s="52" t="s">
        <v>191</v>
      </c>
      <c r="D67" s="55" t="s">
        <v>26</v>
      </c>
      <c r="E67" s="55" t="s">
        <v>27</v>
      </c>
      <c r="F67" s="55" t="s">
        <v>192</v>
      </c>
      <c r="G67" s="52" t="s">
        <v>76</v>
      </c>
      <c r="H67" s="54" t="s">
        <v>30</v>
      </c>
      <c r="I67" s="53">
        <v>45804</v>
      </c>
      <c r="J67" s="52" t="s">
        <v>64</v>
      </c>
      <c r="K67" s="52" t="s">
        <v>193</v>
      </c>
      <c r="L67" s="52" t="s">
        <v>66</v>
      </c>
      <c r="M67" s="52" t="s">
        <v>30</v>
      </c>
      <c r="N67" s="56">
        <f t="shared" ca="1" si="1"/>
        <v>452</v>
      </c>
    </row>
    <row r="68" spans="1:14" x14ac:dyDescent="0.25">
      <c r="A68" s="52">
        <v>67</v>
      </c>
      <c r="B68" s="52">
        <v>642726</v>
      </c>
      <c r="C68" s="52" t="s">
        <v>194</v>
      </c>
      <c r="D68" s="55" t="s">
        <v>26</v>
      </c>
      <c r="E68" s="55" t="s">
        <v>27</v>
      </c>
      <c r="F68" s="55" t="s">
        <v>195</v>
      </c>
      <c r="G68" s="52" t="s">
        <v>29</v>
      </c>
      <c r="H68" s="54">
        <v>46139</v>
      </c>
      <c r="I68" s="53">
        <v>46136</v>
      </c>
      <c r="J68" s="52" t="s">
        <v>77</v>
      </c>
      <c r="K68" s="52" t="s">
        <v>78</v>
      </c>
      <c r="L68" s="52" t="s">
        <v>40</v>
      </c>
      <c r="M68" s="52" t="s">
        <v>30</v>
      </c>
      <c r="N68" s="56">
        <f t="shared" ca="1" si="1"/>
        <v>120</v>
      </c>
    </row>
    <row r="69" spans="1:14" x14ac:dyDescent="0.25">
      <c r="A69" s="52">
        <v>68</v>
      </c>
      <c r="B69" s="52">
        <v>466509</v>
      </c>
      <c r="C69" s="52" t="s">
        <v>196</v>
      </c>
      <c r="D69" s="55" t="s">
        <v>26</v>
      </c>
      <c r="E69" s="55" t="s">
        <v>27</v>
      </c>
      <c r="F69" s="55" t="s">
        <v>197</v>
      </c>
      <c r="G69" s="52" t="s">
        <v>76</v>
      </c>
      <c r="H69" s="54" t="s">
        <v>30</v>
      </c>
      <c r="I69" s="53">
        <v>45799</v>
      </c>
      <c r="J69" s="52" t="s">
        <v>31</v>
      </c>
      <c r="K69" s="52" t="s">
        <v>78</v>
      </c>
      <c r="L69" s="52" t="s">
        <v>40</v>
      </c>
      <c r="M69" s="52" t="s">
        <v>30</v>
      </c>
      <c r="N69" s="56">
        <f t="shared" ca="1" si="1"/>
        <v>457</v>
      </c>
    </row>
    <row r="70" spans="1:14" x14ac:dyDescent="0.25">
      <c r="A70" s="52">
        <v>69</v>
      </c>
      <c r="B70" s="52">
        <v>409777</v>
      </c>
      <c r="C70" s="52" t="s">
        <v>198</v>
      </c>
      <c r="D70" s="55" t="s">
        <v>26</v>
      </c>
      <c r="E70" s="55" t="s">
        <v>27</v>
      </c>
      <c r="F70" s="55" t="s">
        <v>199</v>
      </c>
      <c r="G70" s="52" t="s">
        <v>76</v>
      </c>
      <c r="H70" s="54" t="s">
        <v>30</v>
      </c>
      <c r="I70" s="53">
        <v>45803</v>
      </c>
      <c r="J70" s="52" t="s">
        <v>30</v>
      </c>
      <c r="K70" s="52" t="s">
        <v>91</v>
      </c>
      <c r="L70" s="52" t="s">
        <v>40</v>
      </c>
      <c r="M70" s="52" t="s">
        <v>30</v>
      </c>
      <c r="N70" s="56">
        <f t="shared" ca="1" si="1"/>
        <v>453</v>
      </c>
    </row>
    <row r="71" spans="1:14" x14ac:dyDescent="0.25">
      <c r="A71" s="52">
        <v>70</v>
      </c>
      <c r="B71" s="52">
        <v>642729</v>
      </c>
      <c r="C71" s="52" t="s">
        <v>200</v>
      </c>
      <c r="D71" s="55" t="s">
        <v>26</v>
      </c>
      <c r="E71" s="55" t="s">
        <v>27</v>
      </c>
      <c r="F71" s="55" t="s">
        <v>201</v>
      </c>
      <c r="G71" s="52" t="s">
        <v>29</v>
      </c>
      <c r="H71" s="54">
        <v>46139</v>
      </c>
      <c r="I71" s="53">
        <v>46136</v>
      </c>
      <c r="J71" s="52" t="s">
        <v>202</v>
      </c>
      <c r="K71" s="52" t="s">
        <v>203</v>
      </c>
      <c r="L71" s="52" t="s">
        <v>66</v>
      </c>
      <c r="M71" s="52" t="s">
        <v>204</v>
      </c>
      <c r="N71" s="56">
        <f t="shared" ca="1" si="1"/>
        <v>120</v>
      </c>
    </row>
    <row r="72" spans="1:14" x14ac:dyDescent="0.25">
      <c r="A72" s="52">
        <v>71</v>
      </c>
      <c r="B72" s="52">
        <v>527728</v>
      </c>
      <c r="C72" s="52" t="s">
        <v>205</v>
      </c>
      <c r="D72" s="55" t="s">
        <v>26</v>
      </c>
      <c r="E72" s="55" t="s">
        <v>27</v>
      </c>
      <c r="F72" s="55" t="s">
        <v>206</v>
      </c>
      <c r="G72" s="52" t="s">
        <v>76</v>
      </c>
      <c r="H72" s="54" t="s">
        <v>30</v>
      </c>
      <c r="I72" s="53">
        <v>45791</v>
      </c>
      <c r="J72" s="52" t="s">
        <v>31</v>
      </c>
      <c r="K72" s="52" t="s">
        <v>78</v>
      </c>
      <c r="L72" s="52" t="s">
        <v>40</v>
      </c>
      <c r="M72" s="52" t="s">
        <v>30</v>
      </c>
      <c r="N72" s="56">
        <f t="shared" ca="1" si="1"/>
        <v>465</v>
      </c>
    </row>
    <row r="73" spans="1:14" x14ac:dyDescent="0.25">
      <c r="A73" s="52">
        <v>72</v>
      </c>
      <c r="B73" s="52">
        <v>601460</v>
      </c>
      <c r="C73" s="52" t="s">
        <v>207</v>
      </c>
      <c r="D73" s="55" t="s">
        <v>26</v>
      </c>
      <c r="E73" s="55" t="s">
        <v>27</v>
      </c>
      <c r="F73" s="55" t="s">
        <v>208</v>
      </c>
      <c r="G73" s="52" t="s">
        <v>29</v>
      </c>
      <c r="H73" s="54">
        <v>46122</v>
      </c>
      <c r="I73" s="53">
        <v>46119</v>
      </c>
      <c r="J73" s="52" t="s">
        <v>30</v>
      </c>
      <c r="K73" s="52" t="s">
        <v>32</v>
      </c>
      <c r="L73" s="52" t="s">
        <v>33</v>
      </c>
      <c r="M73" s="52" t="s">
        <v>34</v>
      </c>
      <c r="N73" s="56">
        <f t="shared" ca="1" si="1"/>
        <v>137</v>
      </c>
    </row>
    <row r="74" spans="1:14" x14ac:dyDescent="0.25">
      <c r="A74" s="52">
        <v>73</v>
      </c>
      <c r="B74" s="52">
        <v>642811</v>
      </c>
      <c r="C74" s="52" t="s">
        <v>209</v>
      </c>
      <c r="D74" s="55" t="s">
        <v>26</v>
      </c>
      <c r="E74" s="55" t="s">
        <v>27</v>
      </c>
      <c r="F74" s="55" t="s">
        <v>210</v>
      </c>
      <c r="G74" s="52" t="s">
        <v>29</v>
      </c>
      <c r="H74" s="54">
        <v>46141</v>
      </c>
      <c r="I74" s="53">
        <v>46138</v>
      </c>
      <c r="J74" s="52" t="s">
        <v>77</v>
      </c>
      <c r="K74" s="52" t="s">
        <v>211</v>
      </c>
      <c r="L74" s="52" t="s">
        <v>33</v>
      </c>
      <c r="M74" s="52" t="s">
        <v>143</v>
      </c>
      <c r="N74" s="56">
        <f t="shared" ca="1" si="1"/>
        <v>118</v>
      </c>
    </row>
    <row r="75" spans="1:14" x14ac:dyDescent="0.25">
      <c r="A75" s="52">
        <v>74</v>
      </c>
      <c r="B75" s="52">
        <v>642810</v>
      </c>
      <c r="C75" s="52" t="s">
        <v>212</v>
      </c>
      <c r="D75" s="55" t="s">
        <v>26</v>
      </c>
      <c r="E75" s="55" t="s">
        <v>27</v>
      </c>
      <c r="F75" s="55" t="s">
        <v>213</v>
      </c>
      <c r="G75" s="52" t="s">
        <v>29</v>
      </c>
      <c r="H75" s="54">
        <v>46141</v>
      </c>
      <c r="I75" s="53">
        <v>46138</v>
      </c>
      <c r="J75" s="52" t="s">
        <v>77</v>
      </c>
      <c r="K75" s="52" t="s">
        <v>78</v>
      </c>
      <c r="L75" s="52" t="s">
        <v>40</v>
      </c>
      <c r="M75" s="52" t="s">
        <v>30</v>
      </c>
      <c r="N75" s="56">
        <f t="shared" ca="1" si="1"/>
        <v>118</v>
      </c>
    </row>
    <row r="76" spans="1:14" x14ac:dyDescent="0.25">
      <c r="A76" s="52">
        <v>75</v>
      </c>
      <c r="B76" s="52">
        <v>574516</v>
      </c>
      <c r="C76" s="52" t="s">
        <v>214</v>
      </c>
      <c r="D76" s="55" t="s">
        <v>26</v>
      </c>
      <c r="E76" s="55" t="s">
        <v>27</v>
      </c>
      <c r="F76" s="55" t="s">
        <v>215</v>
      </c>
      <c r="G76" s="52" t="s">
        <v>76</v>
      </c>
      <c r="H76" s="54" t="s">
        <v>30</v>
      </c>
      <c r="I76" s="53">
        <v>45778</v>
      </c>
      <c r="J76" s="52" t="s">
        <v>77</v>
      </c>
      <c r="K76" s="52" t="s">
        <v>78</v>
      </c>
      <c r="L76" s="52" t="s">
        <v>40</v>
      </c>
      <c r="M76" s="52" t="s">
        <v>30</v>
      </c>
      <c r="N76" s="56">
        <f t="shared" ca="1" si="1"/>
        <v>478</v>
      </c>
    </row>
    <row r="77" spans="1:14" x14ac:dyDescent="0.25">
      <c r="A77" s="52">
        <v>76</v>
      </c>
      <c r="B77" s="52">
        <v>370783</v>
      </c>
      <c r="C77" s="52" t="s">
        <v>216</v>
      </c>
      <c r="D77" s="55" t="s">
        <v>26</v>
      </c>
      <c r="E77" s="55" t="s">
        <v>27</v>
      </c>
      <c r="F77" s="55" t="s">
        <v>217</v>
      </c>
      <c r="G77" s="52" t="s">
        <v>76</v>
      </c>
      <c r="H77" s="54" t="s">
        <v>30</v>
      </c>
      <c r="I77" s="53">
        <v>46073</v>
      </c>
      <c r="J77" s="52" t="s">
        <v>30</v>
      </c>
      <c r="K77" s="52" t="s">
        <v>78</v>
      </c>
      <c r="L77" s="52" t="s">
        <v>40</v>
      </c>
      <c r="M77" s="52" t="s">
        <v>30</v>
      </c>
      <c r="N77" s="56">
        <f t="shared" ca="1" si="1"/>
        <v>183</v>
      </c>
    </row>
    <row r="78" spans="1:14" x14ac:dyDescent="0.25">
      <c r="A78" s="52">
        <v>77</v>
      </c>
      <c r="B78" s="52">
        <v>611398</v>
      </c>
      <c r="C78" s="52" t="s">
        <v>218</v>
      </c>
      <c r="D78" s="55" t="s">
        <v>26</v>
      </c>
      <c r="E78" s="55" t="s">
        <v>27</v>
      </c>
      <c r="F78" s="55" t="s">
        <v>219</v>
      </c>
      <c r="G78" s="52" t="s">
        <v>29</v>
      </c>
      <c r="H78" s="54">
        <v>46141</v>
      </c>
      <c r="I78" s="53">
        <v>46138</v>
      </c>
      <c r="J78" s="52" t="s">
        <v>77</v>
      </c>
      <c r="K78" s="52" t="s">
        <v>78</v>
      </c>
      <c r="L78" s="52" t="s">
        <v>40</v>
      </c>
      <c r="M78" s="52" t="s">
        <v>30</v>
      </c>
      <c r="N78" s="56">
        <f t="shared" ca="1" si="1"/>
        <v>118</v>
      </c>
    </row>
    <row r="79" spans="1:14" x14ac:dyDescent="0.25">
      <c r="A79" s="52">
        <v>78</v>
      </c>
      <c r="B79" s="52">
        <v>578661</v>
      </c>
      <c r="C79" s="52" t="s">
        <v>220</v>
      </c>
      <c r="D79" s="55" t="s">
        <v>26</v>
      </c>
      <c r="E79" s="55" t="s">
        <v>27</v>
      </c>
      <c r="F79" s="55" t="s">
        <v>221</v>
      </c>
      <c r="G79" s="52" t="s">
        <v>29</v>
      </c>
      <c r="H79" s="54">
        <v>46141</v>
      </c>
      <c r="I79" s="53">
        <v>46138</v>
      </c>
      <c r="J79" s="52" t="s">
        <v>77</v>
      </c>
      <c r="K79" s="52" t="s">
        <v>78</v>
      </c>
      <c r="L79" s="52" t="s">
        <v>40</v>
      </c>
      <c r="M79" s="52" t="s">
        <v>30</v>
      </c>
      <c r="N79" s="56">
        <f t="shared" ca="1" si="1"/>
        <v>118</v>
      </c>
    </row>
    <row r="80" spans="1:14" x14ac:dyDescent="0.25">
      <c r="A80" s="52">
        <v>79</v>
      </c>
      <c r="B80" s="52">
        <v>557132</v>
      </c>
      <c r="C80" s="52" t="s">
        <v>222</v>
      </c>
      <c r="D80" s="55" t="s">
        <v>26</v>
      </c>
      <c r="E80" s="55" t="s">
        <v>129</v>
      </c>
      <c r="F80" s="55" t="s">
        <v>223</v>
      </c>
      <c r="G80" s="52" t="s">
        <v>76</v>
      </c>
      <c r="H80" s="54" t="s">
        <v>30</v>
      </c>
      <c r="I80" s="53">
        <v>45441</v>
      </c>
      <c r="J80" s="52" t="s">
        <v>77</v>
      </c>
      <c r="K80" s="52" t="s">
        <v>224</v>
      </c>
      <c r="L80" s="52" t="s">
        <v>40</v>
      </c>
      <c r="M80" s="52" t="s">
        <v>30</v>
      </c>
      <c r="N80" s="56">
        <f t="shared" ca="1" si="1"/>
        <v>815</v>
      </c>
    </row>
    <row r="81" spans="1:14" x14ac:dyDescent="0.25">
      <c r="A81" s="52">
        <v>80</v>
      </c>
      <c r="B81" s="52">
        <v>623248</v>
      </c>
      <c r="C81" s="52" t="s">
        <v>225</v>
      </c>
      <c r="D81" s="55" t="s">
        <v>26</v>
      </c>
      <c r="E81" s="55" t="s">
        <v>27</v>
      </c>
      <c r="F81" s="55" t="s">
        <v>226</v>
      </c>
      <c r="G81" s="52" t="s">
        <v>76</v>
      </c>
      <c r="H81" s="54" t="s">
        <v>30</v>
      </c>
      <c r="I81" s="53">
        <v>45897</v>
      </c>
      <c r="J81" s="52" t="s">
        <v>77</v>
      </c>
      <c r="K81" s="52" t="s">
        <v>30</v>
      </c>
      <c r="L81" s="52" t="s">
        <v>227</v>
      </c>
      <c r="M81" s="52" t="s">
        <v>228</v>
      </c>
      <c r="N81" s="56">
        <f t="shared" ca="1" si="1"/>
        <v>359</v>
      </c>
    </row>
    <row r="82" spans="1:14" x14ac:dyDescent="0.25">
      <c r="A82" s="52">
        <v>81</v>
      </c>
      <c r="B82" s="52">
        <v>602380</v>
      </c>
      <c r="C82" s="52" t="s">
        <v>229</v>
      </c>
      <c r="D82" s="55" t="s">
        <v>26</v>
      </c>
      <c r="E82" s="55" t="s">
        <v>27</v>
      </c>
      <c r="F82" s="55" t="s">
        <v>230</v>
      </c>
      <c r="G82" s="52" t="s">
        <v>29</v>
      </c>
      <c r="H82" s="54">
        <v>46142</v>
      </c>
      <c r="I82" s="53">
        <v>46139</v>
      </c>
      <c r="J82" s="52" t="s">
        <v>77</v>
      </c>
      <c r="K82" s="52" t="s">
        <v>78</v>
      </c>
      <c r="L82" s="52" t="s">
        <v>40</v>
      </c>
      <c r="M82" s="52" t="s">
        <v>30</v>
      </c>
      <c r="N82" s="56">
        <f t="shared" ca="1" si="1"/>
        <v>117</v>
      </c>
    </row>
    <row r="83" spans="1:14" x14ac:dyDescent="0.25">
      <c r="A83" s="52">
        <v>82</v>
      </c>
      <c r="B83" s="52">
        <v>630748</v>
      </c>
      <c r="C83" s="52" t="s">
        <v>231</v>
      </c>
      <c r="D83" s="55" t="s">
        <v>26</v>
      </c>
      <c r="E83" s="55" t="s">
        <v>27</v>
      </c>
      <c r="F83" s="55" t="s">
        <v>232</v>
      </c>
      <c r="G83" s="52" t="s">
        <v>29</v>
      </c>
      <c r="H83" s="54">
        <v>46142</v>
      </c>
      <c r="I83" s="53">
        <v>46139</v>
      </c>
      <c r="J83" s="52" t="s">
        <v>77</v>
      </c>
      <c r="K83" s="52" t="s">
        <v>233</v>
      </c>
      <c r="L83" s="52" t="s">
        <v>155</v>
      </c>
      <c r="M83" s="52" t="s">
        <v>234</v>
      </c>
      <c r="N83" s="56">
        <f t="shared" ca="1" si="1"/>
        <v>117</v>
      </c>
    </row>
    <row r="84" spans="1:14" x14ac:dyDescent="0.25">
      <c r="A84" s="52">
        <v>83</v>
      </c>
      <c r="B84" s="52">
        <v>567878</v>
      </c>
      <c r="C84" s="52" t="s">
        <v>235</v>
      </c>
      <c r="D84" s="55" t="s">
        <v>26</v>
      </c>
      <c r="E84" s="55" t="s">
        <v>27</v>
      </c>
      <c r="F84" s="55" t="s">
        <v>236</v>
      </c>
      <c r="G84" s="52" t="s">
        <v>29</v>
      </c>
      <c r="H84" s="54">
        <v>46142</v>
      </c>
      <c r="I84" s="53">
        <v>46139</v>
      </c>
      <c r="J84" s="52" t="s">
        <v>77</v>
      </c>
      <c r="K84" s="52" t="s">
        <v>78</v>
      </c>
      <c r="L84" s="52" t="s">
        <v>40</v>
      </c>
      <c r="M84" s="52" t="s">
        <v>30</v>
      </c>
      <c r="N84" s="56">
        <f t="shared" ca="1" si="1"/>
        <v>117</v>
      </c>
    </row>
    <row r="85" spans="1:14" x14ac:dyDescent="0.25">
      <c r="A85" s="52">
        <v>84</v>
      </c>
      <c r="B85" s="52">
        <v>577375</v>
      </c>
      <c r="C85" s="52" t="s">
        <v>237</v>
      </c>
      <c r="D85" s="55" t="s">
        <v>26</v>
      </c>
      <c r="E85" s="55" t="s">
        <v>27</v>
      </c>
      <c r="F85" s="55" t="s">
        <v>238</v>
      </c>
      <c r="G85" s="52" t="s">
        <v>29</v>
      </c>
      <c r="H85" s="54">
        <v>46142</v>
      </c>
      <c r="I85" s="53">
        <v>46139</v>
      </c>
      <c r="J85" s="52" t="s">
        <v>77</v>
      </c>
      <c r="K85" s="52" t="s">
        <v>78</v>
      </c>
      <c r="L85" s="52" t="s">
        <v>40</v>
      </c>
      <c r="M85" s="52" t="s">
        <v>30</v>
      </c>
      <c r="N85" s="56">
        <f t="shared" ca="1" si="1"/>
        <v>117</v>
      </c>
    </row>
    <row r="86" spans="1:14" x14ac:dyDescent="0.25">
      <c r="A86" s="52">
        <v>85</v>
      </c>
      <c r="B86" s="52">
        <v>612852</v>
      </c>
      <c r="C86" s="52" t="s">
        <v>239</v>
      </c>
      <c r="D86" s="55" t="s">
        <v>26</v>
      </c>
      <c r="E86" s="55" t="s">
        <v>27</v>
      </c>
      <c r="F86" s="55" t="s">
        <v>240</v>
      </c>
      <c r="G86" s="52" t="s">
        <v>29</v>
      </c>
      <c r="H86" s="54">
        <v>46142</v>
      </c>
      <c r="I86" s="53">
        <v>46139</v>
      </c>
      <c r="J86" s="52" t="s">
        <v>77</v>
      </c>
      <c r="K86" s="52" t="s">
        <v>241</v>
      </c>
      <c r="L86" s="52" t="s">
        <v>33</v>
      </c>
      <c r="M86" s="52" t="s">
        <v>143</v>
      </c>
      <c r="N86" s="56">
        <f t="shared" ca="1" si="1"/>
        <v>117</v>
      </c>
    </row>
    <row r="87" spans="1:14" x14ac:dyDescent="0.25">
      <c r="A87" s="52">
        <v>86</v>
      </c>
      <c r="B87" s="52">
        <v>643273</v>
      </c>
      <c r="C87" s="52" t="s">
        <v>242</v>
      </c>
      <c r="D87" s="55" t="s">
        <v>63</v>
      </c>
      <c r="E87" s="55" t="s">
        <v>27</v>
      </c>
      <c r="F87" s="55">
        <v>401963758</v>
      </c>
      <c r="G87" s="52" t="s">
        <v>29</v>
      </c>
      <c r="H87" s="54" t="s">
        <v>243</v>
      </c>
      <c r="I87" s="53">
        <v>46139</v>
      </c>
      <c r="J87" s="52" t="s">
        <v>77</v>
      </c>
      <c r="K87" s="52" t="s">
        <v>211</v>
      </c>
      <c r="L87" s="52" t="s">
        <v>227</v>
      </c>
      <c r="M87" s="52" t="s">
        <v>244</v>
      </c>
      <c r="N87" s="56">
        <f t="shared" ca="1" si="1"/>
        <v>117</v>
      </c>
    </row>
    <row r="88" spans="1:14" x14ac:dyDescent="0.25">
      <c r="A88" s="52">
        <v>87</v>
      </c>
      <c r="B88" s="52">
        <v>642868</v>
      </c>
      <c r="C88" s="52" t="s">
        <v>245</v>
      </c>
      <c r="D88" s="55" t="s">
        <v>63</v>
      </c>
      <c r="E88" s="55" t="s">
        <v>27</v>
      </c>
      <c r="F88" s="55">
        <v>406514205</v>
      </c>
      <c r="G88" s="52" t="s">
        <v>29</v>
      </c>
      <c r="H88" s="54">
        <v>46142</v>
      </c>
      <c r="I88" s="53">
        <v>46139</v>
      </c>
      <c r="J88" s="52" t="s">
        <v>77</v>
      </c>
      <c r="K88" s="52" t="s">
        <v>246</v>
      </c>
      <c r="L88" s="52" t="s">
        <v>40</v>
      </c>
      <c r="M88" s="52" t="s">
        <v>30</v>
      </c>
      <c r="N88" s="56">
        <f t="shared" ca="1" si="1"/>
        <v>117</v>
      </c>
    </row>
    <row r="89" spans="1:14" x14ac:dyDescent="0.25">
      <c r="A89" s="52">
        <v>88</v>
      </c>
      <c r="B89" s="52">
        <v>631831</v>
      </c>
      <c r="C89" s="52" t="s">
        <v>247</v>
      </c>
      <c r="D89" s="55" t="s">
        <v>26</v>
      </c>
      <c r="E89" s="55" t="s">
        <v>27</v>
      </c>
      <c r="F89" s="55" t="s">
        <v>248</v>
      </c>
      <c r="G89" s="52" t="s">
        <v>29</v>
      </c>
      <c r="H89" s="54">
        <v>46142</v>
      </c>
      <c r="I89" s="53">
        <v>46138</v>
      </c>
      <c r="J89" s="52" t="s">
        <v>30</v>
      </c>
      <c r="K89" s="52" t="s">
        <v>30</v>
      </c>
      <c r="L89" s="52" t="s">
        <v>33</v>
      </c>
      <c r="M89" s="52" t="s">
        <v>108</v>
      </c>
      <c r="N89" s="56">
        <f t="shared" ca="1" si="1"/>
        <v>118</v>
      </c>
    </row>
    <row r="90" spans="1:14" x14ac:dyDescent="0.25">
      <c r="A90" s="52">
        <v>89</v>
      </c>
      <c r="B90" s="52">
        <v>642881</v>
      </c>
      <c r="C90" s="52" t="s">
        <v>249</v>
      </c>
      <c r="D90" s="55" t="s">
        <v>26</v>
      </c>
      <c r="E90" s="55" t="s">
        <v>27</v>
      </c>
      <c r="F90" s="55" t="s">
        <v>250</v>
      </c>
      <c r="G90" s="52" t="s">
        <v>29</v>
      </c>
      <c r="H90" s="54">
        <v>46143</v>
      </c>
      <c r="I90" s="53">
        <v>46139</v>
      </c>
      <c r="J90" s="52" t="s">
        <v>77</v>
      </c>
      <c r="K90" s="52" t="s">
        <v>78</v>
      </c>
      <c r="L90" s="52" t="s">
        <v>40</v>
      </c>
      <c r="M90" s="52" t="s">
        <v>30</v>
      </c>
      <c r="N90" s="56">
        <f t="shared" ca="1" si="1"/>
        <v>117</v>
      </c>
    </row>
    <row r="91" spans="1:14" x14ac:dyDescent="0.25">
      <c r="A91" s="52">
        <v>90</v>
      </c>
      <c r="B91" s="52">
        <v>642955</v>
      </c>
      <c r="C91" s="52" t="s">
        <v>251</v>
      </c>
      <c r="D91" s="55" t="s">
        <v>26</v>
      </c>
      <c r="E91" s="55" t="s">
        <v>27</v>
      </c>
      <c r="F91" s="55" t="s">
        <v>252</v>
      </c>
      <c r="G91" s="52" t="s">
        <v>29</v>
      </c>
      <c r="H91" s="54">
        <v>46143</v>
      </c>
      <c r="I91" s="53">
        <v>46140</v>
      </c>
      <c r="J91" s="52" t="s">
        <v>77</v>
      </c>
      <c r="K91" s="52" t="s">
        <v>224</v>
      </c>
      <c r="L91" s="52" t="s">
        <v>40</v>
      </c>
      <c r="M91" s="52" t="s">
        <v>30</v>
      </c>
      <c r="N91" s="56">
        <f t="shared" ca="1" si="1"/>
        <v>116</v>
      </c>
    </row>
    <row r="92" spans="1:14" x14ac:dyDescent="0.25">
      <c r="A92" s="52">
        <v>91</v>
      </c>
      <c r="B92" s="52">
        <v>642950</v>
      </c>
      <c r="C92" s="52" t="s">
        <v>253</v>
      </c>
      <c r="D92" s="55" t="s">
        <v>26</v>
      </c>
      <c r="E92" s="55" t="s">
        <v>27</v>
      </c>
      <c r="F92" s="55" t="s">
        <v>254</v>
      </c>
      <c r="G92" s="52" t="s">
        <v>29</v>
      </c>
      <c r="H92" s="54">
        <v>46143</v>
      </c>
      <c r="I92" s="53">
        <v>46140</v>
      </c>
      <c r="J92" s="52" t="s">
        <v>77</v>
      </c>
      <c r="K92" s="52" t="s">
        <v>224</v>
      </c>
      <c r="L92" s="52" t="s">
        <v>40</v>
      </c>
      <c r="M92" s="52" t="s">
        <v>30</v>
      </c>
      <c r="N92" s="56">
        <f t="shared" ca="1" si="1"/>
        <v>116</v>
      </c>
    </row>
    <row r="93" spans="1:14" x14ac:dyDescent="0.25">
      <c r="A93" s="52">
        <v>92</v>
      </c>
      <c r="B93" s="52">
        <v>627845</v>
      </c>
      <c r="C93" s="52" t="s">
        <v>255</v>
      </c>
      <c r="D93" s="55" t="s">
        <v>26</v>
      </c>
      <c r="E93" s="55" t="s">
        <v>27</v>
      </c>
      <c r="F93" s="55" t="s">
        <v>256</v>
      </c>
      <c r="G93" s="52" t="s">
        <v>29</v>
      </c>
      <c r="H93" s="54">
        <v>46143</v>
      </c>
      <c r="I93" s="53">
        <v>46140</v>
      </c>
      <c r="J93" s="52" t="s">
        <v>77</v>
      </c>
      <c r="K93" s="52" t="s">
        <v>224</v>
      </c>
      <c r="L93" s="52" t="s">
        <v>40</v>
      </c>
      <c r="M93" s="52" t="s">
        <v>30</v>
      </c>
      <c r="N93" s="56">
        <f t="shared" ca="1" si="1"/>
        <v>116</v>
      </c>
    </row>
    <row r="94" spans="1:14" x14ac:dyDescent="0.25">
      <c r="A94" s="52">
        <v>93</v>
      </c>
      <c r="B94" s="52">
        <v>642909</v>
      </c>
      <c r="C94" s="52" t="s">
        <v>257</v>
      </c>
      <c r="D94" s="55" t="s">
        <v>26</v>
      </c>
      <c r="E94" s="55" t="s">
        <v>27</v>
      </c>
      <c r="F94" s="55" t="s">
        <v>258</v>
      </c>
      <c r="G94" s="52" t="s">
        <v>29</v>
      </c>
      <c r="H94" s="54">
        <v>46142</v>
      </c>
      <c r="I94" s="53">
        <v>46139</v>
      </c>
      <c r="J94" s="52" t="s">
        <v>77</v>
      </c>
      <c r="K94" s="52" t="s">
        <v>233</v>
      </c>
      <c r="L94" s="52" t="s">
        <v>33</v>
      </c>
      <c r="M94" s="52" t="s">
        <v>143</v>
      </c>
      <c r="N94" s="56">
        <f t="shared" ca="1" si="1"/>
        <v>117</v>
      </c>
    </row>
    <row r="95" spans="1:14" x14ac:dyDescent="0.25">
      <c r="A95" s="52">
        <v>94</v>
      </c>
      <c r="B95" s="52">
        <v>642969</v>
      </c>
      <c r="C95" s="52" t="s">
        <v>259</v>
      </c>
      <c r="D95" s="55" t="s">
        <v>26</v>
      </c>
      <c r="E95" s="55" t="s">
        <v>27</v>
      </c>
      <c r="F95" s="55" t="s">
        <v>260</v>
      </c>
      <c r="G95" s="52" t="s">
        <v>29</v>
      </c>
      <c r="H95" s="54">
        <v>46143</v>
      </c>
      <c r="I95" s="53">
        <v>46140</v>
      </c>
      <c r="J95" s="52" t="s">
        <v>77</v>
      </c>
      <c r="K95" s="52" t="s">
        <v>224</v>
      </c>
      <c r="L95" s="52" t="s">
        <v>40</v>
      </c>
      <c r="M95" s="52" t="s">
        <v>30</v>
      </c>
      <c r="N95" s="56">
        <f t="shared" ca="1" si="1"/>
        <v>116</v>
      </c>
    </row>
    <row r="96" spans="1:14" x14ac:dyDescent="0.25">
      <c r="A96" s="52">
        <v>95</v>
      </c>
      <c r="B96" s="52">
        <v>583906</v>
      </c>
      <c r="C96" s="52" t="s">
        <v>261</v>
      </c>
      <c r="D96" s="55" t="s">
        <v>26</v>
      </c>
      <c r="E96" s="55" t="s">
        <v>27</v>
      </c>
      <c r="F96" s="55" t="s">
        <v>262</v>
      </c>
      <c r="G96" s="52" t="s">
        <v>29</v>
      </c>
      <c r="H96" s="54">
        <v>46147</v>
      </c>
      <c r="I96" s="53">
        <v>46140</v>
      </c>
      <c r="J96" s="52" t="s">
        <v>30</v>
      </c>
      <c r="K96" s="52" t="s">
        <v>30</v>
      </c>
      <c r="L96" s="52" t="s">
        <v>33</v>
      </c>
      <c r="M96" s="52" t="s">
        <v>143</v>
      </c>
      <c r="N96" s="56">
        <f t="shared" ca="1" si="1"/>
        <v>116</v>
      </c>
    </row>
    <row r="97" spans="1:14" x14ac:dyDescent="0.25">
      <c r="A97" s="52">
        <v>96</v>
      </c>
      <c r="B97" s="52">
        <v>642965</v>
      </c>
      <c r="C97" s="52" t="s">
        <v>263</v>
      </c>
      <c r="D97" s="55" t="s">
        <v>26</v>
      </c>
      <c r="E97" s="55" t="s">
        <v>27</v>
      </c>
      <c r="F97" s="55" t="s">
        <v>264</v>
      </c>
      <c r="G97" s="52" t="s">
        <v>29</v>
      </c>
      <c r="H97" s="54">
        <v>46147</v>
      </c>
      <c r="I97" s="53">
        <v>46140</v>
      </c>
      <c r="J97" s="52" t="s">
        <v>30</v>
      </c>
      <c r="K97" s="52" t="s">
        <v>30</v>
      </c>
      <c r="L97" s="52" t="s">
        <v>33</v>
      </c>
      <c r="M97" s="52" t="s">
        <v>265</v>
      </c>
      <c r="N97" s="56">
        <f t="shared" ca="1" si="1"/>
        <v>116</v>
      </c>
    </row>
    <row r="98" spans="1:14" x14ac:dyDescent="0.25">
      <c r="A98" s="52">
        <v>97</v>
      </c>
      <c r="B98" s="52">
        <v>642961</v>
      </c>
      <c r="C98" s="52" t="s">
        <v>266</v>
      </c>
      <c r="D98" s="55" t="s">
        <v>26</v>
      </c>
      <c r="E98" s="55" t="s">
        <v>27</v>
      </c>
      <c r="F98" s="55" t="s">
        <v>267</v>
      </c>
      <c r="G98" s="52" t="s">
        <v>29</v>
      </c>
      <c r="H98" s="54">
        <v>46147</v>
      </c>
      <c r="I98" s="53">
        <v>46139</v>
      </c>
      <c r="J98" s="52" t="s">
        <v>77</v>
      </c>
      <c r="K98" s="52" t="s">
        <v>224</v>
      </c>
      <c r="L98" s="52" t="s">
        <v>40</v>
      </c>
      <c r="M98" s="52" t="s">
        <v>30</v>
      </c>
      <c r="N98" s="56">
        <f t="shared" ca="1" si="1"/>
        <v>117</v>
      </c>
    </row>
    <row r="99" spans="1:14" x14ac:dyDescent="0.25">
      <c r="A99" s="52">
        <v>98</v>
      </c>
      <c r="B99" s="52">
        <v>642993</v>
      </c>
      <c r="C99" s="52" t="s">
        <v>268</v>
      </c>
      <c r="D99" s="55" t="s">
        <v>26</v>
      </c>
      <c r="E99" s="55" t="s">
        <v>27</v>
      </c>
      <c r="F99" s="55" t="s">
        <v>269</v>
      </c>
      <c r="G99" s="52" t="s">
        <v>29</v>
      </c>
      <c r="H99" s="54">
        <v>46149</v>
      </c>
      <c r="I99" s="53">
        <v>46142</v>
      </c>
      <c r="J99" s="52" t="s">
        <v>77</v>
      </c>
      <c r="K99" s="52" t="s">
        <v>270</v>
      </c>
      <c r="L99" s="52" t="s">
        <v>40</v>
      </c>
      <c r="M99" s="52" t="s">
        <v>30</v>
      </c>
      <c r="N99" s="56">
        <f t="shared" ca="1" si="1"/>
        <v>114</v>
      </c>
    </row>
    <row r="100" spans="1:14" x14ac:dyDescent="0.25">
      <c r="A100" s="52">
        <v>99</v>
      </c>
      <c r="B100" s="52">
        <v>643013</v>
      </c>
      <c r="C100" s="52" t="s">
        <v>271</v>
      </c>
      <c r="D100" s="55" t="s">
        <v>26</v>
      </c>
      <c r="E100" s="55" t="s">
        <v>27</v>
      </c>
      <c r="F100" s="55" t="s">
        <v>272</v>
      </c>
      <c r="G100" s="52" t="s">
        <v>29</v>
      </c>
      <c r="H100" s="54">
        <v>46147</v>
      </c>
      <c r="I100" s="53">
        <v>46143</v>
      </c>
      <c r="J100" s="52" t="s">
        <v>77</v>
      </c>
      <c r="K100" s="52" t="s">
        <v>224</v>
      </c>
      <c r="L100" s="52" t="s">
        <v>40</v>
      </c>
      <c r="M100" s="52" t="s">
        <v>30</v>
      </c>
      <c r="N100" s="56">
        <f t="shared" ca="1" si="1"/>
        <v>113</v>
      </c>
    </row>
    <row r="101" spans="1:14" x14ac:dyDescent="0.25">
      <c r="A101" s="52">
        <v>100</v>
      </c>
      <c r="B101" s="52">
        <v>609949</v>
      </c>
      <c r="C101" s="52" t="s">
        <v>273</v>
      </c>
      <c r="D101" s="55" t="s">
        <v>26</v>
      </c>
      <c r="E101" s="55" t="s">
        <v>27</v>
      </c>
      <c r="F101" s="55" t="s">
        <v>274</v>
      </c>
      <c r="G101" s="52" t="s">
        <v>29</v>
      </c>
      <c r="H101" s="54">
        <v>46147</v>
      </c>
      <c r="I101" s="53">
        <v>46140</v>
      </c>
      <c r="J101" s="52" t="s">
        <v>77</v>
      </c>
      <c r="K101" s="52" t="s">
        <v>275</v>
      </c>
      <c r="L101" s="52" t="s">
        <v>40</v>
      </c>
      <c r="M101" s="52" t="s">
        <v>30</v>
      </c>
      <c r="N101" s="56">
        <f t="shared" ca="1" si="1"/>
        <v>116</v>
      </c>
    </row>
    <row r="102" spans="1:14" x14ac:dyDescent="0.25">
      <c r="A102" s="52">
        <v>101</v>
      </c>
      <c r="B102" s="52">
        <v>642988</v>
      </c>
      <c r="C102" s="52" t="s">
        <v>276</v>
      </c>
      <c r="D102" s="55" t="s">
        <v>26</v>
      </c>
      <c r="E102" s="55" t="s">
        <v>27</v>
      </c>
      <c r="F102" s="55" t="s">
        <v>277</v>
      </c>
      <c r="G102" s="52" t="s">
        <v>29</v>
      </c>
      <c r="H102" s="54">
        <v>46149</v>
      </c>
      <c r="I102" s="53">
        <v>46142</v>
      </c>
      <c r="J102" s="52" t="s">
        <v>77</v>
      </c>
      <c r="K102" s="52" t="s">
        <v>278</v>
      </c>
      <c r="L102" s="52" t="s">
        <v>40</v>
      </c>
      <c r="M102" s="52" t="s">
        <v>30</v>
      </c>
      <c r="N102" s="56">
        <f t="shared" ca="1" si="1"/>
        <v>114</v>
      </c>
    </row>
    <row r="103" spans="1:14" x14ac:dyDescent="0.25">
      <c r="A103" s="52">
        <v>102</v>
      </c>
      <c r="B103" s="52">
        <v>642990</v>
      </c>
      <c r="C103" s="52" t="s">
        <v>279</v>
      </c>
      <c r="D103" s="55" t="s">
        <v>26</v>
      </c>
      <c r="E103" s="55" t="s">
        <v>27</v>
      </c>
      <c r="F103" s="55" t="s">
        <v>280</v>
      </c>
      <c r="G103" s="52" t="s">
        <v>29</v>
      </c>
      <c r="H103" s="54">
        <v>46149</v>
      </c>
      <c r="I103" s="53">
        <v>46142</v>
      </c>
      <c r="J103" s="52" t="s">
        <v>77</v>
      </c>
      <c r="K103" s="52" t="s">
        <v>278</v>
      </c>
      <c r="L103" s="52" t="s">
        <v>40</v>
      </c>
      <c r="M103" s="52" t="s">
        <v>30</v>
      </c>
      <c r="N103" s="56">
        <f t="shared" ca="1" si="1"/>
        <v>114</v>
      </c>
    </row>
    <row r="104" spans="1:14" x14ac:dyDescent="0.25">
      <c r="A104" s="52">
        <v>103</v>
      </c>
      <c r="B104" s="52">
        <v>612160</v>
      </c>
      <c r="C104" s="52" t="s">
        <v>281</v>
      </c>
      <c r="D104" s="55" t="s">
        <v>26</v>
      </c>
      <c r="E104" s="55" t="s">
        <v>27</v>
      </c>
      <c r="F104" s="55" t="s">
        <v>282</v>
      </c>
      <c r="G104" s="52" t="s">
        <v>29</v>
      </c>
      <c r="H104" s="54">
        <v>46147</v>
      </c>
      <c r="I104" s="53">
        <v>46143</v>
      </c>
      <c r="J104" s="52" t="s">
        <v>77</v>
      </c>
      <c r="K104" s="52" t="s">
        <v>283</v>
      </c>
      <c r="L104" s="52" t="s">
        <v>33</v>
      </c>
      <c r="M104" s="52" t="s">
        <v>143</v>
      </c>
      <c r="N104" s="56">
        <f t="shared" ca="1" si="1"/>
        <v>113</v>
      </c>
    </row>
    <row r="105" spans="1:14" x14ac:dyDescent="0.25">
      <c r="A105" s="52">
        <v>104</v>
      </c>
      <c r="B105" s="52">
        <v>642998</v>
      </c>
      <c r="C105" s="52" t="s">
        <v>284</v>
      </c>
      <c r="D105" s="55" t="s">
        <v>26</v>
      </c>
      <c r="E105" s="55" t="s">
        <v>27</v>
      </c>
      <c r="F105" s="55" t="s">
        <v>285</v>
      </c>
      <c r="G105" s="52" t="s">
        <v>29</v>
      </c>
      <c r="H105" s="54">
        <v>46147</v>
      </c>
      <c r="I105" s="53">
        <v>46140</v>
      </c>
      <c r="J105" s="52" t="s">
        <v>77</v>
      </c>
      <c r="K105" s="52" t="s">
        <v>224</v>
      </c>
      <c r="L105" s="52" t="s">
        <v>40</v>
      </c>
      <c r="M105" s="52" t="s">
        <v>30</v>
      </c>
      <c r="N105" s="56">
        <f t="shared" ca="1" si="1"/>
        <v>116</v>
      </c>
    </row>
    <row r="106" spans="1:14" x14ac:dyDescent="0.25">
      <c r="A106" s="52">
        <v>105</v>
      </c>
      <c r="B106" s="52">
        <v>642980</v>
      </c>
      <c r="C106" s="52" t="s">
        <v>286</v>
      </c>
      <c r="D106" s="55" t="s">
        <v>26</v>
      </c>
      <c r="E106" s="55" t="s">
        <v>27</v>
      </c>
      <c r="F106" s="55" t="s">
        <v>287</v>
      </c>
      <c r="G106" s="52" t="s">
        <v>29</v>
      </c>
      <c r="H106" s="54">
        <v>46149</v>
      </c>
      <c r="I106" s="53">
        <v>46142</v>
      </c>
      <c r="J106" s="52" t="s">
        <v>77</v>
      </c>
      <c r="K106" s="52" t="s">
        <v>224</v>
      </c>
      <c r="L106" s="52" t="s">
        <v>40</v>
      </c>
      <c r="M106" s="52" t="s">
        <v>30</v>
      </c>
      <c r="N106" s="56">
        <f t="shared" ca="1" si="1"/>
        <v>114</v>
      </c>
    </row>
    <row r="107" spans="1:14" x14ac:dyDescent="0.25">
      <c r="A107" s="52">
        <v>106</v>
      </c>
      <c r="B107" s="52">
        <v>642982</v>
      </c>
      <c r="C107" s="52" t="s">
        <v>288</v>
      </c>
      <c r="D107" s="55" t="s">
        <v>26</v>
      </c>
      <c r="E107" s="55" t="s">
        <v>27</v>
      </c>
      <c r="F107" s="55" t="s">
        <v>289</v>
      </c>
      <c r="G107" s="52" t="s">
        <v>29</v>
      </c>
      <c r="H107" s="54">
        <v>46149</v>
      </c>
      <c r="I107" s="53">
        <v>46142</v>
      </c>
      <c r="J107" s="52" t="s">
        <v>77</v>
      </c>
      <c r="K107" s="52" t="s">
        <v>278</v>
      </c>
      <c r="L107" s="52" t="s">
        <v>40</v>
      </c>
      <c r="M107" s="52" t="s">
        <v>30</v>
      </c>
      <c r="N107" s="56">
        <f t="shared" ca="1" si="1"/>
        <v>114</v>
      </c>
    </row>
    <row r="108" spans="1:14" x14ac:dyDescent="0.25">
      <c r="A108" s="52">
        <v>107</v>
      </c>
      <c r="B108" s="52">
        <v>642994</v>
      </c>
      <c r="C108" s="52" t="s">
        <v>290</v>
      </c>
      <c r="D108" s="55" t="s">
        <v>26</v>
      </c>
      <c r="E108" s="55" t="s">
        <v>27</v>
      </c>
      <c r="F108" s="55" t="s">
        <v>291</v>
      </c>
      <c r="G108" s="52" t="s">
        <v>29</v>
      </c>
      <c r="H108" s="54">
        <v>46149</v>
      </c>
      <c r="I108" s="53">
        <v>46142</v>
      </c>
      <c r="J108" s="52" t="s">
        <v>77</v>
      </c>
      <c r="K108" s="52" t="s">
        <v>270</v>
      </c>
      <c r="L108" s="52" t="s">
        <v>40</v>
      </c>
      <c r="M108" s="52" t="s">
        <v>30</v>
      </c>
      <c r="N108" s="56">
        <f t="shared" ca="1" si="1"/>
        <v>114</v>
      </c>
    </row>
    <row r="109" spans="1:14" x14ac:dyDescent="0.25">
      <c r="A109" s="52">
        <v>108</v>
      </c>
      <c r="B109" s="52">
        <v>640866</v>
      </c>
      <c r="C109" s="52" t="s">
        <v>292</v>
      </c>
      <c r="D109" s="55" t="s">
        <v>26</v>
      </c>
      <c r="E109" s="55" t="s">
        <v>27</v>
      </c>
      <c r="F109" s="55" t="s">
        <v>293</v>
      </c>
      <c r="G109" s="52" t="s">
        <v>29</v>
      </c>
      <c r="H109" s="54">
        <v>46147</v>
      </c>
      <c r="I109" s="53">
        <v>46141</v>
      </c>
      <c r="J109" s="52" t="s">
        <v>77</v>
      </c>
      <c r="K109" s="52" t="s">
        <v>275</v>
      </c>
      <c r="L109" s="52" t="s">
        <v>40</v>
      </c>
      <c r="M109" s="52" t="s">
        <v>30</v>
      </c>
      <c r="N109" s="56">
        <f t="shared" ca="1" si="1"/>
        <v>115</v>
      </c>
    </row>
    <row r="110" spans="1:14" x14ac:dyDescent="0.25">
      <c r="A110" s="52">
        <v>109</v>
      </c>
      <c r="B110" s="52">
        <v>643016</v>
      </c>
      <c r="C110" s="52" t="s">
        <v>294</v>
      </c>
      <c r="D110" s="55" t="s">
        <v>26</v>
      </c>
      <c r="E110" s="55" t="s">
        <v>27</v>
      </c>
      <c r="F110" s="55" t="s">
        <v>295</v>
      </c>
      <c r="G110" s="52" t="s">
        <v>29</v>
      </c>
      <c r="H110" s="54">
        <v>46149</v>
      </c>
      <c r="I110" s="53">
        <v>46143</v>
      </c>
      <c r="J110" s="52" t="s">
        <v>30</v>
      </c>
      <c r="K110" s="52" t="s">
        <v>296</v>
      </c>
      <c r="L110" s="52" t="s">
        <v>40</v>
      </c>
      <c r="M110" s="52" t="s">
        <v>30</v>
      </c>
      <c r="N110" s="56">
        <f t="shared" ca="1" si="1"/>
        <v>113</v>
      </c>
    </row>
    <row r="111" spans="1:14" x14ac:dyDescent="0.25">
      <c r="A111" s="52">
        <v>110</v>
      </c>
      <c r="B111" s="52">
        <v>642991</v>
      </c>
      <c r="C111" s="52" t="s">
        <v>297</v>
      </c>
      <c r="D111" s="55" t="s">
        <v>26</v>
      </c>
      <c r="E111" s="55" t="s">
        <v>27</v>
      </c>
      <c r="F111" s="55" t="s">
        <v>298</v>
      </c>
      <c r="G111" s="52" t="s">
        <v>29</v>
      </c>
      <c r="H111" s="54">
        <v>46149</v>
      </c>
      <c r="I111" s="53">
        <v>46142</v>
      </c>
      <c r="J111" s="52" t="s">
        <v>31</v>
      </c>
      <c r="K111" s="52" t="s">
        <v>270</v>
      </c>
      <c r="L111" s="52" t="s">
        <v>40</v>
      </c>
      <c r="M111" s="52" t="s">
        <v>30</v>
      </c>
      <c r="N111" s="56">
        <f t="shared" ca="1" si="1"/>
        <v>114</v>
      </c>
    </row>
    <row r="112" spans="1:14" x14ac:dyDescent="0.25">
      <c r="A112" s="52">
        <v>111</v>
      </c>
      <c r="B112" s="52">
        <v>642979</v>
      </c>
      <c r="C112" s="52" t="s">
        <v>299</v>
      </c>
      <c r="D112" s="55" t="s">
        <v>63</v>
      </c>
      <c r="E112" s="55" t="s">
        <v>27</v>
      </c>
      <c r="F112" s="55">
        <v>406490617</v>
      </c>
      <c r="G112" s="52" t="s">
        <v>29</v>
      </c>
      <c r="H112" s="54">
        <v>46147</v>
      </c>
      <c r="I112" s="53">
        <v>46141</v>
      </c>
      <c r="J112" s="52" t="s">
        <v>77</v>
      </c>
      <c r="K112" s="52" t="s">
        <v>211</v>
      </c>
      <c r="L112" s="52" t="s">
        <v>227</v>
      </c>
      <c r="M112" s="52" t="s">
        <v>300</v>
      </c>
      <c r="N112" s="56">
        <f t="shared" ca="1" si="1"/>
        <v>115</v>
      </c>
    </row>
    <row r="113" spans="1:14" x14ac:dyDescent="0.25">
      <c r="A113" s="52">
        <v>112</v>
      </c>
      <c r="B113" s="52">
        <v>643008</v>
      </c>
      <c r="C113" s="52" t="s">
        <v>301</v>
      </c>
      <c r="D113" s="55" t="s">
        <v>26</v>
      </c>
      <c r="E113" s="55" t="s">
        <v>27</v>
      </c>
      <c r="F113" s="55" t="s">
        <v>302</v>
      </c>
      <c r="G113" s="52" t="s">
        <v>29</v>
      </c>
      <c r="H113" s="54">
        <v>46148</v>
      </c>
      <c r="I113" s="53">
        <v>46143</v>
      </c>
      <c r="J113" s="52" t="s">
        <v>30</v>
      </c>
      <c r="K113" s="52" t="s">
        <v>125</v>
      </c>
      <c r="L113" s="52" t="s">
        <v>40</v>
      </c>
      <c r="M113" s="52" t="s">
        <v>30</v>
      </c>
      <c r="N113" s="56">
        <f t="shared" ca="1" si="1"/>
        <v>113</v>
      </c>
    </row>
    <row r="114" spans="1:14" x14ac:dyDescent="0.25">
      <c r="A114" s="52">
        <v>113</v>
      </c>
      <c r="B114" s="52">
        <v>643010</v>
      </c>
      <c r="C114" s="52" t="s">
        <v>303</v>
      </c>
      <c r="D114" s="55" t="s">
        <v>26</v>
      </c>
      <c r="E114" s="55" t="s">
        <v>27</v>
      </c>
      <c r="F114" s="55" t="s">
        <v>304</v>
      </c>
      <c r="G114" s="52" t="s">
        <v>29</v>
      </c>
      <c r="H114" s="54">
        <v>46149</v>
      </c>
      <c r="I114" s="53">
        <v>46143</v>
      </c>
      <c r="J114" s="52" t="s">
        <v>77</v>
      </c>
      <c r="K114" s="52" t="s">
        <v>278</v>
      </c>
      <c r="L114" s="52" t="s">
        <v>40</v>
      </c>
      <c r="M114" s="52" t="s">
        <v>30</v>
      </c>
      <c r="N114" s="56">
        <f t="shared" ca="1" si="1"/>
        <v>113</v>
      </c>
    </row>
    <row r="115" spans="1:14" x14ac:dyDescent="0.25">
      <c r="A115" s="52">
        <v>114</v>
      </c>
      <c r="B115" s="52">
        <v>642984</v>
      </c>
      <c r="C115" s="52" t="s">
        <v>305</v>
      </c>
      <c r="D115" s="55" t="s">
        <v>26</v>
      </c>
      <c r="E115" s="55" t="s">
        <v>27</v>
      </c>
      <c r="F115" s="55" t="s">
        <v>306</v>
      </c>
      <c r="G115" s="52" t="s">
        <v>29</v>
      </c>
      <c r="H115" s="54">
        <v>46149</v>
      </c>
      <c r="I115" s="53">
        <v>46142</v>
      </c>
      <c r="J115" s="52" t="s">
        <v>77</v>
      </c>
      <c r="K115" s="52" t="s">
        <v>278</v>
      </c>
      <c r="L115" s="52" t="s">
        <v>40</v>
      </c>
      <c r="M115" s="52" t="s">
        <v>30</v>
      </c>
      <c r="N115" s="56">
        <f t="shared" ca="1" si="1"/>
        <v>114</v>
      </c>
    </row>
    <row r="116" spans="1:14" x14ac:dyDescent="0.25">
      <c r="A116" s="52">
        <v>115</v>
      </c>
      <c r="B116" s="52">
        <v>642995</v>
      </c>
      <c r="C116" s="52" t="s">
        <v>307</v>
      </c>
      <c r="D116" s="55" t="s">
        <v>26</v>
      </c>
      <c r="E116" s="55" t="s">
        <v>27</v>
      </c>
      <c r="F116" s="55" t="s">
        <v>308</v>
      </c>
      <c r="G116" s="52" t="s">
        <v>29</v>
      </c>
      <c r="H116" s="54">
        <v>46147</v>
      </c>
      <c r="I116" s="53">
        <v>46141</v>
      </c>
      <c r="J116" s="52" t="s">
        <v>77</v>
      </c>
      <c r="K116" s="52" t="s">
        <v>224</v>
      </c>
      <c r="L116" s="52" t="s">
        <v>40</v>
      </c>
      <c r="M116" s="52" t="s">
        <v>30</v>
      </c>
      <c r="N116" s="56">
        <f t="shared" ca="1" si="1"/>
        <v>115</v>
      </c>
    </row>
    <row r="117" spans="1:14" x14ac:dyDescent="0.25">
      <c r="A117" s="52">
        <v>116</v>
      </c>
      <c r="B117" s="52">
        <v>578653</v>
      </c>
      <c r="C117" s="52" t="s">
        <v>309</v>
      </c>
      <c r="D117" s="55" t="s">
        <v>26</v>
      </c>
      <c r="E117" s="55" t="s">
        <v>27</v>
      </c>
      <c r="F117" s="55" t="s">
        <v>310</v>
      </c>
      <c r="G117" s="52" t="s">
        <v>29</v>
      </c>
      <c r="H117" s="54">
        <v>46147</v>
      </c>
      <c r="I117" s="53">
        <v>46143</v>
      </c>
      <c r="J117" s="52" t="s">
        <v>77</v>
      </c>
      <c r="K117" s="52" t="s">
        <v>224</v>
      </c>
      <c r="L117" s="52" t="s">
        <v>40</v>
      </c>
      <c r="M117" s="52" t="s">
        <v>30</v>
      </c>
      <c r="N117" s="56">
        <f t="shared" ca="1" si="1"/>
        <v>113</v>
      </c>
    </row>
    <row r="118" spans="1:14" x14ac:dyDescent="0.25">
      <c r="A118" s="52">
        <v>117</v>
      </c>
      <c r="B118" s="52">
        <v>642983</v>
      </c>
      <c r="C118" s="52" t="s">
        <v>311</v>
      </c>
      <c r="D118" s="55" t="s">
        <v>26</v>
      </c>
      <c r="E118" s="55" t="s">
        <v>27</v>
      </c>
      <c r="F118" s="55" t="s">
        <v>312</v>
      </c>
      <c r="G118" s="52" t="s">
        <v>29</v>
      </c>
      <c r="H118" s="54">
        <v>46149</v>
      </c>
      <c r="I118" s="53">
        <v>46142</v>
      </c>
      <c r="J118" s="52" t="s">
        <v>31</v>
      </c>
      <c r="K118" s="52" t="s">
        <v>270</v>
      </c>
      <c r="L118" s="52" t="s">
        <v>40</v>
      </c>
      <c r="M118" s="52" t="s">
        <v>30</v>
      </c>
      <c r="N118" s="56">
        <f t="shared" ca="1" si="1"/>
        <v>114</v>
      </c>
    </row>
    <row r="119" spans="1:14" x14ac:dyDescent="0.25">
      <c r="A119" s="52">
        <v>118</v>
      </c>
      <c r="B119" s="52">
        <v>642987</v>
      </c>
      <c r="C119" s="52" t="s">
        <v>313</v>
      </c>
      <c r="D119" s="55" t="s">
        <v>26</v>
      </c>
      <c r="E119" s="55" t="s">
        <v>27</v>
      </c>
      <c r="F119" s="55" t="s">
        <v>314</v>
      </c>
      <c r="G119" s="52" t="s">
        <v>29</v>
      </c>
      <c r="H119" s="54">
        <v>46149</v>
      </c>
      <c r="I119" s="53">
        <v>46142</v>
      </c>
      <c r="J119" s="52" t="s">
        <v>77</v>
      </c>
      <c r="K119" s="52" t="s">
        <v>278</v>
      </c>
      <c r="L119" s="52" t="s">
        <v>40</v>
      </c>
      <c r="M119" s="52" t="s">
        <v>30</v>
      </c>
      <c r="N119" s="56">
        <f t="shared" ca="1" si="1"/>
        <v>114</v>
      </c>
    </row>
    <row r="120" spans="1:14" x14ac:dyDescent="0.25">
      <c r="A120" s="52">
        <v>119</v>
      </c>
      <c r="B120" s="52">
        <v>616089</v>
      </c>
      <c r="C120" s="52" t="s">
        <v>315</v>
      </c>
      <c r="D120" s="55" t="s">
        <v>26</v>
      </c>
      <c r="E120" s="55" t="s">
        <v>27</v>
      </c>
      <c r="F120" s="55" t="s">
        <v>316</v>
      </c>
      <c r="G120" s="52" t="s">
        <v>29</v>
      </c>
      <c r="H120" s="54">
        <v>46149</v>
      </c>
      <c r="I120" s="53">
        <v>46142</v>
      </c>
      <c r="J120" s="52" t="s">
        <v>77</v>
      </c>
      <c r="K120" s="52" t="s">
        <v>270</v>
      </c>
      <c r="L120" s="52" t="s">
        <v>40</v>
      </c>
      <c r="M120" s="52" t="s">
        <v>30</v>
      </c>
      <c r="N120" s="56">
        <f t="shared" ca="1" si="1"/>
        <v>114</v>
      </c>
    </row>
    <row r="121" spans="1:14" x14ac:dyDescent="0.25">
      <c r="A121" s="52">
        <v>120</v>
      </c>
      <c r="B121" s="52">
        <v>642981</v>
      </c>
      <c r="C121" s="52" t="s">
        <v>317</v>
      </c>
      <c r="D121" s="55" t="s">
        <v>26</v>
      </c>
      <c r="E121" s="55" t="s">
        <v>27</v>
      </c>
      <c r="F121" s="55" t="s">
        <v>318</v>
      </c>
      <c r="G121" s="52" t="s">
        <v>29</v>
      </c>
      <c r="H121" s="54">
        <v>46149</v>
      </c>
      <c r="I121" s="53">
        <v>46142</v>
      </c>
      <c r="J121" s="52" t="s">
        <v>77</v>
      </c>
      <c r="K121" s="52" t="s">
        <v>224</v>
      </c>
      <c r="L121" s="52" t="s">
        <v>40</v>
      </c>
      <c r="M121" s="52" t="s">
        <v>30</v>
      </c>
      <c r="N121" s="56">
        <f t="shared" ca="1" si="1"/>
        <v>114</v>
      </c>
    </row>
    <row r="122" spans="1:14" x14ac:dyDescent="0.25">
      <c r="A122" s="52">
        <v>121</v>
      </c>
      <c r="B122" s="52">
        <v>643000</v>
      </c>
      <c r="C122" s="52" t="s">
        <v>319</v>
      </c>
      <c r="D122" s="55" t="s">
        <v>26</v>
      </c>
      <c r="E122" s="55" t="s">
        <v>27</v>
      </c>
      <c r="F122" s="55" t="s">
        <v>320</v>
      </c>
      <c r="G122" s="52" t="s">
        <v>29</v>
      </c>
      <c r="H122" s="54">
        <v>46149</v>
      </c>
      <c r="I122" s="53">
        <v>46141</v>
      </c>
      <c r="J122" s="52" t="s">
        <v>77</v>
      </c>
      <c r="K122" s="52" t="s">
        <v>224</v>
      </c>
      <c r="L122" s="52" t="s">
        <v>40</v>
      </c>
      <c r="M122" s="52" t="s">
        <v>30</v>
      </c>
      <c r="N122" s="56">
        <f t="shared" ca="1" si="1"/>
        <v>115</v>
      </c>
    </row>
    <row r="123" spans="1:14" x14ac:dyDescent="0.25">
      <c r="A123" s="52">
        <v>122</v>
      </c>
      <c r="B123" s="52">
        <v>643005</v>
      </c>
      <c r="C123" s="52" t="s">
        <v>321</v>
      </c>
      <c r="D123" s="55" t="s">
        <v>26</v>
      </c>
      <c r="E123" s="55" t="s">
        <v>27</v>
      </c>
      <c r="F123" s="55" t="s">
        <v>322</v>
      </c>
      <c r="G123" s="52" t="s">
        <v>29</v>
      </c>
      <c r="H123" s="54">
        <v>46149</v>
      </c>
      <c r="I123" s="53">
        <v>46142</v>
      </c>
      <c r="J123" s="52" t="s">
        <v>77</v>
      </c>
      <c r="K123" s="52" t="s">
        <v>270</v>
      </c>
      <c r="L123" s="52" t="s">
        <v>40</v>
      </c>
      <c r="M123" s="52" t="s">
        <v>30</v>
      </c>
      <c r="N123" s="56">
        <f t="shared" ref="N123:N186" ca="1" si="2">IFERROR(TODAY()-I123,"-")</f>
        <v>114</v>
      </c>
    </row>
    <row r="124" spans="1:14" x14ac:dyDescent="0.25">
      <c r="A124" s="52">
        <v>123</v>
      </c>
      <c r="B124" s="52">
        <v>617846</v>
      </c>
      <c r="C124" s="52" t="s">
        <v>323</v>
      </c>
      <c r="D124" s="55" t="s">
        <v>26</v>
      </c>
      <c r="E124" s="55" t="s">
        <v>27</v>
      </c>
      <c r="F124" s="55" t="s">
        <v>324</v>
      </c>
      <c r="G124" s="52" t="s">
        <v>29</v>
      </c>
      <c r="H124" s="54">
        <v>46232</v>
      </c>
      <c r="I124" s="53">
        <v>46140</v>
      </c>
      <c r="J124" s="52" t="s">
        <v>77</v>
      </c>
      <c r="K124" s="52" t="s">
        <v>224</v>
      </c>
      <c r="L124" s="52" t="s">
        <v>40</v>
      </c>
      <c r="M124" s="52" t="s">
        <v>30</v>
      </c>
      <c r="N124" s="56">
        <f t="shared" ca="1" si="2"/>
        <v>116</v>
      </c>
    </row>
    <row r="125" spans="1:14" x14ac:dyDescent="0.25">
      <c r="A125" s="52">
        <v>124</v>
      </c>
      <c r="B125" s="52">
        <v>503055</v>
      </c>
      <c r="C125" s="52" t="s">
        <v>325</v>
      </c>
      <c r="D125" s="55" t="s">
        <v>26</v>
      </c>
      <c r="E125" s="55" t="s">
        <v>27</v>
      </c>
      <c r="F125" s="55" t="s">
        <v>210</v>
      </c>
      <c r="G125" s="52" t="s">
        <v>29</v>
      </c>
      <c r="H125" s="54">
        <v>46149</v>
      </c>
      <c r="I125" s="53">
        <v>46146</v>
      </c>
      <c r="J125" s="52" t="s">
        <v>77</v>
      </c>
      <c r="K125" s="52" t="s">
        <v>278</v>
      </c>
      <c r="L125" s="52" t="s">
        <v>40</v>
      </c>
      <c r="M125" s="52" t="s">
        <v>30</v>
      </c>
      <c r="N125" s="56">
        <f t="shared" ca="1" si="2"/>
        <v>110</v>
      </c>
    </row>
    <row r="126" spans="1:14" x14ac:dyDescent="0.25">
      <c r="A126" s="52">
        <v>125</v>
      </c>
      <c r="B126" s="52">
        <v>643205</v>
      </c>
      <c r="C126" s="52" t="s">
        <v>326</v>
      </c>
      <c r="D126" s="55" t="s">
        <v>26</v>
      </c>
      <c r="E126" s="55" t="s">
        <v>27</v>
      </c>
      <c r="F126" s="55" t="s">
        <v>213</v>
      </c>
      <c r="G126" s="52" t="s">
        <v>29</v>
      </c>
      <c r="H126" s="54">
        <v>46150</v>
      </c>
      <c r="I126" s="53">
        <v>46147</v>
      </c>
      <c r="J126" s="52" t="s">
        <v>30</v>
      </c>
      <c r="K126" s="52" t="s">
        <v>30</v>
      </c>
      <c r="L126" s="52" t="s">
        <v>33</v>
      </c>
      <c r="M126" s="52" t="s">
        <v>143</v>
      </c>
      <c r="N126" s="56">
        <f t="shared" ca="1" si="2"/>
        <v>109</v>
      </c>
    </row>
    <row r="127" spans="1:14" x14ac:dyDescent="0.25">
      <c r="A127" s="52">
        <v>126</v>
      </c>
      <c r="B127" s="52">
        <v>643209</v>
      </c>
      <c r="C127" s="52" t="s">
        <v>327</v>
      </c>
      <c r="D127" s="55" t="s">
        <v>26</v>
      </c>
      <c r="E127" s="55" t="s">
        <v>27</v>
      </c>
      <c r="F127" s="55" t="s">
        <v>215</v>
      </c>
      <c r="G127" s="52" t="s">
        <v>29</v>
      </c>
      <c r="H127" s="54">
        <v>46150</v>
      </c>
      <c r="I127" s="53">
        <v>46147</v>
      </c>
      <c r="J127" s="52" t="s">
        <v>31</v>
      </c>
      <c r="K127" s="52" t="s">
        <v>270</v>
      </c>
      <c r="L127" s="52" t="s">
        <v>40</v>
      </c>
      <c r="M127" s="52" t="s">
        <v>30</v>
      </c>
      <c r="N127" s="56">
        <f t="shared" ca="1" si="2"/>
        <v>109</v>
      </c>
    </row>
    <row r="128" spans="1:14" x14ac:dyDescent="0.25">
      <c r="A128" s="52">
        <v>127</v>
      </c>
      <c r="B128" s="52">
        <v>643196</v>
      </c>
      <c r="C128" s="52" t="s">
        <v>328</v>
      </c>
      <c r="D128" s="55" t="s">
        <v>26</v>
      </c>
      <c r="E128" s="55" t="s">
        <v>27</v>
      </c>
      <c r="F128" s="55" t="s">
        <v>217</v>
      </c>
      <c r="G128" s="52" t="s">
        <v>29</v>
      </c>
      <c r="H128" s="54">
        <v>46149</v>
      </c>
      <c r="I128" s="53">
        <v>46145</v>
      </c>
      <c r="J128" s="52" t="s">
        <v>77</v>
      </c>
      <c r="K128" s="52" t="s">
        <v>278</v>
      </c>
      <c r="L128" s="52" t="s">
        <v>40</v>
      </c>
      <c r="M128" s="52" t="s">
        <v>30</v>
      </c>
      <c r="N128" s="56">
        <f t="shared" ca="1" si="2"/>
        <v>111</v>
      </c>
    </row>
    <row r="129" spans="1:14" x14ac:dyDescent="0.25">
      <c r="A129" s="52">
        <v>128</v>
      </c>
      <c r="B129" s="52">
        <v>643090</v>
      </c>
      <c r="C129" s="52" t="s">
        <v>329</v>
      </c>
      <c r="D129" s="55" t="s">
        <v>26</v>
      </c>
      <c r="E129" s="55" t="s">
        <v>27</v>
      </c>
      <c r="F129" s="55" t="s">
        <v>219</v>
      </c>
      <c r="G129" s="52" t="s">
        <v>29</v>
      </c>
      <c r="H129" s="54">
        <v>46148</v>
      </c>
      <c r="I129" s="53">
        <v>46144</v>
      </c>
      <c r="J129" s="52" t="s">
        <v>202</v>
      </c>
      <c r="K129" s="52" t="s">
        <v>330</v>
      </c>
      <c r="L129" s="52" t="s">
        <v>66</v>
      </c>
      <c r="M129" s="52" t="s">
        <v>331</v>
      </c>
      <c r="N129" s="56">
        <f t="shared" ca="1" si="2"/>
        <v>112</v>
      </c>
    </row>
    <row r="130" spans="1:14" x14ac:dyDescent="0.25">
      <c r="A130" s="52">
        <v>129</v>
      </c>
      <c r="B130" s="52">
        <v>464787</v>
      </c>
      <c r="C130" s="52" t="s">
        <v>332</v>
      </c>
      <c r="D130" s="55" t="s">
        <v>26</v>
      </c>
      <c r="E130" s="55" t="s">
        <v>27</v>
      </c>
      <c r="F130" s="55" t="s">
        <v>221</v>
      </c>
      <c r="G130" s="52" t="s">
        <v>29</v>
      </c>
      <c r="H130" s="54">
        <v>46148</v>
      </c>
      <c r="I130" s="53">
        <v>46144</v>
      </c>
      <c r="J130" s="52" t="s">
        <v>77</v>
      </c>
      <c r="K130" s="52" t="s">
        <v>333</v>
      </c>
      <c r="L130" s="52" t="s">
        <v>40</v>
      </c>
      <c r="M130" s="52" t="s">
        <v>30</v>
      </c>
      <c r="N130" s="56">
        <f t="shared" ca="1" si="2"/>
        <v>112</v>
      </c>
    </row>
    <row r="131" spans="1:14" x14ac:dyDescent="0.25">
      <c r="A131" s="52">
        <v>130</v>
      </c>
      <c r="B131" s="52">
        <v>643204</v>
      </c>
      <c r="C131" s="52" t="s">
        <v>334</v>
      </c>
      <c r="D131" s="55" t="s">
        <v>26</v>
      </c>
      <c r="E131" s="55" t="s">
        <v>27</v>
      </c>
      <c r="F131" s="55" t="s">
        <v>223</v>
      </c>
      <c r="G131" s="52" t="s">
        <v>29</v>
      </c>
      <c r="H131" s="54">
        <v>46150</v>
      </c>
      <c r="I131" s="53">
        <v>46147</v>
      </c>
      <c r="J131" s="52" t="s">
        <v>31</v>
      </c>
      <c r="K131" s="52" t="s">
        <v>270</v>
      </c>
      <c r="L131" s="52" t="s">
        <v>40</v>
      </c>
      <c r="M131" s="52" t="s">
        <v>30</v>
      </c>
      <c r="N131" s="56">
        <f t="shared" ca="1" si="2"/>
        <v>109</v>
      </c>
    </row>
    <row r="132" spans="1:14" x14ac:dyDescent="0.25">
      <c r="A132" s="52">
        <v>131</v>
      </c>
      <c r="B132" s="52">
        <v>643252</v>
      </c>
      <c r="C132" s="52" t="s">
        <v>335</v>
      </c>
      <c r="D132" s="55" t="s">
        <v>26</v>
      </c>
      <c r="E132" s="55" t="s">
        <v>27</v>
      </c>
      <c r="F132" s="55" t="s">
        <v>226</v>
      </c>
      <c r="G132" s="52" t="s">
        <v>29</v>
      </c>
      <c r="H132" s="54">
        <v>46150</v>
      </c>
      <c r="I132" s="53">
        <v>46147</v>
      </c>
      <c r="J132" s="52" t="s">
        <v>31</v>
      </c>
      <c r="K132" s="52" t="s">
        <v>270</v>
      </c>
      <c r="L132" s="52" t="s">
        <v>40</v>
      </c>
      <c r="M132" s="52" t="s">
        <v>30</v>
      </c>
      <c r="N132" s="56">
        <f t="shared" ca="1" si="2"/>
        <v>109</v>
      </c>
    </row>
    <row r="133" spans="1:14" x14ac:dyDescent="0.25">
      <c r="A133" s="52">
        <v>132</v>
      </c>
      <c r="B133" s="52">
        <v>643062</v>
      </c>
      <c r="C133" s="52" t="s">
        <v>336</v>
      </c>
      <c r="D133" s="55" t="s">
        <v>26</v>
      </c>
      <c r="E133" s="55" t="s">
        <v>27</v>
      </c>
      <c r="F133" s="55" t="s">
        <v>337</v>
      </c>
      <c r="G133" s="52" t="s">
        <v>29</v>
      </c>
      <c r="H133" s="54">
        <v>46148</v>
      </c>
      <c r="I133" s="53">
        <v>46144</v>
      </c>
      <c r="J133" s="52" t="s">
        <v>77</v>
      </c>
      <c r="K133" s="52" t="s">
        <v>278</v>
      </c>
      <c r="L133" s="52" t="s">
        <v>40</v>
      </c>
      <c r="M133" s="52" t="s">
        <v>30</v>
      </c>
      <c r="N133" s="56">
        <f t="shared" ca="1" si="2"/>
        <v>112</v>
      </c>
    </row>
    <row r="134" spans="1:14" x14ac:dyDescent="0.25">
      <c r="A134" s="52">
        <v>133</v>
      </c>
      <c r="B134" s="52">
        <v>643203</v>
      </c>
      <c r="C134" s="52" t="s">
        <v>338</v>
      </c>
      <c r="D134" s="55" t="s">
        <v>26</v>
      </c>
      <c r="E134" s="55" t="s">
        <v>27</v>
      </c>
      <c r="F134" s="55" t="s">
        <v>339</v>
      </c>
      <c r="G134" s="52" t="s">
        <v>29</v>
      </c>
      <c r="H134" s="54">
        <v>46149</v>
      </c>
      <c r="I134" s="53">
        <v>46146</v>
      </c>
      <c r="J134" s="52" t="s">
        <v>77</v>
      </c>
      <c r="K134" s="52" t="s">
        <v>270</v>
      </c>
      <c r="L134" s="52" t="s">
        <v>40</v>
      </c>
      <c r="M134" s="52" t="s">
        <v>30</v>
      </c>
      <c r="N134" s="56">
        <f t="shared" ca="1" si="2"/>
        <v>110</v>
      </c>
    </row>
    <row r="135" spans="1:14" x14ac:dyDescent="0.25">
      <c r="A135" s="52">
        <v>134</v>
      </c>
      <c r="B135" s="52">
        <v>620542</v>
      </c>
      <c r="C135" s="52" t="s">
        <v>340</v>
      </c>
      <c r="D135" s="55" t="s">
        <v>26</v>
      </c>
      <c r="E135" s="55" t="s">
        <v>27</v>
      </c>
      <c r="F135" s="55" t="s">
        <v>341</v>
      </c>
      <c r="G135" s="52" t="s">
        <v>29</v>
      </c>
      <c r="H135" s="54">
        <v>46150</v>
      </c>
      <c r="I135" s="53">
        <v>46146</v>
      </c>
      <c r="J135" s="52" t="s">
        <v>31</v>
      </c>
      <c r="K135" s="52" t="s">
        <v>270</v>
      </c>
      <c r="L135" s="52" t="s">
        <v>40</v>
      </c>
      <c r="M135" s="52" t="s">
        <v>30</v>
      </c>
      <c r="N135" s="56">
        <f t="shared" ca="1" si="2"/>
        <v>110</v>
      </c>
    </row>
    <row r="136" spans="1:14" x14ac:dyDescent="0.25">
      <c r="A136" s="52">
        <v>135</v>
      </c>
      <c r="B136" s="52">
        <v>595991</v>
      </c>
      <c r="C136" s="52" t="s">
        <v>342</v>
      </c>
      <c r="D136" s="55" t="s">
        <v>26</v>
      </c>
      <c r="E136" s="55" t="s">
        <v>27</v>
      </c>
      <c r="F136" s="55" t="s">
        <v>343</v>
      </c>
      <c r="G136" s="52" t="s">
        <v>29</v>
      </c>
      <c r="H136" s="54">
        <v>46150</v>
      </c>
      <c r="I136" s="53">
        <v>46147</v>
      </c>
      <c r="J136" s="52" t="s">
        <v>31</v>
      </c>
      <c r="K136" s="52" t="s">
        <v>270</v>
      </c>
      <c r="L136" s="52" t="s">
        <v>40</v>
      </c>
      <c r="M136" s="52" t="s">
        <v>30</v>
      </c>
      <c r="N136" s="56">
        <f t="shared" ca="1" si="2"/>
        <v>109</v>
      </c>
    </row>
    <row r="137" spans="1:14" x14ac:dyDescent="0.25">
      <c r="A137" s="52">
        <v>136</v>
      </c>
      <c r="B137" s="52">
        <v>643214</v>
      </c>
      <c r="C137" s="52" t="s">
        <v>344</v>
      </c>
      <c r="D137" s="55" t="s">
        <v>26</v>
      </c>
      <c r="E137" s="55" t="s">
        <v>27</v>
      </c>
      <c r="F137" s="55" t="s">
        <v>345</v>
      </c>
      <c r="G137" s="52" t="s">
        <v>29</v>
      </c>
      <c r="H137" s="54">
        <v>46150</v>
      </c>
      <c r="I137" s="53">
        <v>46147</v>
      </c>
      <c r="J137" s="52" t="s">
        <v>31</v>
      </c>
      <c r="K137" s="52" t="s">
        <v>270</v>
      </c>
      <c r="L137" s="52" t="s">
        <v>40</v>
      </c>
      <c r="M137" s="52" t="s">
        <v>30</v>
      </c>
      <c r="N137" s="56">
        <f t="shared" ca="1" si="2"/>
        <v>109</v>
      </c>
    </row>
    <row r="138" spans="1:14" x14ac:dyDescent="0.25">
      <c r="A138" s="52">
        <v>137</v>
      </c>
      <c r="B138" s="52">
        <v>643092</v>
      </c>
      <c r="C138" s="52" t="s">
        <v>346</v>
      </c>
      <c r="D138" s="55" t="s">
        <v>26</v>
      </c>
      <c r="E138" s="55" t="s">
        <v>27</v>
      </c>
      <c r="F138" s="55" t="s">
        <v>347</v>
      </c>
      <c r="G138" s="52" t="s">
        <v>29</v>
      </c>
      <c r="H138" s="54">
        <v>46148</v>
      </c>
      <c r="I138" s="53">
        <v>46145</v>
      </c>
      <c r="J138" s="52" t="s">
        <v>77</v>
      </c>
      <c r="K138" s="52" t="s">
        <v>278</v>
      </c>
      <c r="L138" s="52" t="s">
        <v>40</v>
      </c>
      <c r="M138" s="52" t="s">
        <v>30</v>
      </c>
      <c r="N138" s="56">
        <f t="shared" ca="1" si="2"/>
        <v>111</v>
      </c>
    </row>
    <row r="139" spans="1:14" x14ac:dyDescent="0.25">
      <c r="A139" s="52">
        <v>138</v>
      </c>
      <c r="B139" s="52">
        <v>643071</v>
      </c>
      <c r="C139" s="52" t="s">
        <v>348</v>
      </c>
      <c r="D139" s="55" t="s">
        <v>26</v>
      </c>
      <c r="E139" s="55" t="s">
        <v>27</v>
      </c>
      <c r="F139" s="55" t="s">
        <v>349</v>
      </c>
      <c r="G139" s="52" t="s">
        <v>29</v>
      </c>
      <c r="H139" s="54">
        <v>46148</v>
      </c>
      <c r="I139" s="53">
        <v>46144</v>
      </c>
      <c r="J139" s="52" t="s">
        <v>77</v>
      </c>
      <c r="K139" s="52" t="s">
        <v>278</v>
      </c>
      <c r="L139" s="52" t="s">
        <v>40</v>
      </c>
      <c r="M139" s="52" t="s">
        <v>30</v>
      </c>
      <c r="N139" s="56">
        <f t="shared" ca="1" si="2"/>
        <v>112</v>
      </c>
    </row>
    <row r="140" spans="1:14" x14ac:dyDescent="0.25">
      <c r="A140" s="52">
        <v>139</v>
      </c>
      <c r="B140" s="52">
        <v>643057</v>
      </c>
      <c r="C140" s="52" t="s">
        <v>350</v>
      </c>
      <c r="D140" s="55" t="s">
        <v>26</v>
      </c>
      <c r="E140" s="55" t="s">
        <v>27</v>
      </c>
      <c r="F140" s="55" t="s">
        <v>351</v>
      </c>
      <c r="G140" s="52" t="s">
        <v>29</v>
      </c>
      <c r="H140" s="54">
        <v>46148</v>
      </c>
      <c r="I140" s="53">
        <v>46144</v>
      </c>
      <c r="J140" s="52" t="s">
        <v>77</v>
      </c>
      <c r="K140" s="52" t="s">
        <v>296</v>
      </c>
      <c r="L140" s="52" t="s">
        <v>40</v>
      </c>
      <c r="M140" s="52" t="s">
        <v>30</v>
      </c>
      <c r="N140" s="56">
        <f t="shared" ca="1" si="2"/>
        <v>112</v>
      </c>
    </row>
    <row r="141" spans="1:14" x14ac:dyDescent="0.25">
      <c r="A141" s="52">
        <v>140</v>
      </c>
      <c r="B141" s="52">
        <v>643073</v>
      </c>
      <c r="C141" s="52" t="s">
        <v>352</v>
      </c>
      <c r="D141" s="55" t="s">
        <v>26</v>
      </c>
      <c r="E141" s="55" t="s">
        <v>27</v>
      </c>
      <c r="F141" s="55" t="s">
        <v>353</v>
      </c>
      <c r="G141" s="52" t="s">
        <v>29</v>
      </c>
      <c r="H141" s="54">
        <v>46148</v>
      </c>
      <c r="I141" s="53">
        <v>46144</v>
      </c>
      <c r="J141" s="52" t="s">
        <v>77</v>
      </c>
      <c r="K141" s="52" t="s">
        <v>278</v>
      </c>
      <c r="L141" s="52" t="s">
        <v>40</v>
      </c>
      <c r="M141" s="52" t="s">
        <v>30</v>
      </c>
      <c r="N141" s="56">
        <f t="shared" ca="1" si="2"/>
        <v>112</v>
      </c>
    </row>
    <row r="142" spans="1:14" x14ac:dyDescent="0.25">
      <c r="A142" s="52">
        <v>141</v>
      </c>
      <c r="B142" s="52">
        <v>431141</v>
      </c>
      <c r="C142" s="52" t="s">
        <v>354</v>
      </c>
      <c r="D142" s="55" t="s">
        <v>26</v>
      </c>
      <c r="E142" s="55" t="s">
        <v>27</v>
      </c>
      <c r="F142" s="55" t="s">
        <v>355</v>
      </c>
      <c r="G142" s="52" t="s">
        <v>29</v>
      </c>
      <c r="H142" s="54">
        <v>46148</v>
      </c>
      <c r="I142" s="53">
        <v>46144</v>
      </c>
      <c r="J142" s="52" t="s">
        <v>77</v>
      </c>
      <c r="K142" s="52" t="s">
        <v>278</v>
      </c>
      <c r="L142" s="52" t="s">
        <v>40</v>
      </c>
      <c r="M142" s="52" t="s">
        <v>30</v>
      </c>
      <c r="N142" s="56">
        <f t="shared" ca="1" si="2"/>
        <v>112</v>
      </c>
    </row>
    <row r="143" spans="1:14" x14ac:dyDescent="0.25">
      <c r="A143" s="52">
        <v>142</v>
      </c>
      <c r="B143" s="52">
        <v>643236</v>
      </c>
      <c r="C143" s="52" t="s">
        <v>356</v>
      </c>
      <c r="D143" s="55" t="s">
        <v>26</v>
      </c>
      <c r="E143" s="55" t="s">
        <v>27</v>
      </c>
      <c r="F143" s="55" t="s">
        <v>357</v>
      </c>
      <c r="G143" s="52" t="s">
        <v>29</v>
      </c>
      <c r="H143" s="54">
        <v>46150</v>
      </c>
      <c r="I143" s="53">
        <v>46147</v>
      </c>
      <c r="J143" s="52" t="s">
        <v>77</v>
      </c>
      <c r="K143" s="52" t="s">
        <v>358</v>
      </c>
      <c r="L143" s="52" t="s">
        <v>40</v>
      </c>
      <c r="M143" s="52" t="s">
        <v>359</v>
      </c>
      <c r="N143" s="56">
        <f t="shared" ca="1" si="2"/>
        <v>109</v>
      </c>
    </row>
    <row r="144" spans="1:14" x14ac:dyDescent="0.25">
      <c r="A144" s="52">
        <v>143</v>
      </c>
      <c r="B144" s="52">
        <v>487326</v>
      </c>
      <c r="C144" s="52" t="s">
        <v>360</v>
      </c>
      <c r="D144" s="55" t="s">
        <v>26</v>
      </c>
      <c r="E144" s="55" t="s">
        <v>27</v>
      </c>
      <c r="F144" s="55" t="s">
        <v>361</v>
      </c>
      <c r="G144" s="52" t="s">
        <v>29</v>
      </c>
      <c r="H144" s="54">
        <v>46150</v>
      </c>
      <c r="I144" s="53">
        <v>46147</v>
      </c>
      <c r="J144" s="52" t="s">
        <v>31</v>
      </c>
      <c r="K144" s="52" t="s">
        <v>270</v>
      </c>
      <c r="L144" s="52" t="s">
        <v>40</v>
      </c>
      <c r="M144" s="52" t="s">
        <v>30</v>
      </c>
      <c r="N144" s="56">
        <f t="shared" ca="1" si="2"/>
        <v>109</v>
      </c>
    </row>
    <row r="145" spans="1:14" x14ac:dyDescent="0.25">
      <c r="A145" s="52">
        <v>144</v>
      </c>
      <c r="B145" s="52">
        <v>260042</v>
      </c>
      <c r="C145" s="52" t="s">
        <v>362</v>
      </c>
      <c r="D145" s="55" t="s">
        <v>26</v>
      </c>
      <c r="E145" s="55" t="s">
        <v>27</v>
      </c>
      <c r="F145" s="55">
        <v>404361103</v>
      </c>
      <c r="G145" s="52" t="s">
        <v>29</v>
      </c>
      <c r="H145" s="54">
        <v>46150</v>
      </c>
      <c r="I145" s="53">
        <v>46144</v>
      </c>
      <c r="J145" s="52" t="s">
        <v>31</v>
      </c>
      <c r="K145" s="52" t="s">
        <v>270</v>
      </c>
      <c r="L145" s="52" t="s">
        <v>40</v>
      </c>
      <c r="M145" s="52" t="s">
        <v>30</v>
      </c>
      <c r="N145" s="56">
        <f t="shared" ca="1" si="2"/>
        <v>112</v>
      </c>
    </row>
    <row r="146" spans="1:14" x14ac:dyDescent="0.25">
      <c r="A146" s="52">
        <v>145</v>
      </c>
      <c r="B146" s="52">
        <v>643215</v>
      </c>
      <c r="C146" s="52" t="s">
        <v>363</v>
      </c>
      <c r="D146" s="55" t="s">
        <v>26</v>
      </c>
      <c r="E146" s="55" t="s">
        <v>27</v>
      </c>
      <c r="F146" s="55" t="s">
        <v>364</v>
      </c>
      <c r="G146" s="52" t="s">
        <v>29</v>
      </c>
      <c r="H146" s="54">
        <v>46150</v>
      </c>
      <c r="I146" s="53">
        <v>46146</v>
      </c>
      <c r="J146" s="52" t="s">
        <v>31</v>
      </c>
      <c r="K146" s="52" t="s">
        <v>270</v>
      </c>
      <c r="L146" s="52" t="s">
        <v>40</v>
      </c>
      <c r="M146" s="52" t="s">
        <v>30</v>
      </c>
      <c r="N146" s="56">
        <f t="shared" ca="1" si="2"/>
        <v>110</v>
      </c>
    </row>
    <row r="147" spans="1:14" x14ac:dyDescent="0.25">
      <c r="A147" s="52">
        <v>146</v>
      </c>
      <c r="B147" s="52">
        <v>643217</v>
      </c>
      <c r="C147" s="52" t="s">
        <v>365</v>
      </c>
      <c r="D147" s="55" t="s">
        <v>26</v>
      </c>
      <c r="E147" s="55" t="s">
        <v>27</v>
      </c>
      <c r="F147" s="55">
        <v>402602758</v>
      </c>
      <c r="G147" s="52" t="s">
        <v>29</v>
      </c>
      <c r="H147" s="54">
        <v>46150</v>
      </c>
      <c r="I147" s="53">
        <v>46146</v>
      </c>
      <c r="J147" s="52" t="s">
        <v>31</v>
      </c>
      <c r="K147" s="52" t="s">
        <v>270</v>
      </c>
      <c r="L147" s="52" t="s">
        <v>40</v>
      </c>
      <c r="M147" s="52" t="s">
        <v>30</v>
      </c>
      <c r="N147" s="56">
        <f t="shared" ca="1" si="2"/>
        <v>110</v>
      </c>
    </row>
    <row r="148" spans="1:14" x14ac:dyDescent="0.25">
      <c r="A148" s="52">
        <v>147</v>
      </c>
      <c r="B148" s="52">
        <v>607192</v>
      </c>
      <c r="C148" s="52" t="s">
        <v>366</v>
      </c>
      <c r="D148" s="55" t="s">
        <v>26</v>
      </c>
      <c r="E148" s="55" t="s">
        <v>27</v>
      </c>
      <c r="F148" s="55" t="s">
        <v>367</v>
      </c>
      <c r="G148" s="52" t="s">
        <v>29</v>
      </c>
      <c r="H148" s="54">
        <v>46151</v>
      </c>
      <c r="I148" s="53">
        <v>46147</v>
      </c>
      <c r="J148" s="52" t="s">
        <v>31</v>
      </c>
      <c r="K148" s="52" t="s">
        <v>270</v>
      </c>
      <c r="L148" s="52" t="s">
        <v>40</v>
      </c>
      <c r="M148" s="52" t="s">
        <v>30</v>
      </c>
      <c r="N148" s="56">
        <f t="shared" ca="1" si="2"/>
        <v>109</v>
      </c>
    </row>
    <row r="149" spans="1:14" x14ac:dyDescent="0.25">
      <c r="A149" s="52">
        <v>148</v>
      </c>
      <c r="B149" s="52">
        <v>643251</v>
      </c>
      <c r="C149" s="52" t="s">
        <v>368</v>
      </c>
      <c r="D149" s="55" t="s">
        <v>26</v>
      </c>
      <c r="E149" s="55" t="s">
        <v>27</v>
      </c>
      <c r="F149" s="55" t="s">
        <v>369</v>
      </c>
      <c r="G149" s="52" t="s">
        <v>29</v>
      </c>
      <c r="H149" s="54">
        <v>46151</v>
      </c>
      <c r="I149" s="53">
        <v>46147</v>
      </c>
      <c r="J149" s="52" t="s">
        <v>31</v>
      </c>
      <c r="K149" s="52" t="s">
        <v>270</v>
      </c>
      <c r="L149" s="52" t="s">
        <v>40</v>
      </c>
      <c r="M149" s="52" t="s">
        <v>30</v>
      </c>
      <c r="N149" s="56">
        <f t="shared" ca="1" si="2"/>
        <v>109</v>
      </c>
    </row>
    <row r="150" spans="1:14" x14ac:dyDescent="0.25">
      <c r="A150" s="52">
        <v>149</v>
      </c>
      <c r="B150" s="52">
        <v>522644</v>
      </c>
      <c r="C150" s="52" t="s">
        <v>370</v>
      </c>
      <c r="D150" s="55" t="s">
        <v>26</v>
      </c>
      <c r="E150" s="55" t="s">
        <v>27</v>
      </c>
      <c r="F150" s="55" t="s">
        <v>371</v>
      </c>
      <c r="G150" s="52" t="s">
        <v>29</v>
      </c>
      <c r="H150" s="54">
        <v>46151</v>
      </c>
      <c r="I150" s="53">
        <v>46147</v>
      </c>
      <c r="J150" s="52" t="s">
        <v>372</v>
      </c>
      <c r="K150" s="52" t="s">
        <v>373</v>
      </c>
      <c r="L150" s="52" t="s">
        <v>40</v>
      </c>
      <c r="M150" s="52" t="s">
        <v>30</v>
      </c>
      <c r="N150" s="56">
        <f t="shared" ca="1" si="2"/>
        <v>109</v>
      </c>
    </row>
    <row r="151" spans="1:14" x14ac:dyDescent="0.25">
      <c r="A151" s="52">
        <v>150</v>
      </c>
      <c r="B151" s="52">
        <v>618142</v>
      </c>
      <c r="C151" s="52" t="s">
        <v>374</v>
      </c>
      <c r="D151" s="55" t="s">
        <v>26</v>
      </c>
      <c r="E151" s="55" t="s">
        <v>27</v>
      </c>
      <c r="F151" s="55" t="s">
        <v>375</v>
      </c>
      <c r="G151" s="52" t="s">
        <v>29</v>
      </c>
      <c r="H151" s="54">
        <v>46149</v>
      </c>
      <c r="I151" s="53">
        <v>46146</v>
      </c>
      <c r="J151" s="52" t="s">
        <v>77</v>
      </c>
      <c r="K151" s="52" t="s">
        <v>376</v>
      </c>
      <c r="L151" s="52" t="s">
        <v>40</v>
      </c>
      <c r="M151" s="52" t="s">
        <v>30</v>
      </c>
      <c r="N151" s="56">
        <f t="shared" ca="1" si="2"/>
        <v>110</v>
      </c>
    </row>
    <row r="152" spans="1:14" x14ac:dyDescent="0.25">
      <c r="A152" s="52">
        <v>151</v>
      </c>
      <c r="B152" s="52">
        <v>809815</v>
      </c>
      <c r="C152" s="52" t="s">
        <v>377</v>
      </c>
      <c r="D152" s="55" t="s">
        <v>26</v>
      </c>
      <c r="E152" s="55" t="s">
        <v>27</v>
      </c>
      <c r="F152" s="55" t="s">
        <v>378</v>
      </c>
      <c r="G152" s="52" t="s">
        <v>29</v>
      </c>
      <c r="H152" s="54">
        <v>46150</v>
      </c>
      <c r="I152" s="53">
        <v>46144</v>
      </c>
      <c r="J152" s="52" t="s">
        <v>31</v>
      </c>
      <c r="K152" s="52" t="s">
        <v>379</v>
      </c>
      <c r="L152" s="52" t="s">
        <v>33</v>
      </c>
      <c r="M152" s="52" t="s">
        <v>143</v>
      </c>
      <c r="N152" s="56">
        <f t="shared" ca="1" si="2"/>
        <v>112</v>
      </c>
    </row>
    <row r="153" spans="1:14" x14ac:dyDescent="0.25">
      <c r="A153" s="52">
        <v>152</v>
      </c>
      <c r="B153" s="52">
        <v>643238</v>
      </c>
      <c r="C153" s="52" t="s">
        <v>380</v>
      </c>
      <c r="D153" s="55" t="s">
        <v>26</v>
      </c>
      <c r="E153" s="55" t="s">
        <v>27</v>
      </c>
      <c r="F153" s="55" t="s">
        <v>381</v>
      </c>
      <c r="G153" s="52" t="s">
        <v>29</v>
      </c>
      <c r="H153" s="54">
        <v>46151</v>
      </c>
      <c r="I153" s="53">
        <v>46147</v>
      </c>
      <c r="J153" s="52" t="s">
        <v>64</v>
      </c>
      <c r="K153" s="52" t="s">
        <v>382</v>
      </c>
      <c r="L153" s="52" t="s">
        <v>66</v>
      </c>
      <c r="M153" s="52" t="s">
        <v>30</v>
      </c>
      <c r="N153" s="56">
        <f t="shared" ca="1" si="2"/>
        <v>109</v>
      </c>
    </row>
    <row r="154" spans="1:14" x14ac:dyDescent="0.25">
      <c r="A154" s="52">
        <v>153</v>
      </c>
      <c r="B154" s="52">
        <v>584131</v>
      </c>
      <c r="C154" s="52" t="s">
        <v>383</v>
      </c>
      <c r="D154" s="55" t="s">
        <v>26</v>
      </c>
      <c r="E154" s="55" t="s">
        <v>27</v>
      </c>
      <c r="F154" s="55" t="s">
        <v>384</v>
      </c>
      <c r="G154" s="52" t="s">
        <v>29</v>
      </c>
      <c r="H154" s="54">
        <v>46150</v>
      </c>
      <c r="I154" s="53">
        <v>46144</v>
      </c>
      <c r="J154" s="52" t="s">
        <v>31</v>
      </c>
      <c r="K154" s="52" t="s">
        <v>270</v>
      </c>
      <c r="L154" s="52" t="s">
        <v>40</v>
      </c>
      <c r="M154" s="52" t="s">
        <v>30</v>
      </c>
      <c r="N154" s="56">
        <f t="shared" ca="1" si="2"/>
        <v>112</v>
      </c>
    </row>
    <row r="155" spans="1:14" x14ac:dyDescent="0.25">
      <c r="A155" s="52">
        <v>154</v>
      </c>
      <c r="B155" s="52">
        <v>643193</v>
      </c>
      <c r="C155" s="52" t="s">
        <v>385</v>
      </c>
      <c r="D155" s="55" t="s">
        <v>26</v>
      </c>
      <c r="E155" s="55" t="s">
        <v>27</v>
      </c>
      <c r="F155" s="55" t="s">
        <v>386</v>
      </c>
      <c r="G155" s="52" t="s">
        <v>29</v>
      </c>
      <c r="H155" s="54">
        <v>46150</v>
      </c>
      <c r="I155" s="53">
        <v>46144</v>
      </c>
      <c r="J155" s="52" t="s">
        <v>31</v>
      </c>
      <c r="K155" s="52" t="s">
        <v>270</v>
      </c>
      <c r="L155" s="52" t="s">
        <v>40</v>
      </c>
      <c r="M155" s="52" t="s">
        <v>30</v>
      </c>
      <c r="N155" s="56">
        <f t="shared" ca="1" si="2"/>
        <v>112</v>
      </c>
    </row>
    <row r="156" spans="1:14" x14ac:dyDescent="0.25">
      <c r="A156" s="52">
        <v>155</v>
      </c>
      <c r="B156" s="52">
        <v>643060</v>
      </c>
      <c r="C156" s="52" t="s">
        <v>387</v>
      </c>
      <c r="D156" s="55" t="s">
        <v>26</v>
      </c>
      <c r="E156" s="55" t="s">
        <v>27</v>
      </c>
      <c r="F156" s="55" t="s">
        <v>388</v>
      </c>
      <c r="G156" s="52" t="s">
        <v>29</v>
      </c>
      <c r="H156" s="54">
        <v>46148</v>
      </c>
      <c r="I156" s="53">
        <v>46144</v>
      </c>
      <c r="J156" s="52" t="s">
        <v>77</v>
      </c>
      <c r="K156" s="52" t="s">
        <v>296</v>
      </c>
      <c r="L156" s="52" t="s">
        <v>40</v>
      </c>
      <c r="M156" s="52" t="s">
        <v>30</v>
      </c>
      <c r="N156" s="56">
        <f t="shared" ca="1" si="2"/>
        <v>112</v>
      </c>
    </row>
    <row r="157" spans="1:14" x14ac:dyDescent="0.25">
      <c r="A157" s="52">
        <v>156</v>
      </c>
      <c r="B157" s="52">
        <v>643216</v>
      </c>
      <c r="C157" s="52" t="s">
        <v>389</v>
      </c>
      <c r="D157" s="55" t="s">
        <v>26</v>
      </c>
      <c r="E157" s="55" t="s">
        <v>27</v>
      </c>
      <c r="F157" s="55" t="s">
        <v>390</v>
      </c>
      <c r="G157" s="52" t="s">
        <v>29</v>
      </c>
      <c r="H157" s="54">
        <v>46151</v>
      </c>
      <c r="I157" s="53">
        <v>46146</v>
      </c>
      <c r="J157" s="52" t="s">
        <v>31</v>
      </c>
      <c r="K157" s="52" t="s">
        <v>270</v>
      </c>
      <c r="L157" s="52" t="s">
        <v>40</v>
      </c>
      <c r="M157" s="52" t="s">
        <v>30</v>
      </c>
      <c r="N157" s="56">
        <f t="shared" ca="1" si="2"/>
        <v>110</v>
      </c>
    </row>
    <row r="158" spans="1:14" x14ac:dyDescent="0.25">
      <c r="A158" s="52">
        <v>157</v>
      </c>
      <c r="B158" s="52">
        <v>634868</v>
      </c>
      <c r="C158" s="52" t="s">
        <v>391</v>
      </c>
      <c r="D158" s="55" t="s">
        <v>26</v>
      </c>
      <c r="E158" s="55" t="s">
        <v>27</v>
      </c>
      <c r="F158" s="55" t="s">
        <v>392</v>
      </c>
      <c r="G158" s="52" t="s">
        <v>29</v>
      </c>
      <c r="H158" s="54">
        <v>46142</v>
      </c>
      <c r="I158" s="53">
        <v>46138</v>
      </c>
      <c r="J158" s="52" t="s">
        <v>77</v>
      </c>
      <c r="K158" s="52" t="s">
        <v>224</v>
      </c>
      <c r="L158" s="52" t="s">
        <v>40</v>
      </c>
      <c r="M158" s="52" t="s">
        <v>30</v>
      </c>
      <c r="N158" s="56">
        <f t="shared" ca="1" si="2"/>
        <v>118</v>
      </c>
    </row>
    <row r="159" spans="1:14" x14ac:dyDescent="0.25">
      <c r="A159" s="52">
        <v>158</v>
      </c>
      <c r="B159" s="52">
        <v>615445</v>
      </c>
      <c r="C159" s="52" t="s">
        <v>393</v>
      </c>
      <c r="D159" s="55" t="s">
        <v>163</v>
      </c>
      <c r="E159" s="55" t="s">
        <v>27</v>
      </c>
      <c r="F159" s="55" t="s">
        <v>394</v>
      </c>
      <c r="G159" s="52" t="s">
        <v>76</v>
      </c>
      <c r="H159" s="54">
        <v>46142</v>
      </c>
      <c r="I159" s="53" t="s">
        <v>30</v>
      </c>
      <c r="J159" s="52" t="s">
        <v>77</v>
      </c>
      <c r="K159" s="52" t="s">
        <v>224</v>
      </c>
      <c r="L159" s="52" t="s">
        <v>40</v>
      </c>
      <c r="M159" s="52" t="s">
        <v>30</v>
      </c>
      <c r="N159" s="56" t="str">
        <f t="shared" ca="1" si="2"/>
        <v>-</v>
      </c>
    </row>
    <row r="160" spans="1:14" x14ac:dyDescent="0.25">
      <c r="A160" s="52">
        <v>159</v>
      </c>
      <c r="B160" s="52">
        <v>643011</v>
      </c>
      <c r="C160" s="52" t="s">
        <v>395</v>
      </c>
      <c r="D160" s="55" t="s">
        <v>26</v>
      </c>
      <c r="E160" s="55" t="s">
        <v>27</v>
      </c>
      <c r="F160" s="55" t="s">
        <v>396</v>
      </c>
      <c r="G160" s="52" t="s">
        <v>29</v>
      </c>
      <c r="H160" s="54">
        <v>46148</v>
      </c>
      <c r="I160" s="53">
        <v>46143</v>
      </c>
      <c r="J160" s="52" t="s">
        <v>77</v>
      </c>
      <c r="K160" s="52" t="s">
        <v>296</v>
      </c>
      <c r="L160" s="52" t="s">
        <v>40</v>
      </c>
      <c r="M160" s="52" t="s">
        <v>30</v>
      </c>
      <c r="N160" s="56">
        <f t="shared" ca="1" si="2"/>
        <v>113</v>
      </c>
    </row>
    <row r="161" spans="1:14" x14ac:dyDescent="0.25">
      <c r="A161" s="52">
        <v>160</v>
      </c>
      <c r="B161" s="52">
        <v>607587</v>
      </c>
      <c r="C161" s="52" t="s">
        <v>397</v>
      </c>
      <c r="D161" s="55" t="s">
        <v>26</v>
      </c>
      <c r="E161" s="55" t="s">
        <v>27</v>
      </c>
      <c r="F161" s="55" t="s">
        <v>398</v>
      </c>
      <c r="G161" s="52" t="s">
        <v>29</v>
      </c>
      <c r="H161" s="54" t="s">
        <v>399</v>
      </c>
      <c r="I161" s="53">
        <v>46153</v>
      </c>
      <c r="J161" s="52" t="s">
        <v>77</v>
      </c>
      <c r="K161" s="52" t="s">
        <v>373</v>
      </c>
      <c r="L161" s="52" t="s">
        <v>40</v>
      </c>
      <c r="M161" s="52" t="s">
        <v>30</v>
      </c>
      <c r="N161" s="56">
        <f t="shared" ca="1" si="2"/>
        <v>103</v>
      </c>
    </row>
    <row r="162" spans="1:14" x14ac:dyDescent="0.25">
      <c r="A162" s="52">
        <v>161</v>
      </c>
      <c r="B162" s="52">
        <v>643465</v>
      </c>
      <c r="C162" s="52" t="s">
        <v>400</v>
      </c>
      <c r="D162" s="55" t="s">
        <v>26</v>
      </c>
      <c r="E162" s="55" t="s">
        <v>27</v>
      </c>
      <c r="F162" s="55" t="s">
        <v>401</v>
      </c>
      <c r="G162" s="52" t="s">
        <v>29</v>
      </c>
      <c r="H162" s="54" t="s">
        <v>399</v>
      </c>
      <c r="I162" s="53">
        <v>46151</v>
      </c>
      <c r="J162" s="52" t="s">
        <v>64</v>
      </c>
      <c r="K162" s="52" t="s">
        <v>402</v>
      </c>
      <c r="L162" s="52" t="s">
        <v>40</v>
      </c>
      <c r="M162" s="52" t="s">
        <v>30</v>
      </c>
      <c r="N162" s="56">
        <f t="shared" ca="1" si="2"/>
        <v>105</v>
      </c>
    </row>
    <row r="163" spans="1:14" x14ac:dyDescent="0.25">
      <c r="A163" s="52">
        <v>162</v>
      </c>
      <c r="B163" s="52">
        <v>643509</v>
      </c>
      <c r="C163" s="52" t="s">
        <v>403</v>
      </c>
      <c r="D163" s="55" t="s">
        <v>26</v>
      </c>
      <c r="E163" s="55" t="s">
        <v>27</v>
      </c>
      <c r="F163" s="55" t="s">
        <v>404</v>
      </c>
      <c r="G163" s="52" t="s">
        <v>29</v>
      </c>
      <c r="H163" s="54" t="s">
        <v>399</v>
      </c>
      <c r="I163" s="53">
        <v>46153</v>
      </c>
      <c r="J163" s="52" t="s">
        <v>77</v>
      </c>
      <c r="K163" s="52" t="s">
        <v>405</v>
      </c>
      <c r="L163" s="52" t="s">
        <v>40</v>
      </c>
      <c r="M163" s="52" t="s">
        <v>30</v>
      </c>
      <c r="N163" s="56">
        <f t="shared" ca="1" si="2"/>
        <v>103</v>
      </c>
    </row>
    <row r="164" spans="1:14" x14ac:dyDescent="0.25">
      <c r="A164" s="52">
        <v>163</v>
      </c>
      <c r="B164" s="52">
        <v>643439</v>
      </c>
      <c r="C164" s="52" t="s">
        <v>406</v>
      </c>
      <c r="D164" s="55" t="s">
        <v>26</v>
      </c>
      <c r="E164" s="55" t="s">
        <v>27</v>
      </c>
      <c r="F164" s="55" t="s">
        <v>407</v>
      </c>
      <c r="G164" s="52" t="s">
        <v>29</v>
      </c>
      <c r="H164" s="54" t="s">
        <v>399</v>
      </c>
      <c r="I164" s="53">
        <v>46151</v>
      </c>
      <c r="J164" s="52" t="s">
        <v>77</v>
      </c>
      <c r="K164" s="52" t="s">
        <v>373</v>
      </c>
      <c r="L164" s="52" t="s">
        <v>40</v>
      </c>
      <c r="M164" s="52" t="s">
        <v>30</v>
      </c>
      <c r="N164" s="56">
        <f t="shared" ca="1" si="2"/>
        <v>105</v>
      </c>
    </row>
    <row r="165" spans="1:14" x14ac:dyDescent="0.25">
      <c r="A165" s="52">
        <v>164</v>
      </c>
      <c r="B165" s="52">
        <v>643457</v>
      </c>
      <c r="C165" s="52" t="s">
        <v>408</v>
      </c>
      <c r="D165" s="55" t="s">
        <v>26</v>
      </c>
      <c r="E165" s="55" t="s">
        <v>27</v>
      </c>
      <c r="F165" s="55" t="s">
        <v>409</v>
      </c>
      <c r="G165" s="52" t="s">
        <v>29</v>
      </c>
      <c r="H165" s="54" t="s">
        <v>399</v>
      </c>
      <c r="I165" s="53">
        <v>46151</v>
      </c>
      <c r="J165" s="52" t="s">
        <v>77</v>
      </c>
      <c r="K165" s="52" t="s">
        <v>405</v>
      </c>
      <c r="L165" s="52" t="s">
        <v>40</v>
      </c>
      <c r="M165" s="52" t="s">
        <v>30</v>
      </c>
      <c r="N165" s="56">
        <f t="shared" ca="1" si="2"/>
        <v>105</v>
      </c>
    </row>
    <row r="166" spans="1:14" x14ac:dyDescent="0.25">
      <c r="A166" s="52">
        <v>165</v>
      </c>
      <c r="B166" s="52">
        <v>643394</v>
      </c>
      <c r="C166" s="52" t="s">
        <v>410</v>
      </c>
      <c r="D166" s="55" t="s">
        <v>26</v>
      </c>
      <c r="E166" s="55" t="s">
        <v>27</v>
      </c>
      <c r="F166" s="55" t="s">
        <v>411</v>
      </c>
      <c r="G166" s="52" t="s">
        <v>29</v>
      </c>
      <c r="H166" s="54" t="s">
        <v>399</v>
      </c>
      <c r="I166" s="53">
        <v>46150</v>
      </c>
      <c r="J166" s="52" t="s">
        <v>77</v>
      </c>
      <c r="K166" s="52" t="s">
        <v>270</v>
      </c>
      <c r="L166" s="52" t="s">
        <v>40</v>
      </c>
      <c r="M166" s="52" t="s">
        <v>30</v>
      </c>
      <c r="N166" s="56">
        <f t="shared" ca="1" si="2"/>
        <v>106</v>
      </c>
    </row>
    <row r="167" spans="1:14" x14ac:dyDescent="0.25">
      <c r="A167" s="52">
        <v>166</v>
      </c>
      <c r="B167" s="52">
        <v>643375</v>
      </c>
      <c r="C167" s="52" t="s">
        <v>412</v>
      </c>
      <c r="D167" s="55" t="s">
        <v>26</v>
      </c>
      <c r="E167" s="55" t="s">
        <v>27</v>
      </c>
      <c r="F167" s="55" t="s">
        <v>413</v>
      </c>
      <c r="G167" s="52" t="s">
        <v>29</v>
      </c>
      <c r="H167" s="54" t="s">
        <v>399</v>
      </c>
      <c r="I167" s="53">
        <v>46150</v>
      </c>
      <c r="J167" s="52" t="s">
        <v>77</v>
      </c>
      <c r="K167" s="52" t="s">
        <v>270</v>
      </c>
      <c r="L167" s="52" t="s">
        <v>40</v>
      </c>
      <c r="M167" s="52" t="s">
        <v>30</v>
      </c>
      <c r="N167" s="56">
        <f t="shared" ca="1" si="2"/>
        <v>106</v>
      </c>
    </row>
    <row r="168" spans="1:14" x14ac:dyDescent="0.25">
      <c r="A168" s="52">
        <v>167</v>
      </c>
      <c r="B168" s="52">
        <v>643462</v>
      </c>
      <c r="C168" s="52" t="s">
        <v>414</v>
      </c>
      <c r="D168" s="55" t="s">
        <v>26</v>
      </c>
      <c r="E168" s="55" t="s">
        <v>27</v>
      </c>
      <c r="F168" s="55" t="s">
        <v>415</v>
      </c>
      <c r="G168" s="52" t="s">
        <v>29</v>
      </c>
      <c r="H168" s="54" t="s">
        <v>399</v>
      </c>
      <c r="I168" s="53">
        <v>46151</v>
      </c>
      <c r="J168" s="52" t="s">
        <v>64</v>
      </c>
      <c r="K168" s="52" t="s">
        <v>402</v>
      </c>
      <c r="L168" s="52" t="s">
        <v>40</v>
      </c>
      <c r="M168" s="52" t="s">
        <v>30</v>
      </c>
      <c r="N168" s="56">
        <f t="shared" ca="1" si="2"/>
        <v>105</v>
      </c>
    </row>
    <row r="169" spans="1:14" x14ac:dyDescent="0.25">
      <c r="A169" s="52">
        <v>168</v>
      </c>
      <c r="B169" s="52">
        <v>643376</v>
      </c>
      <c r="C169" s="52" t="s">
        <v>416</v>
      </c>
      <c r="D169" s="55" t="s">
        <v>26</v>
      </c>
      <c r="E169" s="55" t="s">
        <v>27</v>
      </c>
      <c r="F169" s="55" t="s">
        <v>417</v>
      </c>
      <c r="G169" s="52" t="s">
        <v>29</v>
      </c>
      <c r="H169" s="54" t="s">
        <v>399</v>
      </c>
      <c r="I169" s="53">
        <v>46150</v>
      </c>
      <c r="J169" s="52" t="s">
        <v>77</v>
      </c>
      <c r="K169" s="52" t="s">
        <v>405</v>
      </c>
      <c r="L169" s="52" t="s">
        <v>40</v>
      </c>
      <c r="M169" s="52" t="s">
        <v>30</v>
      </c>
      <c r="N169" s="56">
        <f t="shared" ca="1" si="2"/>
        <v>106</v>
      </c>
    </row>
    <row r="170" spans="1:14" x14ac:dyDescent="0.25">
      <c r="A170" s="52">
        <v>169</v>
      </c>
      <c r="B170" s="52">
        <v>643373</v>
      </c>
      <c r="C170" s="52" t="s">
        <v>418</v>
      </c>
      <c r="D170" s="55" t="s">
        <v>26</v>
      </c>
      <c r="E170" s="55" t="s">
        <v>27</v>
      </c>
      <c r="F170" s="55" t="s">
        <v>419</v>
      </c>
      <c r="G170" s="52" t="s">
        <v>29</v>
      </c>
      <c r="H170" s="54" t="s">
        <v>399</v>
      </c>
      <c r="I170" s="53">
        <v>46150</v>
      </c>
      <c r="J170" s="52" t="s">
        <v>31</v>
      </c>
      <c r="K170" s="52" t="s">
        <v>373</v>
      </c>
      <c r="L170" s="52" t="s">
        <v>40</v>
      </c>
      <c r="M170" s="52" t="s">
        <v>30</v>
      </c>
      <c r="N170" s="56">
        <f t="shared" ca="1" si="2"/>
        <v>106</v>
      </c>
    </row>
    <row r="171" spans="1:14" x14ac:dyDescent="0.25">
      <c r="A171" s="52">
        <v>170</v>
      </c>
      <c r="B171" s="52">
        <v>643505</v>
      </c>
      <c r="C171" s="52" t="s">
        <v>420</v>
      </c>
      <c r="D171" s="55" t="s">
        <v>26</v>
      </c>
      <c r="E171" s="55" t="s">
        <v>27</v>
      </c>
      <c r="F171" s="55" t="s">
        <v>421</v>
      </c>
      <c r="G171" s="52" t="s">
        <v>29</v>
      </c>
      <c r="H171" s="54" t="s">
        <v>399</v>
      </c>
      <c r="I171" s="53">
        <v>46153</v>
      </c>
      <c r="J171" s="52" t="s">
        <v>31</v>
      </c>
      <c r="K171" s="52" t="s">
        <v>373</v>
      </c>
      <c r="L171" s="52" t="s">
        <v>40</v>
      </c>
      <c r="M171" s="52" t="s">
        <v>30</v>
      </c>
      <c r="N171" s="56">
        <f t="shared" ca="1" si="2"/>
        <v>103</v>
      </c>
    </row>
    <row r="172" spans="1:14" x14ac:dyDescent="0.25">
      <c r="A172" s="52">
        <v>171</v>
      </c>
      <c r="B172" s="52">
        <v>580071</v>
      </c>
      <c r="C172" s="52" t="s">
        <v>422</v>
      </c>
      <c r="D172" s="55" t="s">
        <v>26</v>
      </c>
      <c r="E172" s="55" t="s">
        <v>27</v>
      </c>
      <c r="F172" s="55" t="s">
        <v>423</v>
      </c>
      <c r="G172" s="52" t="s">
        <v>29</v>
      </c>
      <c r="H172" s="54" t="s">
        <v>399</v>
      </c>
      <c r="I172" s="53">
        <v>46153</v>
      </c>
      <c r="J172" s="52" t="s">
        <v>30</v>
      </c>
      <c r="K172" s="52" t="s">
        <v>30</v>
      </c>
      <c r="L172" s="52" t="s">
        <v>155</v>
      </c>
      <c r="M172" s="52" t="s">
        <v>30</v>
      </c>
      <c r="N172" s="56">
        <f t="shared" ca="1" si="2"/>
        <v>103</v>
      </c>
    </row>
    <row r="173" spans="1:14" x14ac:dyDescent="0.25">
      <c r="A173" s="52">
        <v>172</v>
      </c>
      <c r="B173" s="52">
        <v>643393</v>
      </c>
      <c r="C173" s="52" t="s">
        <v>424</v>
      </c>
      <c r="D173" s="55" t="s">
        <v>26</v>
      </c>
      <c r="E173" s="55" t="s">
        <v>27</v>
      </c>
      <c r="F173" s="55" t="s">
        <v>425</v>
      </c>
      <c r="G173" s="52" t="s">
        <v>29</v>
      </c>
      <c r="H173" s="54" t="s">
        <v>399</v>
      </c>
      <c r="I173" s="53">
        <v>46150</v>
      </c>
      <c r="J173" s="52" t="s">
        <v>77</v>
      </c>
      <c r="K173" s="52" t="s">
        <v>373</v>
      </c>
      <c r="L173" s="52" t="s">
        <v>40</v>
      </c>
      <c r="M173" s="52" t="s">
        <v>30</v>
      </c>
      <c r="N173" s="56">
        <f t="shared" ca="1" si="2"/>
        <v>106</v>
      </c>
    </row>
    <row r="174" spans="1:14" x14ac:dyDescent="0.25">
      <c r="A174" s="52">
        <v>173</v>
      </c>
      <c r="B174" s="52">
        <v>643397</v>
      </c>
      <c r="C174" s="52" t="s">
        <v>426</v>
      </c>
      <c r="D174" s="55" t="s">
        <v>26</v>
      </c>
      <c r="E174" s="55" t="s">
        <v>27</v>
      </c>
      <c r="F174" s="55" t="s">
        <v>427</v>
      </c>
      <c r="G174" s="52" t="s">
        <v>29</v>
      </c>
      <c r="H174" s="54" t="s">
        <v>399</v>
      </c>
      <c r="I174" s="53">
        <v>46150</v>
      </c>
      <c r="J174" s="52" t="s">
        <v>31</v>
      </c>
      <c r="K174" s="52" t="s">
        <v>428</v>
      </c>
      <c r="L174" s="52" t="s">
        <v>40</v>
      </c>
      <c r="M174" s="52" t="s">
        <v>30</v>
      </c>
      <c r="N174" s="56">
        <f t="shared" ca="1" si="2"/>
        <v>106</v>
      </c>
    </row>
    <row r="175" spans="1:14" x14ac:dyDescent="0.25">
      <c r="A175" s="52">
        <v>174</v>
      </c>
      <c r="B175" s="52">
        <v>643501</v>
      </c>
      <c r="C175" s="52" t="s">
        <v>429</v>
      </c>
      <c r="D175" s="55" t="s">
        <v>26</v>
      </c>
      <c r="E175" s="55" t="s">
        <v>27</v>
      </c>
      <c r="F175" s="55" t="s">
        <v>430</v>
      </c>
      <c r="G175" s="52" t="s">
        <v>29</v>
      </c>
      <c r="H175" s="54" t="s">
        <v>399</v>
      </c>
      <c r="I175" s="53">
        <v>46153</v>
      </c>
      <c r="J175" s="52" t="s">
        <v>31</v>
      </c>
      <c r="K175" s="52" t="s">
        <v>428</v>
      </c>
      <c r="L175" s="52" t="s">
        <v>40</v>
      </c>
      <c r="M175" s="52" t="s">
        <v>30</v>
      </c>
      <c r="N175" s="56">
        <f t="shared" ca="1" si="2"/>
        <v>103</v>
      </c>
    </row>
    <row r="176" spans="1:14" x14ac:dyDescent="0.25">
      <c r="A176" s="52">
        <v>175</v>
      </c>
      <c r="B176" s="52">
        <v>643429</v>
      </c>
      <c r="C176" s="52" t="s">
        <v>431</v>
      </c>
      <c r="D176" s="55" t="s">
        <v>26</v>
      </c>
      <c r="E176" s="55" t="s">
        <v>27</v>
      </c>
      <c r="F176" s="55" t="s">
        <v>432</v>
      </c>
      <c r="G176" s="52" t="s">
        <v>29</v>
      </c>
      <c r="H176" s="54" t="s">
        <v>399</v>
      </c>
      <c r="I176" s="53">
        <v>46152</v>
      </c>
      <c r="J176" s="52" t="s">
        <v>31</v>
      </c>
      <c r="K176" s="52" t="s">
        <v>373</v>
      </c>
      <c r="L176" s="52" t="s">
        <v>40</v>
      </c>
      <c r="M176" s="52" t="s">
        <v>30</v>
      </c>
      <c r="N176" s="56">
        <f t="shared" ca="1" si="2"/>
        <v>104</v>
      </c>
    </row>
    <row r="177" spans="1:14" x14ac:dyDescent="0.25">
      <c r="A177" s="52">
        <v>176</v>
      </c>
      <c r="B177" s="52">
        <v>643431</v>
      </c>
      <c r="C177" s="52" t="s">
        <v>433</v>
      </c>
      <c r="D177" s="55" t="s">
        <v>26</v>
      </c>
      <c r="E177" s="55" t="s">
        <v>27</v>
      </c>
      <c r="F177" s="55" t="s">
        <v>434</v>
      </c>
      <c r="G177" s="52" t="s">
        <v>29</v>
      </c>
      <c r="H177" s="54" t="s">
        <v>399</v>
      </c>
      <c r="I177" s="53">
        <v>46152</v>
      </c>
      <c r="J177" s="52" t="s">
        <v>31</v>
      </c>
      <c r="K177" s="52" t="s">
        <v>373</v>
      </c>
      <c r="L177" s="52" t="s">
        <v>40</v>
      </c>
      <c r="M177" s="52" t="s">
        <v>30</v>
      </c>
      <c r="N177" s="56">
        <f t="shared" ca="1" si="2"/>
        <v>104</v>
      </c>
    </row>
    <row r="178" spans="1:14" x14ac:dyDescent="0.25">
      <c r="A178" s="52">
        <v>177</v>
      </c>
      <c r="B178" s="52">
        <v>643381</v>
      </c>
      <c r="C178" s="52" t="s">
        <v>435</v>
      </c>
      <c r="D178" s="55" t="s">
        <v>26</v>
      </c>
      <c r="E178" s="55" t="s">
        <v>27</v>
      </c>
      <c r="F178" s="55" t="s">
        <v>436</v>
      </c>
      <c r="G178" s="52" t="s">
        <v>29</v>
      </c>
      <c r="H178" s="54" t="s">
        <v>399</v>
      </c>
      <c r="I178" s="53">
        <v>46150</v>
      </c>
      <c r="J178" s="52" t="s">
        <v>31</v>
      </c>
      <c r="K178" s="52" t="s">
        <v>428</v>
      </c>
      <c r="L178" s="52" t="s">
        <v>40</v>
      </c>
      <c r="M178" s="52" t="s">
        <v>30</v>
      </c>
      <c r="N178" s="56">
        <f t="shared" ca="1" si="2"/>
        <v>106</v>
      </c>
    </row>
    <row r="179" spans="1:14" x14ac:dyDescent="0.25">
      <c r="A179" s="52">
        <v>178</v>
      </c>
      <c r="B179" s="52">
        <v>643502</v>
      </c>
      <c r="C179" s="52" t="s">
        <v>437</v>
      </c>
      <c r="D179" s="55" t="s">
        <v>26</v>
      </c>
      <c r="E179" s="55" t="s">
        <v>27</v>
      </c>
      <c r="F179" s="55" t="s">
        <v>438</v>
      </c>
      <c r="G179" s="52" t="s">
        <v>29</v>
      </c>
      <c r="H179" s="54" t="s">
        <v>399</v>
      </c>
      <c r="I179" s="53">
        <v>46153</v>
      </c>
      <c r="J179" s="52" t="s">
        <v>31</v>
      </c>
      <c r="K179" s="52" t="s">
        <v>373</v>
      </c>
      <c r="L179" s="52" t="s">
        <v>40</v>
      </c>
      <c r="M179" s="52" t="s">
        <v>30</v>
      </c>
      <c r="N179" s="56">
        <f t="shared" ca="1" si="2"/>
        <v>103</v>
      </c>
    </row>
    <row r="180" spans="1:14" x14ac:dyDescent="0.25">
      <c r="A180" s="52">
        <v>179</v>
      </c>
      <c r="B180" s="52">
        <v>643390</v>
      </c>
      <c r="C180" s="52" t="s">
        <v>439</v>
      </c>
      <c r="D180" s="55" t="s">
        <v>26</v>
      </c>
      <c r="E180" s="55" t="s">
        <v>27</v>
      </c>
      <c r="F180" s="55" t="s">
        <v>440</v>
      </c>
      <c r="G180" s="52" t="s">
        <v>29</v>
      </c>
      <c r="H180" s="54" t="s">
        <v>399</v>
      </c>
      <c r="I180" s="53">
        <v>46150</v>
      </c>
      <c r="J180" s="52" t="s">
        <v>77</v>
      </c>
      <c r="K180" s="52" t="s">
        <v>270</v>
      </c>
      <c r="L180" s="52" t="s">
        <v>40</v>
      </c>
      <c r="M180" s="52" t="s">
        <v>30</v>
      </c>
      <c r="N180" s="56">
        <f t="shared" ca="1" si="2"/>
        <v>106</v>
      </c>
    </row>
    <row r="181" spans="1:14" x14ac:dyDescent="0.25">
      <c r="A181" s="52">
        <v>180</v>
      </c>
      <c r="B181" s="52">
        <v>643463</v>
      </c>
      <c r="C181" s="52" t="s">
        <v>441</v>
      </c>
      <c r="D181" s="55" t="s">
        <v>26</v>
      </c>
      <c r="E181" s="55" t="s">
        <v>27</v>
      </c>
      <c r="F181" s="55" t="s">
        <v>442</v>
      </c>
      <c r="G181" s="52" t="s">
        <v>29</v>
      </c>
      <c r="H181" s="54" t="s">
        <v>399</v>
      </c>
      <c r="I181" s="53">
        <v>46151</v>
      </c>
      <c r="J181" s="52" t="s">
        <v>77</v>
      </c>
      <c r="K181" s="52" t="s">
        <v>405</v>
      </c>
      <c r="L181" s="52" t="s">
        <v>40</v>
      </c>
      <c r="M181" s="52" t="s">
        <v>30</v>
      </c>
      <c r="N181" s="56">
        <f t="shared" ca="1" si="2"/>
        <v>105</v>
      </c>
    </row>
    <row r="182" spans="1:14" x14ac:dyDescent="0.25">
      <c r="A182" s="52">
        <v>181</v>
      </c>
      <c r="B182" s="52">
        <v>643500</v>
      </c>
      <c r="C182" s="52" t="s">
        <v>443</v>
      </c>
      <c r="D182" s="55" t="s">
        <v>26</v>
      </c>
      <c r="E182" s="55" t="s">
        <v>27</v>
      </c>
      <c r="F182" s="55" t="s">
        <v>444</v>
      </c>
      <c r="G182" s="52" t="s">
        <v>29</v>
      </c>
      <c r="H182" s="54" t="s">
        <v>399</v>
      </c>
      <c r="I182" s="53">
        <v>46153</v>
      </c>
      <c r="J182" s="52" t="s">
        <v>77</v>
      </c>
      <c r="K182" s="52" t="s">
        <v>405</v>
      </c>
      <c r="L182" s="52" t="s">
        <v>40</v>
      </c>
      <c r="M182" s="52" t="s">
        <v>30</v>
      </c>
      <c r="N182" s="56">
        <f t="shared" ca="1" si="2"/>
        <v>103</v>
      </c>
    </row>
    <row r="183" spans="1:14" x14ac:dyDescent="0.25">
      <c r="A183" s="52">
        <v>182</v>
      </c>
      <c r="B183" s="52">
        <v>643499</v>
      </c>
      <c r="C183" s="52" t="s">
        <v>445</v>
      </c>
      <c r="D183" s="55" t="s">
        <v>26</v>
      </c>
      <c r="E183" s="55" t="s">
        <v>27</v>
      </c>
      <c r="F183" s="55" t="s">
        <v>446</v>
      </c>
      <c r="G183" s="52" t="s">
        <v>29</v>
      </c>
      <c r="H183" s="54" t="s">
        <v>399</v>
      </c>
      <c r="I183" s="53">
        <v>46153</v>
      </c>
      <c r="J183" s="52" t="s">
        <v>31</v>
      </c>
      <c r="K183" s="52" t="s">
        <v>428</v>
      </c>
      <c r="L183" s="52" t="s">
        <v>40</v>
      </c>
      <c r="M183" s="52" t="s">
        <v>30</v>
      </c>
      <c r="N183" s="56">
        <f t="shared" ca="1" si="2"/>
        <v>103</v>
      </c>
    </row>
    <row r="184" spans="1:14" x14ac:dyDescent="0.25">
      <c r="A184" s="52">
        <v>183</v>
      </c>
      <c r="B184" s="52">
        <v>412421</v>
      </c>
      <c r="C184" s="52" t="s">
        <v>447</v>
      </c>
      <c r="D184" s="55" t="s">
        <v>26</v>
      </c>
      <c r="E184" s="55" t="s">
        <v>27</v>
      </c>
      <c r="F184" s="55" t="s">
        <v>448</v>
      </c>
      <c r="G184" s="52" t="s">
        <v>29</v>
      </c>
      <c r="H184" s="54" t="s">
        <v>399</v>
      </c>
      <c r="I184" s="53">
        <v>46153</v>
      </c>
      <c r="J184" s="52" t="s">
        <v>77</v>
      </c>
      <c r="K184" s="52" t="s">
        <v>405</v>
      </c>
      <c r="L184" s="52" t="s">
        <v>40</v>
      </c>
      <c r="M184" s="52" t="s">
        <v>30</v>
      </c>
      <c r="N184" s="56">
        <f t="shared" ca="1" si="2"/>
        <v>103</v>
      </c>
    </row>
    <row r="185" spans="1:14" x14ac:dyDescent="0.25">
      <c r="A185" s="52">
        <v>184</v>
      </c>
      <c r="B185" s="52">
        <v>643503</v>
      </c>
      <c r="C185" s="52" t="s">
        <v>449</v>
      </c>
      <c r="D185" s="55" t="s">
        <v>26</v>
      </c>
      <c r="E185" s="55" t="s">
        <v>27</v>
      </c>
      <c r="F185" s="55" t="s">
        <v>450</v>
      </c>
      <c r="G185" s="52" t="s">
        <v>29</v>
      </c>
      <c r="H185" s="54" t="s">
        <v>399</v>
      </c>
      <c r="I185" s="53">
        <v>46153</v>
      </c>
      <c r="J185" s="52" t="s">
        <v>77</v>
      </c>
      <c r="K185" s="52" t="s">
        <v>405</v>
      </c>
      <c r="L185" s="52" t="s">
        <v>40</v>
      </c>
      <c r="M185" s="52" t="s">
        <v>30</v>
      </c>
      <c r="N185" s="56">
        <f t="shared" ca="1" si="2"/>
        <v>103</v>
      </c>
    </row>
    <row r="186" spans="1:14" x14ac:dyDescent="0.25">
      <c r="A186" s="52">
        <v>185</v>
      </c>
      <c r="B186" s="52">
        <v>643440</v>
      </c>
      <c r="C186" s="52" t="s">
        <v>451</v>
      </c>
      <c r="D186" s="55" t="s">
        <v>26</v>
      </c>
      <c r="E186" s="55" t="s">
        <v>27</v>
      </c>
      <c r="F186" s="55" t="s">
        <v>452</v>
      </c>
      <c r="G186" s="52" t="s">
        <v>29</v>
      </c>
      <c r="H186" s="54" t="s">
        <v>399</v>
      </c>
      <c r="I186" s="53">
        <v>46151</v>
      </c>
      <c r="J186" s="52" t="s">
        <v>31</v>
      </c>
      <c r="K186" s="52" t="s">
        <v>428</v>
      </c>
      <c r="L186" s="52" t="s">
        <v>40</v>
      </c>
      <c r="M186" s="52" t="s">
        <v>30</v>
      </c>
      <c r="N186" s="56">
        <f t="shared" ca="1" si="2"/>
        <v>105</v>
      </c>
    </row>
    <row r="187" spans="1:14" x14ac:dyDescent="0.25">
      <c r="A187" s="52">
        <v>186</v>
      </c>
      <c r="B187" s="52">
        <v>634129</v>
      </c>
      <c r="C187" s="52" t="s">
        <v>453</v>
      </c>
      <c r="D187" s="55" t="s">
        <v>26</v>
      </c>
      <c r="E187" s="55" t="s">
        <v>27</v>
      </c>
      <c r="F187" s="55" t="s">
        <v>454</v>
      </c>
      <c r="G187" s="52" t="s">
        <v>76</v>
      </c>
      <c r="H187" s="54" t="s">
        <v>30</v>
      </c>
      <c r="I187" s="53">
        <v>45829</v>
      </c>
      <c r="J187" s="52" t="s">
        <v>77</v>
      </c>
      <c r="K187" s="52" t="s">
        <v>455</v>
      </c>
      <c r="L187" s="52" t="s">
        <v>40</v>
      </c>
      <c r="M187" s="52" t="s">
        <v>30</v>
      </c>
      <c r="N187" s="56">
        <f t="shared" ref="N187:N250" ca="1" si="3">IFERROR(TODAY()-I187,"-")</f>
        <v>427</v>
      </c>
    </row>
    <row r="188" spans="1:14" x14ac:dyDescent="0.25">
      <c r="A188" s="52">
        <v>187</v>
      </c>
      <c r="B188" s="52">
        <v>643432</v>
      </c>
      <c r="C188" s="52" t="s">
        <v>456</v>
      </c>
      <c r="D188" s="55" t="s">
        <v>26</v>
      </c>
      <c r="E188" s="55" t="s">
        <v>27</v>
      </c>
      <c r="F188" s="55" t="s">
        <v>457</v>
      </c>
      <c r="G188" s="52" t="s">
        <v>29</v>
      </c>
      <c r="H188" s="54" t="s">
        <v>399</v>
      </c>
      <c r="I188" s="53">
        <v>46152</v>
      </c>
      <c r="J188" s="52" t="s">
        <v>77</v>
      </c>
      <c r="K188" s="52" t="s">
        <v>373</v>
      </c>
      <c r="L188" s="52" t="s">
        <v>40</v>
      </c>
      <c r="M188" s="52" t="s">
        <v>30</v>
      </c>
      <c r="N188" s="56">
        <f t="shared" ca="1" si="3"/>
        <v>104</v>
      </c>
    </row>
    <row r="189" spans="1:14" x14ac:dyDescent="0.25">
      <c r="A189" s="52">
        <v>188</v>
      </c>
      <c r="B189" s="52">
        <v>643507</v>
      </c>
      <c r="C189" s="52" t="s">
        <v>458</v>
      </c>
      <c r="D189" s="55" t="s">
        <v>26</v>
      </c>
      <c r="E189" s="55" t="s">
        <v>27</v>
      </c>
      <c r="F189" s="55" t="s">
        <v>459</v>
      </c>
      <c r="G189" s="52" t="s">
        <v>29</v>
      </c>
      <c r="H189" s="54" t="s">
        <v>399</v>
      </c>
      <c r="I189" s="53">
        <v>46153</v>
      </c>
      <c r="J189" s="52" t="s">
        <v>77</v>
      </c>
      <c r="K189" s="52" t="s">
        <v>373</v>
      </c>
      <c r="L189" s="52" t="s">
        <v>40</v>
      </c>
      <c r="M189" s="52" t="s">
        <v>30</v>
      </c>
      <c r="N189" s="56">
        <f t="shared" ca="1" si="3"/>
        <v>103</v>
      </c>
    </row>
    <row r="190" spans="1:14" x14ac:dyDescent="0.25">
      <c r="A190" s="52">
        <v>189</v>
      </c>
      <c r="B190" s="52">
        <v>643423</v>
      </c>
      <c r="C190" s="52" t="s">
        <v>460</v>
      </c>
      <c r="D190" s="55" t="s">
        <v>26</v>
      </c>
      <c r="E190" s="55" t="s">
        <v>27</v>
      </c>
      <c r="F190" s="55" t="s">
        <v>461</v>
      </c>
      <c r="G190" s="52" t="s">
        <v>29</v>
      </c>
      <c r="H190" s="54" t="s">
        <v>399</v>
      </c>
      <c r="I190" s="53">
        <v>46151</v>
      </c>
      <c r="J190" s="52" t="s">
        <v>77</v>
      </c>
      <c r="K190" s="52" t="s">
        <v>373</v>
      </c>
      <c r="L190" s="52" t="s">
        <v>40</v>
      </c>
      <c r="M190" s="52" t="s">
        <v>30</v>
      </c>
      <c r="N190" s="56">
        <f t="shared" ca="1" si="3"/>
        <v>105</v>
      </c>
    </row>
    <row r="191" spans="1:14" x14ac:dyDescent="0.25">
      <c r="A191" s="52">
        <v>190</v>
      </c>
      <c r="B191" s="52">
        <v>643504</v>
      </c>
      <c r="C191" s="52" t="s">
        <v>462</v>
      </c>
      <c r="D191" s="55" t="s">
        <v>26</v>
      </c>
      <c r="E191" s="55" t="s">
        <v>27</v>
      </c>
      <c r="F191" s="55" t="s">
        <v>463</v>
      </c>
      <c r="G191" s="52" t="s">
        <v>29</v>
      </c>
      <c r="H191" s="54" t="s">
        <v>399</v>
      </c>
      <c r="I191" s="53">
        <v>46153</v>
      </c>
      <c r="J191" s="52" t="s">
        <v>77</v>
      </c>
      <c r="K191" s="52" t="s">
        <v>373</v>
      </c>
      <c r="L191" s="52" t="s">
        <v>40</v>
      </c>
      <c r="M191" s="52" t="s">
        <v>30</v>
      </c>
      <c r="N191" s="56">
        <f t="shared" ca="1" si="3"/>
        <v>103</v>
      </c>
    </row>
    <row r="192" spans="1:14" x14ac:dyDescent="0.25">
      <c r="A192" s="52">
        <v>191</v>
      </c>
      <c r="B192" s="52">
        <v>643461</v>
      </c>
      <c r="C192" s="52" t="s">
        <v>464</v>
      </c>
      <c r="D192" s="55" t="s">
        <v>26</v>
      </c>
      <c r="E192" s="55" t="s">
        <v>27</v>
      </c>
      <c r="F192" s="55" t="s">
        <v>465</v>
      </c>
      <c r="G192" s="52" t="s">
        <v>29</v>
      </c>
      <c r="H192" s="54" t="s">
        <v>399</v>
      </c>
      <c r="I192" s="53">
        <v>46151</v>
      </c>
      <c r="J192" s="52" t="s">
        <v>64</v>
      </c>
      <c r="K192" s="52" t="s">
        <v>466</v>
      </c>
      <c r="L192" s="52" t="s">
        <v>40</v>
      </c>
      <c r="M192" s="52" t="s">
        <v>30</v>
      </c>
      <c r="N192" s="56">
        <f t="shared" ca="1" si="3"/>
        <v>105</v>
      </c>
    </row>
    <row r="193" spans="1:14" x14ac:dyDescent="0.25">
      <c r="A193" s="52">
        <v>192</v>
      </c>
      <c r="B193" s="52">
        <v>643377</v>
      </c>
      <c r="C193" s="52" t="s">
        <v>467</v>
      </c>
      <c r="D193" s="55" t="s">
        <v>26</v>
      </c>
      <c r="E193" s="55" t="s">
        <v>27</v>
      </c>
      <c r="F193" s="55" t="s">
        <v>468</v>
      </c>
      <c r="G193" s="52" t="s">
        <v>29</v>
      </c>
      <c r="H193" s="54" t="s">
        <v>399</v>
      </c>
      <c r="I193" s="53">
        <v>46150</v>
      </c>
      <c r="J193" s="52" t="s">
        <v>77</v>
      </c>
      <c r="K193" s="52" t="s">
        <v>270</v>
      </c>
      <c r="L193" s="52" t="s">
        <v>40</v>
      </c>
      <c r="M193" s="52" t="s">
        <v>30</v>
      </c>
      <c r="N193" s="56">
        <f t="shared" ca="1" si="3"/>
        <v>106</v>
      </c>
    </row>
    <row r="194" spans="1:14" x14ac:dyDescent="0.25">
      <c r="A194" s="52">
        <v>193</v>
      </c>
      <c r="B194" s="52">
        <v>609996</v>
      </c>
      <c r="C194" s="52" t="s">
        <v>469</v>
      </c>
      <c r="D194" s="55" t="s">
        <v>26</v>
      </c>
      <c r="E194" s="55" t="s">
        <v>27</v>
      </c>
      <c r="F194" s="55" t="s">
        <v>210</v>
      </c>
      <c r="G194" s="52" t="s">
        <v>29</v>
      </c>
      <c r="H194" s="54">
        <v>46154</v>
      </c>
      <c r="I194" s="53">
        <v>46151</v>
      </c>
      <c r="J194" s="52" t="s">
        <v>77</v>
      </c>
      <c r="K194" s="52" t="s">
        <v>373</v>
      </c>
      <c r="L194" s="52" t="s">
        <v>40</v>
      </c>
      <c r="M194" s="52" t="s">
        <v>30</v>
      </c>
      <c r="N194" s="56">
        <f t="shared" ca="1" si="3"/>
        <v>105</v>
      </c>
    </row>
    <row r="195" spans="1:14" x14ac:dyDescent="0.25">
      <c r="A195" s="52">
        <v>194</v>
      </c>
      <c r="B195" s="52">
        <v>643456</v>
      </c>
      <c r="C195" s="52" t="s">
        <v>470</v>
      </c>
      <c r="D195" s="55" t="s">
        <v>26</v>
      </c>
      <c r="E195" s="55" t="s">
        <v>27</v>
      </c>
      <c r="F195" s="55" t="s">
        <v>337</v>
      </c>
      <c r="G195" s="52" t="s">
        <v>29</v>
      </c>
      <c r="H195" s="54" t="s">
        <v>399</v>
      </c>
      <c r="I195" s="53">
        <v>46151</v>
      </c>
      <c r="J195" s="52" t="s">
        <v>77</v>
      </c>
      <c r="K195" s="52" t="s">
        <v>270</v>
      </c>
      <c r="L195" s="52" t="s">
        <v>40</v>
      </c>
      <c r="M195" s="52" t="s">
        <v>30</v>
      </c>
      <c r="N195" s="56">
        <f t="shared" ca="1" si="3"/>
        <v>105</v>
      </c>
    </row>
    <row r="196" spans="1:14" x14ac:dyDescent="0.25">
      <c r="A196" s="52">
        <v>195</v>
      </c>
      <c r="B196" s="52">
        <v>617012</v>
      </c>
      <c r="C196" s="52" t="s">
        <v>471</v>
      </c>
      <c r="D196" s="55" t="s">
        <v>26</v>
      </c>
      <c r="E196" s="55" t="s">
        <v>27</v>
      </c>
      <c r="F196" s="55" t="s">
        <v>219</v>
      </c>
      <c r="G196" s="52" t="s">
        <v>29</v>
      </c>
      <c r="H196" s="54">
        <v>46154</v>
      </c>
      <c r="I196" s="53">
        <v>45786</v>
      </c>
      <c r="J196" s="52" t="s">
        <v>202</v>
      </c>
      <c r="K196" s="52" t="s">
        <v>472</v>
      </c>
      <c r="L196" s="52" t="s">
        <v>40</v>
      </c>
      <c r="M196" s="52" t="s">
        <v>30</v>
      </c>
      <c r="N196" s="56">
        <f t="shared" ca="1" si="3"/>
        <v>470</v>
      </c>
    </row>
    <row r="197" spans="1:14" x14ac:dyDescent="0.25">
      <c r="A197" s="52">
        <v>196</v>
      </c>
      <c r="B197" s="52">
        <v>488398</v>
      </c>
      <c r="C197" s="52" t="s">
        <v>473</v>
      </c>
      <c r="D197" s="55" t="s">
        <v>26</v>
      </c>
      <c r="E197" s="55" t="s">
        <v>27</v>
      </c>
      <c r="F197" s="55" t="s">
        <v>223</v>
      </c>
      <c r="G197" s="52" t="s">
        <v>29</v>
      </c>
      <c r="H197" s="54">
        <v>46154</v>
      </c>
      <c r="I197" s="53">
        <v>46151</v>
      </c>
      <c r="J197" s="52" t="s">
        <v>77</v>
      </c>
      <c r="K197" s="52" t="s">
        <v>405</v>
      </c>
      <c r="L197" s="52" t="s">
        <v>40</v>
      </c>
      <c r="M197" s="52" t="s">
        <v>30</v>
      </c>
      <c r="N197" s="56">
        <f t="shared" ca="1" si="3"/>
        <v>105</v>
      </c>
    </row>
    <row r="198" spans="1:14" x14ac:dyDescent="0.25">
      <c r="A198" s="52">
        <v>197</v>
      </c>
      <c r="B198" s="52">
        <v>580161</v>
      </c>
      <c r="C198" s="52" t="s">
        <v>474</v>
      </c>
      <c r="D198" s="55" t="s">
        <v>26</v>
      </c>
      <c r="E198" s="55" t="s">
        <v>27</v>
      </c>
      <c r="F198" s="55" t="s">
        <v>221</v>
      </c>
      <c r="G198" s="52" t="s">
        <v>29</v>
      </c>
      <c r="H198" s="54" t="s">
        <v>30</v>
      </c>
      <c r="I198" s="53">
        <v>46151</v>
      </c>
      <c r="J198" s="52" t="s">
        <v>202</v>
      </c>
      <c r="K198" s="52" t="s">
        <v>475</v>
      </c>
      <c r="L198" s="52" t="s">
        <v>40</v>
      </c>
      <c r="M198" s="52" t="s">
        <v>30</v>
      </c>
      <c r="N198" s="56">
        <f t="shared" ca="1" si="3"/>
        <v>105</v>
      </c>
    </row>
    <row r="199" spans="1:14" x14ac:dyDescent="0.25">
      <c r="A199" s="52">
        <v>198</v>
      </c>
      <c r="B199" s="52">
        <v>643299</v>
      </c>
      <c r="C199" s="52" t="s">
        <v>476</v>
      </c>
      <c r="D199" s="55" t="s">
        <v>26</v>
      </c>
      <c r="E199" s="55" t="s">
        <v>27</v>
      </c>
      <c r="F199" s="55" t="s">
        <v>226</v>
      </c>
      <c r="G199" s="52" t="s">
        <v>29</v>
      </c>
      <c r="H199" s="54">
        <v>46154</v>
      </c>
      <c r="I199" s="53">
        <v>46149</v>
      </c>
      <c r="J199" s="52" t="s">
        <v>77</v>
      </c>
      <c r="K199" s="52" t="s">
        <v>405</v>
      </c>
      <c r="L199" s="52" t="s">
        <v>40</v>
      </c>
      <c r="M199" s="52" t="s">
        <v>30</v>
      </c>
      <c r="N199" s="56">
        <f t="shared" ca="1" si="3"/>
        <v>107</v>
      </c>
    </row>
    <row r="200" spans="1:14" x14ac:dyDescent="0.25">
      <c r="A200" s="52">
        <v>199</v>
      </c>
      <c r="B200" s="52">
        <v>602152</v>
      </c>
      <c r="C200" s="52" t="s">
        <v>477</v>
      </c>
      <c r="D200" s="55" t="s">
        <v>26</v>
      </c>
      <c r="E200" s="55" t="s">
        <v>27</v>
      </c>
      <c r="F200" s="55" t="s">
        <v>351</v>
      </c>
      <c r="G200" s="52" t="s">
        <v>29</v>
      </c>
      <c r="H200" s="54">
        <v>46154</v>
      </c>
      <c r="I200" s="53">
        <v>46149</v>
      </c>
      <c r="J200" s="52" t="s">
        <v>30</v>
      </c>
      <c r="K200" s="52" t="s">
        <v>30</v>
      </c>
      <c r="L200" s="52" t="s">
        <v>155</v>
      </c>
      <c r="M200" s="52" t="s">
        <v>30</v>
      </c>
      <c r="N200" s="56">
        <f t="shared" ca="1" si="3"/>
        <v>107</v>
      </c>
    </row>
    <row r="201" spans="1:14" x14ac:dyDescent="0.25">
      <c r="A201" s="52">
        <v>200</v>
      </c>
      <c r="B201" s="52">
        <v>643453</v>
      </c>
      <c r="C201" s="52" t="s">
        <v>478</v>
      </c>
      <c r="D201" s="55" t="s">
        <v>26</v>
      </c>
      <c r="E201" s="55" t="s">
        <v>27</v>
      </c>
      <c r="F201" s="55" t="s">
        <v>349</v>
      </c>
      <c r="G201" s="52" t="s">
        <v>29</v>
      </c>
      <c r="H201" s="54" t="s">
        <v>399</v>
      </c>
      <c r="I201" s="53">
        <v>46151</v>
      </c>
      <c r="J201" s="52" t="s">
        <v>77</v>
      </c>
      <c r="K201" s="52" t="s">
        <v>479</v>
      </c>
      <c r="L201" s="52" t="s">
        <v>227</v>
      </c>
      <c r="M201" s="52" t="s">
        <v>480</v>
      </c>
      <c r="N201" s="56">
        <f t="shared" ca="1" si="3"/>
        <v>105</v>
      </c>
    </row>
    <row r="202" spans="1:14" x14ac:dyDescent="0.25">
      <c r="A202" s="52">
        <v>201</v>
      </c>
      <c r="B202" s="52">
        <v>643283</v>
      </c>
      <c r="C202" s="52" t="s">
        <v>481</v>
      </c>
      <c r="D202" s="55" t="s">
        <v>63</v>
      </c>
      <c r="E202" s="55" t="s">
        <v>27</v>
      </c>
      <c r="F202" s="55" t="s">
        <v>371</v>
      </c>
      <c r="G202" s="52" t="s">
        <v>29</v>
      </c>
      <c r="H202" s="54">
        <v>46154</v>
      </c>
      <c r="I202" s="53">
        <v>46148</v>
      </c>
      <c r="J202" s="52" t="s">
        <v>77</v>
      </c>
      <c r="K202" s="52" t="s">
        <v>270</v>
      </c>
      <c r="L202" s="52" t="s">
        <v>40</v>
      </c>
      <c r="M202" s="52" t="s">
        <v>30</v>
      </c>
      <c r="N202" s="56">
        <f t="shared" ca="1" si="3"/>
        <v>108</v>
      </c>
    </row>
    <row r="203" spans="1:14" x14ac:dyDescent="0.25">
      <c r="A203" s="52">
        <v>202</v>
      </c>
      <c r="B203" s="52">
        <v>643301</v>
      </c>
      <c r="C203" s="52" t="s">
        <v>482</v>
      </c>
      <c r="D203" s="55" t="s">
        <v>26</v>
      </c>
      <c r="E203" s="55" t="s">
        <v>27</v>
      </c>
      <c r="F203" s="55" t="s">
        <v>483</v>
      </c>
      <c r="G203" s="52" t="s">
        <v>29</v>
      </c>
      <c r="H203" s="54">
        <v>46154</v>
      </c>
      <c r="I203" s="53">
        <v>46148</v>
      </c>
      <c r="J203" s="52" t="s">
        <v>77</v>
      </c>
      <c r="K203" s="52" t="s">
        <v>270</v>
      </c>
      <c r="L203" s="52" t="s">
        <v>40</v>
      </c>
      <c r="M203" s="52" t="s">
        <v>30</v>
      </c>
      <c r="N203" s="56">
        <f t="shared" ca="1" si="3"/>
        <v>108</v>
      </c>
    </row>
    <row r="204" spans="1:14" x14ac:dyDescent="0.25">
      <c r="A204" s="52">
        <v>203</v>
      </c>
      <c r="B204" s="52">
        <v>522384</v>
      </c>
      <c r="C204" s="52" t="s">
        <v>484</v>
      </c>
      <c r="D204" s="55" t="s">
        <v>26</v>
      </c>
      <c r="E204" s="55" t="s">
        <v>27</v>
      </c>
      <c r="F204" s="55">
        <v>405687599</v>
      </c>
      <c r="G204" s="52" t="s">
        <v>29</v>
      </c>
      <c r="H204" s="54">
        <v>46154</v>
      </c>
      <c r="I204" s="53">
        <v>46151</v>
      </c>
      <c r="J204" s="52" t="s">
        <v>77</v>
      </c>
      <c r="K204" s="52" t="s">
        <v>405</v>
      </c>
      <c r="L204" s="52" t="s">
        <v>40</v>
      </c>
      <c r="M204" s="52" t="s">
        <v>30</v>
      </c>
      <c r="N204" s="56">
        <f t="shared" ca="1" si="3"/>
        <v>105</v>
      </c>
    </row>
    <row r="205" spans="1:14" x14ac:dyDescent="0.25">
      <c r="A205" s="52">
        <v>204</v>
      </c>
      <c r="B205" s="52">
        <v>643447</v>
      </c>
      <c r="C205" s="52" t="s">
        <v>485</v>
      </c>
      <c r="D205" s="55" t="s">
        <v>26</v>
      </c>
      <c r="E205" s="55" t="s">
        <v>27</v>
      </c>
      <c r="F205" s="55" t="s">
        <v>192</v>
      </c>
      <c r="G205" s="52" t="s">
        <v>29</v>
      </c>
      <c r="H205" s="54">
        <v>46154</v>
      </c>
      <c r="I205" s="53">
        <v>46151</v>
      </c>
      <c r="J205" s="52" t="s">
        <v>77</v>
      </c>
      <c r="K205" s="52" t="s">
        <v>405</v>
      </c>
      <c r="L205" s="52" t="s">
        <v>40</v>
      </c>
      <c r="M205" s="52" t="s">
        <v>30</v>
      </c>
      <c r="N205" s="56">
        <f t="shared" ca="1" si="3"/>
        <v>105</v>
      </c>
    </row>
    <row r="206" spans="1:14" x14ac:dyDescent="0.25">
      <c r="A206" s="52">
        <v>205</v>
      </c>
      <c r="B206" s="52">
        <v>627646</v>
      </c>
      <c r="C206" s="52" t="s">
        <v>486</v>
      </c>
      <c r="D206" s="55" t="s">
        <v>26</v>
      </c>
      <c r="E206" s="55" t="s">
        <v>27</v>
      </c>
      <c r="F206" s="55" t="s">
        <v>386</v>
      </c>
      <c r="G206" s="52" t="s">
        <v>29</v>
      </c>
      <c r="H206" s="54" t="s">
        <v>399</v>
      </c>
      <c r="I206" s="53">
        <v>46150</v>
      </c>
      <c r="J206" s="52" t="s">
        <v>77</v>
      </c>
      <c r="K206" s="52" t="s">
        <v>373</v>
      </c>
      <c r="L206" s="52" t="s">
        <v>40</v>
      </c>
      <c r="M206" s="52" t="s">
        <v>30</v>
      </c>
      <c r="N206" s="56">
        <f t="shared" ca="1" si="3"/>
        <v>106</v>
      </c>
    </row>
    <row r="207" spans="1:14" x14ac:dyDescent="0.25">
      <c r="A207" s="52">
        <v>206</v>
      </c>
      <c r="B207" s="52">
        <v>250736</v>
      </c>
      <c r="C207" s="52" t="s">
        <v>487</v>
      </c>
      <c r="D207" s="55" t="s">
        <v>26</v>
      </c>
      <c r="E207" s="55" t="s">
        <v>27</v>
      </c>
      <c r="F207" s="55" t="s">
        <v>488</v>
      </c>
      <c r="G207" s="52" t="s">
        <v>29</v>
      </c>
      <c r="H207" s="54">
        <v>46154</v>
      </c>
      <c r="I207" s="53">
        <v>46151</v>
      </c>
      <c r="J207" s="52" t="s">
        <v>30</v>
      </c>
      <c r="K207" s="52" t="s">
        <v>489</v>
      </c>
      <c r="L207" s="52" t="s">
        <v>40</v>
      </c>
      <c r="M207" s="52" t="s">
        <v>30</v>
      </c>
      <c r="N207" s="56">
        <f t="shared" ca="1" si="3"/>
        <v>105</v>
      </c>
    </row>
    <row r="208" spans="1:14" x14ac:dyDescent="0.25">
      <c r="A208" s="52">
        <v>207</v>
      </c>
      <c r="B208" s="52">
        <v>643303</v>
      </c>
      <c r="C208" s="52" t="s">
        <v>490</v>
      </c>
      <c r="D208" s="55" t="s">
        <v>26</v>
      </c>
      <c r="E208" s="55" t="s">
        <v>27</v>
      </c>
      <c r="F208" s="55" t="s">
        <v>491</v>
      </c>
      <c r="G208" s="52" t="s">
        <v>29</v>
      </c>
      <c r="H208" s="54">
        <v>46154</v>
      </c>
      <c r="I208" s="53">
        <v>46148</v>
      </c>
      <c r="J208" s="52" t="s">
        <v>77</v>
      </c>
      <c r="K208" s="52" t="s">
        <v>270</v>
      </c>
      <c r="L208" s="52" t="s">
        <v>40</v>
      </c>
      <c r="M208" s="52" t="s">
        <v>30</v>
      </c>
      <c r="N208" s="56">
        <f t="shared" ca="1" si="3"/>
        <v>108</v>
      </c>
    </row>
    <row r="209" spans="1:14" x14ac:dyDescent="0.25">
      <c r="A209" s="52">
        <v>208</v>
      </c>
      <c r="B209" s="52">
        <v>575127</v>
      </c>
      <c r="C209" s="52" t="s">
        <v>492</v>
      </c>
      <c r="D209" s="55" t="s">
        <v>26</v>
      </c>
      <c r="E209" s="55" t="s">
        <v>27</v>
      </c>
      <c r="F209" s="55" t="s">
        <v>493</v>
      </c>
      <c r="G209" s="52" t="s">
        <v>29</v>
      </c>
      <c r="H209" s="54">
        <v>46154</v>
      </c>
      <c r="I209" s="53">
        <v>46150</v>
      </c>
      <c r="J209" s="52" t="s">
        <v>77</v>
      </c>
      <c r="K209" s="52" t="s">
        <v>270</v>
      </c>
      <c r="L209" s="52" t="s">
        <v>40</v>
      </c>
      <c r="M209" s="52" t="s">
        <v>30</v>
      </c>
      <c r="N209" s="56">
        <f t="shared" ca="1" si="3"/>
        <v>106</v>
      </c>
    </row>
    <row r="210" spans="1:14" x14ac:dyDescent="0.25">
      <c r="A210" s="52">
        <v>209</v>
      </c>
      <c r="B210" s="52">
        <v>631467</v>
      </c>
      <c r="C210" s="52" t="s">
        <v>494</v>
      </c>
      <c r="D210" s="55" t="s">
        <v>26</v>
      </c>
      <c r="E210" s="55" t="s">
        <v>27</v>
      </c>
      <c r="F210" s="55" t="s">
        <v>495</v>
      </c>
      <c r="G210" s="52" t="s">
        <v>29</v>
      </c>
      <c r="H210" s="54">
        <v>46154</v>
      </c>
      <c r="I210" s="53">
        <v>46150</v>
      </c>
      <c r="J210" s="52" t="s">
        <v>77</v>
      </c>
      <c r="K210" s="52" t="s">
        <v>373</v>
      </c>
      <c r="L210" s="52" t="s">
        <v>40</v>
      </c>
      <c r="M210" s="52" t="s">
        <v>30</v>
      </c>
      <c r="N210" s="56">
        <f t="shared" ca="1" si="3"/>
        <v>106</v>
      </c>
    </row>
    <row r="211" spans="1:14" x14ac:dyDescent="0.25">
      <c r="A211" s="52">
        <v>210</v>
      </c>
      <c r="B211" s="52">
        <v>409778</v>
      </c>
      <c r="C211" s="52" t="s">
        <v>496</v>
      </c>
      <c r="D211" s="55" t="s">
        <v>26</v>
      </c>
      <c r="E211" s="55" t="s">
        <v>27</v>
      </c>
      <c r="F211" s="55" t="s">
        <v>497</v>
      </c>
      <c r="G211" s="52" t="s">
        <v>29</v>
      </c>
      <c r="H211" s="54">
        <v>46154</v>
      </c>
      <c r="I211" s="53">
        <v>46151</v>
      </c>
      <c r="J211" s="52" t="s">
        <v>202</v>
      </c>
      <c r="K211" s="52" t="s">
        <v>475</v>
      </c>
      <c r="L211" s="52" t="s">
        <v>40</v>
      </c>
      <c r="M211" s="52" t="s">
        <v>30</v>
      </c>
      <c r="N211" s="56">
        <f t="shared" ca="1" si="3"/>
        <v>105</v>
      </c>
    </row>
    <row r="212" spans="1:14" x14ac:dyDescent="0.25">
      <c r="A212" s="52">
        <v>211</v>
      </c>
      <c r="B212" s="52">
        <v>267159</v>
      </c>
      <c r="C212" s="52" t="s">
        <v>498</v>
      </c>
      <c r="D212" s="55" t="s">
        <v>26</v>
      </c>
      <c r="E212" s="55" t="s">
        <v>27</v>
      </c>
      <c r="F212" s="55" t="s">
        <v>499</v>
      </c>
      <c r="G212" s="52" t="s">
        <v>29</v>
      </c>
      <c r="H212" s="54">
        <v>46154</v>
      </c>
      <c r="I212" s="53">
        <v>46150</v>
      </c>
      <c r="J212" s="52" t="s">
        <v>31</v>
      </c>
      <c r="K212" s="52" t="s">
        <v>500</v>
      </c>
      <c r="L212" s="52" t="s">
        <v>40</v>
      </c>
      <c r="M212" s="52" t="s">
        <v>30</v>
      </c>
      <c r="N212" s="56">
        <f t="shared" ca="1" si="3"/>
        <v>106</v>
      </c>
    </row>
    <row r="213" spans="1:14" x14ac:dyDescent="0.25">
      <c r="A213" s="52">
        <v>212</v>
      </c>
      <c r="B213" s="52">
        <v>643436</v>
      </c>
      <c r="C213" s="52" t="s">
        <v>501</v>
      </c>
      <c r="D213" s="55" t="s">
        <v>26</v>
      </c>
      <c r="E213" s="55" t="s">
        <v>27</v>
      </c>
      <c r="F213" s="55" t="s">
        <v>502</v>
      </c>
      <c r="G213" s="52" t="s">
        <v>29</v>
      </c>
      <c r="H213" s="54">
        <v>46154</v>
      </c>
      <c r="I213" s="53">
        <v>46151</v>
      </c>
      <c r="J213" s="52" t="s">
        <v>77</v>
      </c>
      <c r="K213" s="52" t="s">
        <v>373</v>
      </c>
      <c r="L213" s="52" t="s">
        <v>40</v>
      </c>
      <c r="M213" s="52" t="s">
        <v>30</v>
      </c>
      <c r="N213" s="56">
        <f t="shared" ca="1" si="3"/>
        <v>105</v>
      </c>
    </row>
    <row r="214" spans="1:14" x14ac:dyDescent="0.25">
      <c r="A214" s="52">
        <v>213</v>
      </c>
      <c r="B214" s="52">
        <v>606670</v>
      </c>
      <c r="C214" s="52" t="s">
        <v>503</v>
      </c>
      <c r="D214" s="55" t="s">
        <v>26</v>
      </c>
      <c r="E214" s="55" t="s">
        <v>27</v>
      </c>
      <c r="F214" s="55" t="s">
        <v>504</v>
      </c>
      <c r="G214" s="52" t="s">
        <v>29</v>
      </c>
      <c r="H214" s="54">
        <v>46154</v>
      </c>
      <c r="I214" s="53">
        <v>46151</v>
      </c>
      <c r="J214" s="52" t="s">
        <v>202</v>
      </c>
      <c r="K214" s="52" t="s">
        <v>475</v>
      </c>
      <c r="L214" s="52" t="s">
        <v>40</v>
      </c>
      <c r="M214" s="52" t="s">
        <v>30</v>
      </c>
      <c r="N214" s="56">
        <f t="shared" ca="1" si="3"/>
        <v>105</v>
      </c>
    </row>
    <row r="215" spans="1:14" x14ac:dyDescent="0.25">
      <c r="A215" s="52">
        <v>214</v>
      </c>
      <c r="B215" s="52">
        <v>629428</v>
      </c>
      <c r="C215" s="52" t="s">
        <v>505</v>
      </c>
      <c r="D215" s="55" t="s">
        <v>26</v>
      </c>
      <c r="E215" s="55" t="s">
        <v>27</v>
      </c>
      <c r="F215" s="55" t="s">
        <v>506</v>
      </c>
      <c r="G215" s="52" t="s">
        <v>29</v>
      </c>
      <c r="H215" s="54">
        <v>46154</v>
      </c>
      <c r="I215" s="53">
        <v>46149</v>
      </c>
      <c r="J215" s="52" t="s">
        <v>77</v>
      </c>
      <c r="K215" s="52" t="s">
        <v>270</v>
      </c>
      <c r="L215" s="52" t="s">
        <v>40</v>
      </c>
      <c r="M215" s="52" t="s">
        <v>30</v>
      </c>
      <c r="N215" s="56">
        <f t="shared" ca="1" si="3"/>
        <v>107</v>
      </c>
    </row>
    <row r="216" spans="1:14" x14ac:dyDescent="0.25">
      <c r="A216" s="52">
        <v>215</v>
      </c>
      <c r="B216" s="52">
        <v>643304</v>
      </c>
      <c r="C216" s="52" t="s">
        <v>507</v>
      </c>
      <c r="D216" s="55" t="s">
        <v>26</v>
      </c>
      <c r="E216" s="55" t="s">
        <v>27</v>
      </c>
      <c r="F216" s="55" t="s">
        <v>508</v>
      </c>
      <c r="G216" s="52" t="s">
        <v>29</v>
      </c>
      <c r="H216" s="54">
        <v>46154</v>
      </c>
      <c r="I216" s="53">
        <v>46149</v>
      </c>
      <c r="J216" s="52" t="s">
        <v>202</v>
      </c>
      <c r="K216" s="52" t="s">
        <v>509</v>
      </c>
      <c r="L216" s="52" t="s">
        <v>40</v>
      </c>
      <c r="M216" s="52" t="s">
        <v>30</v>
      </c>
      <c r="N216" s="56">
        <f t="shared" ca="1" si="3"/>
        <v>107</v>
      </c>
    </row>
    <row r="217" spans="1:14" x14ac:dyDescent="0.25">
      <c r="A217" s="52">
        <v>216</v>
      </c>
      <c r="B217" s="52">
        <v>272106</v>
      </c>
      <c r="C217" s="52" t="s">
        <v>510</v>
      </c>
      <c r="D217" s="55" t="s">
        <v>63</v>
      </c>
      <c r="E217" s="55" t="s">
        <v>27</v>
      </c>
      <c r="F217" s="55" t="s">
        <v>511</v>
      </c>
      <c r="G217" s="52" t="s">
        <v>29</v>
      </c>
      <c r="H217" s="54" t="s">
        <v>30</v>
      </c>
      <c r="I217" s="53">
        <v>46145</v>
      </c>
      <c r="J217" s="52" t="s">
        <v>77</v>
      </c>
      <c r="K217" s="52" t="s">
        <v>270</v>
      </c>
      <c r="L217" s="52" t="s">
        <v>40</v>
      </c>
      <c r="M217" s="52" t="s">
        <v>30</v>
      </c>
      <c r="N217" s="56">
        <f t="shared" ca="1" si="3"/>
        <v>111</v>
      </c>
    </row>
    <row r="218" spans="1:14" x14ac:dyDescent="0.25">
      <c r="A218" s="52">
        <v>217</v>
      </c>
      <c r="B218" s="52">
        <v>623396</v>
      </c>
      <c r="C218" s="52" t="s">
        <v>512</v>
      </c>
      <c r="D218" s="55" t="s">
        <v>163</v>
      </c>
      <c r="E218" s="55" t="s">
        <v>27</v>
      </c>
      <c r="F218" s="55" t="s">
        <v>30</v>
      </c>
      <c r="G218" s="52" t="s">
        <v>76</v>
      </c>
      <c r="H218" s="54" t="s">
        <v>30</v>
      </c>
      <c r="I218" s="53" t="s">
        <v>30</v>
      </c>
      <c r="J218" s="52" t="s">
        <v>30</v>
      </c>
      <c r="K218" s="52" t="s">
        <v>296</v>
      </c>
      <c r="L218" s="52" t="s">
        <v>40</v>
      </c>
      <c r="M218" s="52" t="s">
        <v>30</v>
      </c>
      <c r="N218" s="56" t="str">
        <f t="shared" ca="1" si="3"/>
        <v>-</v>
      </c>
    </row>
    <row r="219" spans="1:14" x14ac:dyDescent="0.25">
      <c r="A219" s="52">
        <v>218</v>
      </c>
      <c r="B219" s="52">
        <v>515991</v>
      </c>
      <c r="C219" s="52" t="s">
        <v>513</v>
      </c>
      <c r="D219" s="55" t="s">
        <v>26</v>
      </c>
      <c r="E219" s="55" t="s">
        <v>27</v>
      </c>
      <c r="F219" s="55" t="s">
        <v>514</v>
      </c>
      <c r="G219" s="52" t="s">
        <v>29</v>
      </c>
      <c r="H219" s="54" t="s">
        <v>399</v>
      </c>
      <c r="I219" s="53">
        <v>46153</v>
      </c>
      <c r="J219" s="52" t="s">
        <v>30</v>
      </c>
      <c r="K219" s="52" t="s">
        <v>30</v>
      </c>
      <c r="L219" s="52" t="s">
        <v>155</v>
      </c>
      <c r="M219" s="52" t="s">
        <v>30</v>
      </c>
      <c r="N219" s="56">
        <f t="shared" ca="1" si="3"/>
        <v>103</v>
      </c>
    </row>
    <row r="220" spans="1:14" x14ac:dyDescent="0.25">
      <c r="A220" s="52">
        <v>219</v>
      </c>
      <c r="B220" s="52">
        <v>643546</v>
      </c>
      <c r="C220" s="52" t="s">
        <v>515</v>
      </c>
      <c r="D220" s="55" t="s">
        <v>26</v>
      </c>
      <c r="E220" s="55" t="s">
        <v>27</v>
      </c>
      <c r="F220" s="55" t="s">
        <v>516</v>
      </c>
      <c r="G220" s="52" t="s">
        <v>29</v>
      </c>
      <c r="H220" s="54" t="s">
        <v>399</v>
      </c>
      <c r="I220" s="53">
        <v>46154</v>
      </c>
      <c r="J220" s="52" t="s">
        <v>77</v>
      </c>
      <c r="K220" s="52" t="s">
        <v>472</v>
      </c>
      <c r="L220" s="52" t="s">
        <v>40</v>
      </c>
      <c r="M220" s="52" t="s">
        <v>30</v>
      </c>
      <c r="N220" s="56">
        <f t="shared" ca="1" si="3"/>
        <v>102</v>
      </c>
    </row>
    <row r="221" spans="1:14" x14ac:dyDescent="0.25">
      <c r="A221" s="52">
        <v>220</v>
      </c>
      <c r="B221" s="52">
        <v>643549</v>
      </c>
      <c r="C221" s="52" t="s">
        <v>517</v>
      </c>
      <c r="D221" s="55" t="s">
        <v>26</v>
      </c>
      <c r="E221" s="55" t="s">
        <v>27</v>
      </c>
      <c r="F221" s="55" t="s">
        <v>518</v>
      </c>
      <c r="G221" s="52" t="s">
        <v>29</v>
      </c>
      <c r="H221" s="54" t="s">
        <v>399</v>
      </c>
      <c r="I221" s="53">
        <v>46154</v>
      </c>
      <c r="J221" s="52" t="s">
        <v>77</v>
      </c>
      <c r="K221" s="52" t="s">
        <v>270</v>
      </c>
      <c r="L221" s="52" t="s">
        <v>40</v>
      </c>
      <c r="M221" s="52" t="s">
        <v>30</v>
      </c>
      <c r="N221" s="56">
        <f t="shared" ca="1" si="3"/>
        <v>102</v>
      </c>
    </row>
    <row r="222" spans="1:14" x14ac:dyDescent="0.25">
      <c r="A222" s="52">
        <v>221</v>
      </c>
      <c r="B222" s="52">
        <v>643553</v>
      </c>
      <c r="C222" s="52" t="s">
        <v>519</v>
      </c>
      <c r="D222" s="55" t="s">
        <v>26</v>
      </c>
      <c r="E222" s="55" t="s">
        <v>27</v>
      </c>
      <c r="F222" s="55" t="s">
        <v>520</v>
      </c>
      <c r="G222" s="52" t="s">
        <v>29</v>
      </c>
      <c r="H222" s="54" t="s">
        <v>399</v>
      </c>
      <c r="I222" s="53">
        <v>46154</v>
      </c>
      <c r="J222" s="52" t="s">
        <v>77</v>
      </c>
      <c r="K222" s="52" t="s">
        <v>270</v>
      </c>
      <c r="L222" s="52" t="s">
        <v>40</v>
      </c>
      <c r="M222" s="52" t="s">
        <v>30</v>
      </c>
      <c r="N222" s="56">
        <f t="shared" ca="1" si="3"/>
        <v>102</v>
      </c>
    </row>
    <row r="223" spans="1:14" x14ac:dyDescent="0.25">
      <c r="A223" s="52">
        <v>222</v>
      </c>
      <c r="B223" s="52">
        <v>643559</v>
      </c>
      <c r="C223" s="52" t="s">
        <v>521</v>
      </c>
      <c r="D223" s="55" t="s">
        <v>26</v>
      </c>
      <c r="E223" s="55" t="s">
        <v>27</v>
      </c>
      <c r="F223" s="55" t="s">
        <v>522</v>
      </c>
      <c r="G223" s="52" t="s">
        <v>29</v>
      </c>
      <c r="H223" s="54" t="s">
        <v>399</v>
      </c>
      <c r="I223" s="53">
        <v>46154</v>
      </c>
      <c r="J223" s="52" t="s">
        <v>77</v>
      </c>
      <c r="K223" s="52" t="s">
        <v>405</v>
      </c>
      <c r="L223" s="52" t="s">
        <v>40</v>
      </c>
      <c r="M223" s="52" t="s">
        <v>30</v>
      </c>
      <c r="N223" s="56">
        <f t="shared" ca="1" si="3"/>
        <v>102</v>
      </c>
    </row>
    <row r="224" spans="1:14" x14ac:dyDescent="0.25">
      <c r="A224" s="52">
        <v>223</v>
      </c>
      <c r="B224" s="52">
        <v>643576</v>
      </c>
      <c r="C224" s="52" t="s">
        <v>523</v>
      </c>
      <c r="D224" s="55" t="s">
        <v>26</v>
      </c>
      <c r="E224" s="55" t="s">
        <v>27</v>
      </c>
      <c r="F224" s="55" t="s">
        <v>524</v>
      </c>
      <c r="G224" s="52" t="s">
        <v>29</v>
      </c>
      <c r="H224" s="54" t="s">
        <v>399</v>
      </c>
      <c r="I224" s="53">
        <v>46153</v>
      </c>
      <c r="J224" s="52" t="s">
        <v>202</v>
      </c>
      <c r="K224" s="52" t="s">
        <v>525</v>
      </c>
      <c r="L224" s="52" t="s">
        <v>66</v>
      </c>
      <c r="M224" s="52" t="s">
        <v>526</v>
      </c>
      <c r="N224" s="56">
        <f t="shared" ca="1" si="3"/>
        <v>103</v>
      </c>
    </row>
    <row r="225" spans="1:14" x14ac:dyDescent="0.25">
      <c r="A225" s="52">
        <v>224</v>
      </c>
      <c r="B225" s="52">
        <v>643580</v>
      </c>
      <c r="C225" s="52" t="s">
        <v>527</v>
      </c>
      <c r="D225" s="55" t="s">
        <v>26</v>
      </c>
      <c r="E225" s="55" t="s">
        <v>27</v>
      </c>
      <c r="F225" s="55" t="s">
        <v>528</v>
      </c>
      <c r="G225" s="52" t="s">
        <v>29</v>
      </c>
      <c r="H225" s="54" t="s">
        <v>399</v>
      </c>
      <c r="I225" s="53">
        <v>46154</v>
      </c>
      <c r="J225" s="52" t="s">
        <v>77</v>
      </c>
      <c r="K225" s="52" t="s">
        <v>405</v>
      </c>
      <c r="L225" s="52" t="s">
        <v>40</v>
      </c>
      <c r="M225" s="52" t="s">
        <v>30</v>
      </c>
      <c r="N225" s="56">
        <f t="shared" ca="1" si="3"/>
        <v>102</v>
      </c>
    </row>
    <row r="226" spans="1:14" x14ac:dyDescent="0.25">
      <c r="A226" s="52">
        <v>225</v>
      </c>
      <c r="B226" s="52">
        <v>589267</v>
      </c>
      <c r="C226" s="52" t="s">
        <v>529</v>
      </c>
      <c r="D226" s="55" t="s">
        <v>26</v>
      </c>
      <c r="E226" s="55" t="s">
        <v>27</v>
      </c>
      <c r="F226" s="55" t="s">
        <v>530</v>
      </c>
      <c r="G226" s="52" t="s">
        <v>29</v>
      </c>
      <c r="H226" s="54" t="s">
        <v>399</v>
      </c>
      <c r="I226" s="53">
        <v>46154</v>
      </c>
      <c r="J226" s="52" t="s">
        <v>77</v>
      </c>
      <c r="K226" s="52" t="s">
        <v>405</v>
      </c>
      <c r="L226" s="52" t="s">
        <v>40</v>
      </c>
      <c r="M226" s="52" t="s">
        <v>30</v>
      </c>
      <c r="N226" s="56">
        <f t="shared" ca="1" si="3"/>
        <v>102</v>
      </c>
    </row>
    <row r="227" spans="1:14" x14ac:dyDescent="0.25">
      <c r="A227" s="52">
        <v>226</v>
      </c>
      <c r="B227" s="52">
        <v>628369</v>
      </c>
      <c r="C227" s="52" t="s">
        <v>531</v>
      </c>
      <c r="D227" s="55" t="s">
        <v>26</v>
      </c>
      <c r="E227" s="55" t="s">
        <v>27</v>
      </c>
      <c r="F227" s="55" t="s">
        <v>532</v>
      </c>
      <c r="G227" s="52" t="s">
        <v>29</v>
      </c>
      <c r="H227" s="54" t="s">
        <v>399</v>
      </c>
      <c r="I227" s="53" t="s">
        <v>30</v>
      </c>
      <c r="J227" s="52" t="s">
        <v>30</v>
      </c>
      <c r="K227" s="52" t="s">
        <v>30</v>
      </c>
      <c r="L227" s="52" t="s">
        <v>155</v>
      </c>
      <c r="M227" s="52" t="s">
        <v>30</v>
      </c>
      <c r="N227" s="56" t="str">
        <f t="shared" ca="1" si="3"/>
        <v>-</v>
      </c>
    </row>
    <row r="228" spans="1:14" x14ac:dyDescent="0.25">
      <c r="A228" s="52">
        <v>227</v>
      </c>
      <c r="B228" s="52">
        <v>643527</v>
      </c>
      <c r="C228" s="52" t="s">
        <v>533</v>
      </c>
      <c r="D228" s="55" t="s">
        <v>26</v>
      </c>
      <c r="E228" s="55" t="s">
        <v>27</v>
      </c>
      <c r="F228" s="55" t="s">
        <v>534</v>
      </c>
      <c r="G228" s="52" t="s">
        <v>29</v>
      </c>
      <c r="H228" s="54" t="s">
        <v>399</v>
      </c>
      <c r="I228" s="53" t="s">
        <v>30</v>
      </c>
      <c r="J228" s="52" t="s">
        <v>30</v>
      </c>
      <c r="K228" s="52" t="s">
        <v>30</v>
      </c>
      <c r="L228" s="52" t="s">
        <v>155</v>
      </c>
      <c r="M228" s="52" t="s">
        <v>30</v>
      </c>
      <c r="N228" s="56" t="str">
        <f t="shared" ca="1" si="3"/>
        <v>-</v>
      </c>
    </row>
    <row r="229" spans="1:14" x14ac:dyDescent="0.25">
      <c r="A229" s="52">
        <v>228</v>
      </c>
      <c r="B229" s="52">
        <v>643599</v>
      </c>
      <c r="C229" s="52" t="s">
        <v>535</v>
      </c>
      <c r="D229" s="55" t="s">
        <v>26</v>
      </c>
      <c r="E229" s="55" t="s">
        <v>27</v>
      </c>
      <c r="F229" s="55" t="s">
        <v>536</v>
      </c>
      <c r="G229" s="52" t="s">
        <v>29</v>
      </c>
      <c r="H229" s="54" t="s">
        <v>399</v>
      </c>
      <c r="I229" s="53">
        <v>46154</v>
      </c>
      <c r="J229" s="52" t="s">
        <v>77</v>
      </c>
      <c r="K229" s="52" t="s">
        <v>405</v>
      </c>
      <c r="L229" s="52" t="s">
        <v>40</v>
      </c>
      <c r="M229" s="52" t="s">
        <v>30</v>
      </c>
      <c r="N229" s="56">
        <f t="shared" ca="1" si="3"/>
        <v>102</v>
      </c>
    </row>
    <row r="230" spans="1:14" x14ac:dyDescent="0.25">
      <c r="A230" s="52">
        <v>229</v>
      </c>
      <c r="B230" s="52">
        <v>593795</v>
      </c>
      <c r="C230" s="52" t="s">
        <v>537</v>
      </c>
      <c r="D230" s="55" t="s">
        <v>26</v>
      </c>
      <c r="E230" s="55" t="s">
        <v>27</v>
      </c>
      <c r="F230" s="55" t="s">
        <v>538</v>
      </c>
      <c r="G230" s="52" t="s">
        <v>30</v>
      </c>
      <c r="H230" s="54" t="s">
        <v>30</v>
      </c>
      <c r="I230" s="53" t="s">
        <v>30</v>
      </c>
      <c r="J230" s="52" t="s">
        <v>30</v>
      </c>
      <c r="K230" s="52" t="s">
        <v>30</v>
      </c>
      <c r="L230" s="52" t="s">
        <v>33</v>
      </c>
      <c r="M230" s="52" t="s">
        <v>143</v>
      </c>
      <c r="N230" s="56" t="str">
        <f t="shared" ca="1" si="3"/>
        <v>-</v>
      </c>
    </row>
    <row r="231" spans="1:14" x14ac:dyDescent="0.25">
      <c r="A231" s="52">
        <v>230</v>
      </c>
      <c r="B231" s="52">
        <v>643521</v>
      </c>
      <c r="C231" s="52" t="s">
        <v>539</v>
      </c>
      <c r="D231" s="55" t="s">
        <v>26</v>
      </c>
      <c r="E231" s="55" t="s">
        <v>27</v>
      </c>
      <c r="F231" s="55" t="s">
        <v>540</v>
      </c>
      <c r="G231" s="52" t="s">
        <v>29</v>
      </c>
      <c r="H231" s="54">
        <v>46158</v>
      </c>
      <c r="I231" s="53">
        <v>46153</v>
      </c>
      <c r="J231" s="52" t="s">
        <v>31</v>
      </c>
      <c r="K231" s="52" t="s">
        <v>428</v>
      </c>
      <c r="L231" s="52" t="s">
        <v>40</v>
      </c>
      <c r="M231" s="52" t="s">
        <v>30</v>
      </c>
      <c r="N231" s="56">
        <f t="shared" ca="1" si="3"/>
        <v>103</v>
      </c>
    </row>
    <row r="232" spans="1:14" x14ac:dyDescent="0.25">
      <c r="A232" s="52">
        <v>231</v>
      </c>
      <c r="B232" s="52">
        <v>437227</v>
      </c>
      <c r="C232" s="52" t="s">
        <v>541</v>
      </c>
      <c r="D232" s="55" t="s">
        <v>26</v>
      </c>
      <c r="E232" s="55" t="s">
        <v>27</v>
      </c>
      <c r="F232" s="55" t="s">
        <v>542</v>
      </c>
      <c r="G232" s="52" t="s">
        <v>29</v>
      </c>
      <c r="H232" s="54">
        <v>46158</v>
      </c>
      <c r="I232" s="53">
        <v>46154</v>
      </c>
      <c r="J232" s="52" t="s">
        <v>31</v>
      </c>
      <c r="K232" s="52" t="s">
        <v>428</v>
      </c>
      <c r="L232" s="52" t="s">
        <v>40</v>
      </c>
      <c r="M232" s="52" t="s">
        <v>30</v>
      </c>
      <c r="N232" s="56">
        <f t="shared" ca="1" si="3"/>
        <v>102</v>
      </c>
    </row>
    <row r="233" spans="1:14" x14ac:dyDescent="0.25">
      <c r="A233" s="52">
        <v>232</v>
      </c>
      <c r="B233" s="52">
        <v>643610</v>
      </c>
      <c r="C233" s="52" t="s">
        <v>543</v>
      </c>
      <c r="D233" s="55" t="s">
        <v>26</v>
      </c>
      <c r="E233" s="55" t="s">
        <v>27</v>
      </c>
      <c r="F233" s="55" t="s">
        <v>544</v>
      </c>
      <c r="G233" s="52" t="s">
        <v>29</v>
      </c>
      <c r="H233" s="54">
        <v>46158</v>
      </c>
      <c r="I233" s="53">
        <v>46154</v>
      </c>
      <c r="J233" s="52" t="s">
        <v>31</v>
      </c>
      <c r="K233" s="52" t="s">
        <v>428</v>
      </c>
      <c r="L233" s="52" t="s">
        <v>40</v>
      </c>
      <c r="M233" s="52" t="s">
        <v>30</v>
      </c>
      <c r="N233" s="56">
        <f t="shared" ca="1" si="3"/>
        <v>102</v>
      </c>
    </row>
    <row r="234" spans="1:14" x14ac:dyDescent="0.25">
      <c r="A234" s="52">
        <v>233</v>
      </c>
      <c r="B234" s="52">
        <v>643528</v>
      </c>
      <c r="C234" s="52" t="s">
        <v>545</v>
      </c>
      <c r="D234" s="55" t="s">
        <v>26</v>
      </c>
      <c r="E234" s="55" t="s">
        <v>27</v>
      </c>
      <c r="F234" s="55" t="s">
        <v>546</v>
      </c>
      <c r="G234" s="52" t="s">
        <v>29</v>
      </c>
      <c r="H234" s="54">
        <v>46158</v>
      </c>
      <c r="I234" s="53">
        <v>46154</v>
      </c>
      <c r="J234" s="52" t="s">
        <v>547</v>
      </c>
      <c r="K234" s="52" t="s">
        <v>548</v>
      </c>
      <c r="L234" s="52" t="s">
        <v>40</v>
      </c>
      <c r="M234" s="52" t="s">
        <v>30</v>
      </c>
      <c r="N234" s="56">
        <f t="shared" ca="1" si="3"/>
        <v>102</v>
      </c>
    </row>
    <row r="235" spans="1:14" x14ac:dyDescent="0.25">
      <c r="A235" s="52">
        <v>234</v>
      </c>
      <c r="B235" s="52">
        <v>512194</v>
      </c>
      <c r="C235" s="52" t="s">
        <v>549</v>
      </c>
      <c r="D235" s="55" t="s">
        <v>26</v>
      </c>
      <c r="E235" s="55" t="s">
        <v>27</v>
      </c>
      <c r="F235" s="55" t="s">
        <v>550</v>
      </c>
      <c r="G235" s="52" t="s">
        <v>29</v>
      </c>
      <c r="H235" s="54">
        <v>46158</v>
      </c>
      <c r="I235" s="53">
        <v>46153</v>
      </c>
      <c r="J235" s="52" t="s">
        <v>77</v>
      </c>
      <c r="K235" s="52" t="s">
        <v>405</v>
      </c>
      <c r="L235" s="52" t="s">
        <v>40</v>
      </c>
      <c r="M235" s="52" t="s">
        <v>30</v>
      </c>
      <c r="N235" s="56">
        <f t="shared" ca="1" si="3"/>
        <v>103</v>
      </c>
    </row>
    <row r="236" spans="1:14" x14ac:dyDescent="0.25">
      <c r="A236" s="52">
        <v>235</v>
      </c>
      <c r="B236" s="52">
        <v>643612</v>
      </c>
      <c r="C236" s="52" t="s">
        <v>551</v>
      </c>
      <c r="D236" s="55" t="s">
        <v>26</v>
      </c>
      <c r="E236" s="55" t="s">
        <v>27</v>
      </c>
      <c r="F236" s="55" t="s">
        <v>552</v>
      </c>
      <c r="G236" s="52" t="s">
        <v>29</v>
      </c>
      <c r="H236" s="54">
        <v>46158</v>
      </c>
      <c r="I236" s="53">
        <v>46155</v>
      </c>
      <c r="J236" s="52" t="s">
        <v>202</v>
      </c>
      <c r="K236" s="52" t="s">
        <v>466</v>
      </c>
      <c r="L236" s="52" t="s">
        <v>40</v>
      </c>
      <c r="M236" s="52" t="s">
        <v>30</v>
      </c>
      <c r="N236" s="56">
        <f t="shared" ca="1" si="3"/>
        <v>101</v>
      </c>
    </row>
    <row r="237" spans="1:14" x14ac:dyDescent="0.25">
      <c r="A237" s="52">
        <v>236</v>
      </c>
      <c r="B237" s="52">
        <v>643535</v>
      </c>
      <c r="C237" s="52" t="s">
        <v>553</v>
      </c>
      <c r="D237" s="55" t="s">
        <v>26</v>
      </c>
      <c r="E237" s="55" t="s">
        <v>27</v>
      </c>
      <c r="F237" s="55" t="s">
        <v>554</v>
      </c>
      <c r="G237" s="52" t="s">
        <v>29</v>
      </c>
      <c r="H237" s="54">
        <v>46158</v>
      </c>
      <c r="I237" s="53">
        <v>46154</v>
      </c>
      <c r="J237" s="52" t="s">
        <v>202</v>
      </c>
      <c r="K237" s="52" t="s">
        <v>525</v>
      </c>
      <c r="L237" s="52" t="s">
        <v>66</v>
      </c>
      <c r="M237" s="52" t="s">
        <v>555</v>
      </c>
      <c r="N237" s="56">
        <f t="shared" ca="1" si="3"/>
        <v>102</v>
      </c>
    </row>
    <row r="238" spans="1:14" x14ac:dyDescent="0.25">
      <c r="A238" s="52">
        <v>237</v>
      </c>
      <c r="B238" s="52">
        <v>643536</v>
      </c>
      <c r="C238" s="52" t="s">
        <v>556</v>
      </c>
      <c r="D238" s="55" t="s">
        <v>26</v>
      </c>
      <c r="E238" s="55" t="s">
        <v>27</v>
      </c>
      <c r="F238" s="55" t="s">
        <v>557</v>
      </c>
      <c r="G238" s="52" t="s">
        <v>29</v>
      </c>
      <c r="H238" s="54">
        <v>46161</v>
      </c>
      <c r="I238" s="53">
        <v>46154</v>
      </c>
      <c r="J238" s="52" t="s">
        <v>77</v>
      </c>
      <c r="K238" s="52" t="s">
        <v>405</v>
      </c>
      <c r="L238" s="52" t="s">
        <v>40</v>
      </c>
      <c r="M238" s="52" t="s">
        <v>30</v>
      </c>
      <c r="N238" s="56">
        <f t="shared" ca="1" si="3"/>
        <v>102</v>
      </c>
    </row>
    <row r="239" spans="1:14" x14ac:dyDescent="0.25">
      <c r="A239" s="52">
        <v>238</v>
      </c>
      <c r="B239" s="52">
        <v>643530</v>
      </c>
      <c r="C239" s="52" t="s">
        <v>558</v>
      </c>
      <c r="D239" s="55" t="s">
        <v>26</v>
      </c>
      <c r="E239" s="55" t="s">
        <v>27</v>
      </c>
      <c r="F239" s="55" t="s">
        <v>559</v>
      </c>
      <c r="G239" s="52" t="s">
        <v>29</v>
      </c>
      <c r="H239" s="54">
        <v>46158</v>
      </c>
      <c r="I239" s="53">
        <v>46154</v>
      </c>
      <c r="J239" s="52" t="s">
        <v>77</v>
      </c>
      <c r="K239" s="52" t="s">
        <v>373</v>
      </c>
      <c r="L239" s="52" t="s">
        <v>40</v>
      </c>
      <c r="M239" s="52" t="s">
        <v>30</v>
      </c>
      <c r="N239" s="56">
        <f t="shared" ca="1" si="3"/>
        <v>102</v>
      </c>
    </row>
    <row r="240" spans="1:14" x14ac:dyDescent="0.25">
      <c r="A240" s="52">
        <v>239</v>
      </c>
      <c r="B240" s="52">
        <v>643531</v>
      </c>
      <c r="C240" s="52" t="s">
        <v>560</v>
      </c>
      <c r="D240" s="55" t="s">
        <v>26</v>
      </c>
      <c r="E240" s="55" t="s">
        <v>27</v>
      </c>
      <c r="F240" s="55" t="s">
        <v>561</v>
      </c>
      <c r="G240" s="52" t="s">
        <v>29</v>
      </c>
      <c r="H240" s="54">
        <v>46158</v>
      </c>
      <c r="I240" s="53">
        <v>46154</v>
      </c>
      <c r="J240" s="52" t="s">
        <v>30</v>
      </c>
      <c r="K240" s="52" t="s">
        <v>30</v>
      </c>
      <c r="L240" s="52" t="s">
        <v>155</v>
      </c>
      <c r="M240" s="52" t="s">
        <v>30</v>
      </c>
      <c r="N240" s="56">
        <f t="shared" ca="1" si="3"/>
        <v>102</v>
      </c>
    </row>
    <row r="241" spans="1:14" x14ac:dyDescent="0.25">
      <c r="A241" s="52">
        <v>240</v>
      </c>
      <c r="B241" s="52">
        <v>643541</v>
      </c>
      <c r="C241" s="52" t="s">
        <v>562</v>
      </c>
      <c r="D241" s="55" t="s">
        <v>26</v>
      </c>
      <c r="E241" s="55" t="s">
        <v>27</v>
      </c>
      <c r="F241" s="55" t="s">
        <v>563</v>
      </c>
      <c r="G241" s="52" t="s">
        <v>29</v>
      </c>
      <c r="H241" s="54">
        <v>46158</v>
      </c>
      <c r="I241" s="53">
        <v>46154</v>
      </c>
      <c r="J241" s="52" t="s">
        <v>77</v>
      </c>
      <c r="K241" s="52" t="s">
        <v>405</v>
      </c>
      <c r="L241" s="52" t="s">
        <v>40</v>
      </c>
      <c r="M241" s="52" t="s">
        <v>30</v>
      </c>
      <c r="N241" s="56">
        <f t="shared" ca="1" si="3"/>
        <v>102</v>
      </c>
    </row>
    <row r="242" spans="1:14" x14ac:dyDescent="0.25">
      <c r="A242" s="52">
        <v>241</v>
      </c>
      <c r="B242" s="52">
        <v>643583</v>
      </c>
      <c r="C242" s="52" t="s">
        <v>564</v>
      </c>
      <c r="D242" s="55" t="s">
        <v>26</v>
      </c>
      <c r="E242" s="55" t="s">
        <v>27</v>
      </c>
      <c r="F242" s="55" t="s">
        <v>565</v>
      </c>
      <c r="G242" s="52" t="s">
        <v>29</v>
      </c>
      <c r="H242" s="54">
        <v>46158</v>
      </c>
      <c r="I242" s="53">
        <v>46154</v>
      </c>
      <c r="J242" s="52" t="s">
        <v>31</v>
      </c>
      <c r="K242" s="52" t="s">
        <v>428</v>
      </c>
      <c r="L242" s="52" t="s">
        <v>40</v>
      </c>
      <c r="M242" s="52" t="s">
        <v>30</v>
      </c>
      <c r="N242" s="56">
        <f t="shared" ca="1" si="3"/>
        <v>102</v>
      </c>
    </row>
    <row r="243" spans="1:14" x14ac:dyDescent="0.25">
      <c r="A243" s="52">
        <v>242</v>
      </c>
      <c r="B243" s="52">
        <v>643584</v>
      </c>
      <c r="C243" s="52" t="s">
        <v>566</v>
      </c>
      <c r="D243" s="55" t="s">
        <v>26</v>
      </c>
      <c r="E243" s="55" t="s">
        <v>27</v>
      </c>
      <c r="F243" s="55" t="s">
        <v>567</v>
      </c>
      <c r="G243" s="52" t="s">
        <v>29</v>
      </c>
      <c r="H243" s="54">
        <v>46158</v>
      </c>
      <c r="I243" s="53">
        <v>46154</v>
      </c>
      <c r="J243" s="52" t="s">
        <v>64</v>
      </c>
      <c r="K243" s="52" t="s">
        <v>568</v>
      </c>
      <c r="L243" s="52" t="s">
        <v>40</v>
      </c>
      <c r="M243" s="52" t="s">
        <v>30</v>
      </c>
      <c r="N243" s="56">
        <f t="shared" ca="1" si="3"/>
        <v>102</v>
      </c>
    </row>
    <row r="244" spans="1:14" x14ac:dyDescent="0.25">
      <c r="A244" s="52">
        <v>243</v>
      </c>
      <c r="B244" s="52">
        <v>643587</v>
      </c>
      <c r="C244" s="52" t="s">
        <v>569</v>
      </c>
      <c r="D244" s="55" t="s">
        <v>26</v>
      </c>
      <c r="E244" s="55" t="s">
        <v>27</v>
      </c>
      <c r="F244" s="55" t="s">
        <v>570</v>
      </c>
      <c r="G244" s="52" t="s">
        <v>29</v>
      </c>
      <c r="H244" s="54">
        <v>46158</v>
      </c>
      <c r="I244" s="53">
        <v>46154</v>
      </c>
      <c r="J244" s="52" t="s">
        <v>30</v>
      </c>
      <c r="K244" s="52" t="s">
        <v>30</v>
      </c>
      <c r="L244" s="52" t="s">
        <v>155</v>
      </c>
      <c r="M244" s="52" t="s">
        <v>30</v>
      </c>
      <c r="N244" s="56">
        <f t="shared" ca="1" si="3"/>
        <v>102</v>
      </c>
    </row>
    <row r="245" spans="1:14" x14ac:dyDescent="0.25">
      <c r="A245" s="52">
        <v>244</v>
      </c>
      <c r="B245" s="52">
        <v>643586</v>
      </c>
      <c r="C245" s="52" t="s">
        <v>571</v>
      </c>
      <c r="D245" s="55" t="s">
        <v>26</v>
      </c>
      <c r="E245" s="55" t="s">
        <v>27</v>
      </c>
      <c r="F245" s="55" t="s">
        <v>572</v>
      </c>
      <c r="G245" s="52" t="s">
        <v>29</v>
      </c>
      <c r="H245" s="54">
        <v>46158</v>
      </c>
      <c r="I245" s="53">
        <v>46154</v>
      </c>
      <c r="J245" s="52" t="s">
        <v>77</v>
      </c>
      <c r="K245" s="52" t="s">
        <v>405</v>
      </c>
      <c r="L245" s="52" t="s">
        <v>40</v>
      </c>
      <c r="M245" s="52" t="s">
        <v>30</v>
      </c>
      <c r="N245" s="56">
        <f t="shared" ca="1" si="3"/>
        <v>102</v>
      </c>
    </row>
    <row r="246" spans="1:14" x14ac:dyDescent="0.25">
      <c r="A246" s="52">
        <v>245</v>
      </c>
      <c r="B246" s="52">
        <v>643592</v>
      </c>
      <c r="C246" s="52" t="s">
        <v>573</v>
      </c>
      <c r="D246" s="55" t="s">
        <v>26</v>
      </c>
      <c r="E246" s="55" t="s">
        <v>27</v>
      </c>
      <c r="F246" s="55" t="s">
        <v>574</v>
      </c>
      <c r="G246" s="52" t="s">
        <v>29</v>
      </c>
      <c r="H246" s="54">
        <v>46158</v>
      </c>
      <c r="I246" s="53">
        <v>46155</v>
      </c>
      <c r="J246" s="52" t="s">
        <v>77</v>
      </c>
      <c r="K246" s="52" t="s">
        <v>575</v>
      </c>
      <c r="L246" s="52" t="s">
        <v>227</v>
      </c>
      <c r="M246" s="52" t="s">
        <v>576</v>
      </c>
      <c r="N246" s="56">
        <f t="shared" ca="1" si="3"/>
        <v>101</v>
      </c>
    </row>
    <row r="247" spans="1:14" x14ac:dyDescent="0.25">
      <c r="A247" s="52">
        <v>246</v>
      </c>
      <c r="B247" s="52">
        <v>643614</v>
      </c>
      <c r="C247" s="52" t="s">
        <v>577</v>
      </c>
      <c r="D247" s="55" t="s">
        <v>26</v>
      </c>
      <c r="E247" s="55" t="s">
        <v>27</v>
      </c>
      <c r="F247" s="55" t="s">
        <v>578</v>
      </c>
      <c r="G247" s="52" t="s">
        <v>29</v>
      </c>
      <c r="H247" s="54">
        <v>46158</v>
      </c>
      <c r="I247" s="53">
        <v>46155</v>
      </c>
      <c r="J247" s="52" t="s">
        <v>30</v>
      </c>
      <c r="K247" s="52" t="s">
        <v>30</v>
      </c>
      <c r="L247" s="52" t="s">
        <v>579</v>
      </c>
      <c r="M247" s="52" t="s">
        <v>30</v>
      </c>
      <c r="N247" s="56">
        <f t="shared" ca="1" si="3"/>
        <v>101</v>
      </c>
    </row>
    <row r="248" spans="1:14" x14ac:dyDescent="0.25">
      <c r="A248" s="52">
        <v>247</v>
      </c>
      <c r="B248" s="52">
        <v>643552</v>
      </c>
      <c r="C248" s="52" t="s">
        <v>580</v>
      </c>
      <c r="D248" s="55" t="s">
        <v>26</v>
      </c>
      <c r="E248" s="55" t="s">
        <v>27</v>
      </c>
      <c r="F248" s="55" t="s">
        <v>581</v>
      </c>
      <c r="G248" s="52" t="s">
        <v>29</v>
      </c>
      <c r="H248" s="54">
        <v>46158</v>
      </c>
      <c r="I248" s="53">
        <v>46154</v>
      </c>
      <c r="J248" s="52" t="s">
        <v>30</v>
      </c>
      <c r="K248" s="52" t="s">
        <v>30</v>
      </c>
      <c r="L248" s="52" t="s">
        <v>155</v>
      </c>
      <c r="M248" s="52" t="s">
        <v>30</v>
      </c>
      <c r="N248" s="56">
        <f t="shared" ca="1" si="3"/>
        <v>102</v>
      </c>
    </row>
    <row r="249" spans="1:14" x14ac:dyDescent="0.25">
      <c r="A249" s="52">
        <v>248</v>
      </c>
      <c r="B249" s="52">
        <v>643554</v>
      </c>
      <c r="C249" s="52" t="s">
        <v>582</v>
      </c>
      <c r="D249" s="55" t="s">
        <v>26</v>
      </c>
      <c r="E249" s="55" t="s">
        <v>27</v>
      </c>
      <c r="F249" s="55" t="s">
        <v>583</v>
      </c>
      <c r="G249" s="52" t="s">
        <v>29</v>
      </c>
      <c r="H249" s="54">
        <v>46158</v>
      </c>
      <c r="I249" s="53">
        <v>46154</v>
      </c>
      <c r="J249" s="52" t="s">
        <v>77</v>
      </c>
      <c r="K249" s="52" t="s">
        <v>373</v>
      </c>
      <c r="L249" s="52" t="s">
        <v>40</v>
      </c>
      <c r="M249" s="52" t="s">
        <v>30</v>
      </c>
      <c r="N249" s="56">
        <f t="shared" ca="1" si="3"/>
        <v>102</v>
      </c>
    </row>
    <row r="250" spans="1:14" x14ac:dyDescent="0.25">
      <c r="A250" s="52">
        <v>249</v>
      </c>
      <c r="B250" s="52">
        <v>643555</v>
      </c>
      <c r="C250" s="52" t="s">
        <v>584</v>
      </c>
      <c r="D250" s="55" t="s">
        <v>26</v>
      </c>
      <c r="E250" s="55" t="s">
        <v>27</v>
      </c>
      <c r="F250" s="55" t="s">
        <v>585</v>
      </c>
      <c r="G250" s="52" t="s">
        <v>29</v>
      </c>
      <c r="H250" s="54">
        <v>46158</v>
      </c>
      <c r="I250" s="53">
        <v>46154</v>
      </c>
      <c r="J250" s="52" t="s">
        <v>31</v>
      </c>
      <c r="K250" s="52" t="s">
        <v>428</v>
      </c>
      <c r="L250" s="52" t="s">
        <v>40</v>
      </c>
      <c r="M250" s="52" t="s">
        <v>30</v>
      </c>
      <c r="N250" s="56">
        <f t="shared" ca="1" si="3"/>
        <v>102</v>
      </c>
    </row>
    <row r="251" spans="1:14" x14ac:dyDescent="0.25">
      <c r="A251" s="52">
        <v>250</v>
      </c>
      <c r="B251" s="52">
        <v>643611</v>
      </c>
      <c r="C251" s="52" t="s">
        <v>586</v>
      </c>
      <c r="D251" s="55" t="s">
        <v>26</v>
      </c>
      <c r="E251" s="55" t="s">
        <v>27</v>
      </c>
      <c r="F251" s="55" t="s">
        <v>587</v>
      </c>
      <c r="G251" s="52" t="s">
        <v>29</v>
      </c>
      <c r="H251" s="54">
        <v>46158</v>
      </c>
      <c r="I251" s="53">
        <v>46154</v>
      </c>
      <c r="J251" s="52" t="s">
        <v>77</v>
      </c>
      <c r="K251" s="52" t="s">
        <v>405</v>
      </c>
      <c r="L251" s="52" t="s">
        <v>40</v>
      </c>
      <c r="M251" s="52" t="s">
        <v>30</v>
      </c>
      <c r="N251" s="56">
        <f t="shared" ref="N251:N314" ca="1" si="4">IFERROR(TODAY()-I251,"-")</f>
        <v>102</v>
      </c>
    </row>
    <row r="252" spans="1:14" x14ac:dyDescent="0.25">
      <c r="A252" s="52">
        <v>251</v>
      </c>
      <c r="B252" s="52">
        <v>643558</v>
      </c>
      <c r="C252" s="52" t="s">
        <v>588</v>
      </c>
      <c r="D252" s="55" t="s">
        <v>26</v>
      </c>
      <c r="E252" s="55" t="s">
        <v>27</v>
      </c>
      <c r="F252" s="55" t="s">
        <v>589</v>
      </c>
      <c r="G252" s="52" t="s">
        <v>29</v>
      </c>
      <c r="H252" s="54">
        <v>46158</v>
      </c>
      <c r="I252" s="53">
        <v>46154</v>
      </c>
      <c r="J252" s="52" t="s">
        <v>77</v>
      </c>
      <c r="K252" s="52" t="s">
        <v>373</v>
      </c>
      <c r="L252" s="52" t="s">
        <v>40</v>
      </c>
      <c r="M252" s="52" t="s">
        <v>30</v>
      </c>
      <c r="N252" s="56">
        <f t="shared" ca="1" si="4"/>
        <v>102</v>
      </c>
    </row>
    <row r="253" spans="1:14" x14ac:dyDescent="0.25">
      <c r="A253" s="52">
        <v>252</v>
      </c>
      <c r="B253" s="52">
        <v>643560</v>
      </c>
      <c r="C253" s="52" t="s">
        <v>590</v>
      </c>
      <c r="D253" s="55" t="s">
        <v>26</v>
      </c>
      <c r="E253" s="55" t="s">
        <v>27</v>
      </c>
      <c r="F253" s="55" t="s">
        <v>591</v>
      </c>
      <c r="G253" s="52" t="s">
        <v>29</v>
      </c>
      <c r="H253" s="54">
        <v>46158</v>
      </c>
      <c r="I253" s="53">
        <v>46153</v>
      </c>
      <c r="J253" s="52" t="s">
        <v>64</v>
      </c>
      <c r="K253" s="52" t="s">
        <v>592</v>
      </c>
      <c r="L253" s="52" t="s">
        <v>66</v>
      </c>
      <c r="M253" s="52" t="s">
        <v>593</v>
      </c>
      <c r="N253" s="56">
        <f t="shared" ca="1" si="4"/>
        <v>103</v>
      </c>
    </row>
    <row r="254" spans="1:14" x14ac:dyDescent="0.25">
      <c r="A254" s="52">
        <v>253</v>
      </c>
      <c r="B254" s="52">
        <v>643562</v>
      </c>
      <c r="C254" s="52" t="s">
        <v>594</v>
      </c>
      <c r="D254" s="55" t="s">
        <v>26</v>
      </c>
      <c r="E254" s="55" t="s">
        <v>27</v>
      </c>
      <c r="F254" s="55" t="s">
        <v>595</v>
      </c>
      <c r="G254" s="52" t="s">
        <v>29</v>
      </c>
      <c r="H254" s="54">
        <v>46158</v>
      </c>
      <c r="I254" s="53">
        <v>46154</v>
      </c>
      <c r="J254" s="52" t="s">
        <v>77</v>
      </c>
      <c r="K254" s="52" t="s">
        <v>373</v>
      </c>
      <c r="L254" s="52" t="s">
        <v>40</v>
      </c>
      <c r="M254" s="52" t="s">
        <v>30</v>
      </c>
      <c r="N254" s="56">
        <f t="shared" ca="1" si="4"/>
        <v>102</v>
      </c>
    </row>
    <row r="255" spans="1:14" x14ac:dyDescent="0.25">
      <c r="A255" s="52">
        <v>254</v>
      </c>
      <c r="B255" s="52">
        <v>643565</v>
      </c>
      <c r="C255" s="52" t="s">
        <v>596</v>
      </c>
      <c r="D255" s="55" t="s">
        <v>26</v>
      </c>
      <c r="E255" s="55" t="s">
        <v>27</v>
      </c>
      <c r="F255" s="55" t="s">
        <v>597</v>
      </c>
      <c r="G255" s="52" t="s">
        <v>29</v>
      </c>
      <c r="H255" s="54">
        <v>46158</v>
      </c>
      <c r="I255" s="53">
        <v>46153</v>
      </c>
      <c r="J255" s="52" t="s">
        <v>30</v>
      </c>
      <c r="K255" s="52" t="s">
        <v>30</v>
      </c>
      <c r="L255" s="52" t="s">
        <v>579</v>
      </c>
      <c r="M255" s="52" t="s">
        <v>30</v>
      </c>
      <c r="N255" s="56">
        <f t="shared" ca="1" si="4"/>
        <v>103</v>
      </c>
    </row>
    <row r="256" spans="1:14" x14ac:dyDescent="0.25">
      <c r="A256" s="52">
        <v>255</v>
      </c>
      <c r="B256" s="52">
        <v>643566</v>
      </c>
      <c r="C256" s="52" t="s">
        <v>598</v>
      </c>
      <c r="D256" s="55" t="s">
        <v>26</v>
      </c>
      <c r="E256" s="55" t="s">
        <v>27</v>
      </c>
      <c r="F256" s="55" t="s">
        <v>599</v>
      </c>
      <c r="G256" s="52" t="s">
        <v>29</v>
      </c>
      <c r="H256" s="54">
        <v>46158</v>
      </c>
      <c r="I256" s="53">
        <v>46154</v>
      </c>
      <c r="J256" s="52" t="s">
        <v>31</v>
      </c>
      <c r="K256" s="52" t="s">
        <v>428</v>
      </c>
      <c r="L256" s="52" t="s">
        <v>40</v>
      </c>
      <c r="M256" s="52" t="s">
        <v>30</v>
      </c>
      <c r="N256" s="56">
        <f t="shared" ca="1" si="4"/>
        <v>102</v>
      </c>
    </row>
    <row r="257" spans="1:14" x14ac:dyDescent="0.25">
      <c r="A257" s="52">
        <v>256</v>
      </c>
      <c r="B257" s="52">
        <v>553176</v>
      </c>
      <c r="C257" s="52" t="s">
        <v>600</v>
      </c>
      <c r="D257" s="55" t="s">
        <v>26</v>
      </c>
      <c r="E257" s="55" t="s">
        <v>27</v>
      </c>
      <c r="F257" s="55" t="s">
        <v>601</v>
      </c>
      <c r="G257" s="52" t="s">
        <v>29</v>
      </c>
      <c r="H257" s="54">
        <v>46161</v>
      </c>
      <c r="I257" s="53">
        <v>46154</v>
      </c>
      <c r="J257" s="52" t="s">
        <v>64</v>
      </c>
      <c r="K257" s="52" t="s">
        <v>602</v>
      </c>
      <c r="L257" s="52" t="s">
        <v>40</v>
      </c>
      <c r="M257" s="52" t="s">
        <v>30</v>
      </c>
      <c r="N257" s="56">
        <f t="shared" ca="1" si="4"/>
        <v>102</v>
      </c>
    </row>
    <row r="258" spans="1:14" x14ac:dyDescent="0.25">
      <c r="A258" s="52">
        <v>257</v>
      </c>
      <c r="B258" s="52">
        <v>643568</v>
      </c>
      <c r="C258" s="52" t="s">
        <v>603</v>
      </c>
      <c r="D258" s="55" t="s">
        <v>26</v>
      </c>
      <c r="E258" s="55" t="s">
        <v>27</v>
      </c>
      <c r="F258" s="55" t="s">
        <v>604</v>
      </c>
      <c r="G258" s="52" t="s">
        <v>29</v>
      </c>
      <c r="H258" s="54">
        <v>46158</v>
      </c>
      <c r="I258" s="53">
        <v>46154</v>
      </c>
      <c r="J258" s="52" t="s">
        <v>64</v>
      </c>
      <c r="K258" s="52" t="s">
        <v>605</v>
      </c>
      <c r="L258" s="52" t="s">
        <v>40</v>
      </c>
      <c r="M258" s="52" t="s">
        <v>30</v>
      </c>
      <c r="N258" s="56">
        <f t="shared" ca="1" si="4"/>
        <v>102</v>
      </c>
    </row>
    <row r="259" spans="1:14" x14ac:dyDescent="0.25">
      <c r="A259" s="52">
        <v>258</v>
      </c>
      <c r="B259" s="52">
        <v>643595</v>
      </c>
      <c r="C259" s="52" t="s">
        <v>606</v>
      </c>
      <c r="D259" s="55" t="s">
        <v>26</v>
      </c>
      <c r="E259" s="55" t="s">
        <v>27</v>
      </c>
      <c r="F259" s="55" t="s">
        <v>607</v>
      </c>
      <c r="G259" s="52" t="s">
        <v>29</v>
      </c>
      <c r="H259" s="54">
        <v>46158</v>
      </c>
      <c r="I259" s="53">
        <v>46154</v>
      </c>
      <c r="J259" s="52" t="s">
        <v>31</v>
      </c>
      <c r="K259" s="52" t="s">
        <v>373</v>
      </c>
      <c r="L259" s="52" t="s">
        <v>40</v>
      </c>
      <c r="M259" s="52" t="s">
        <v>30</v>
      </c>
      <c r="N259" s="56">
        <f t="shared" ca="1" si="4"/>
        <v>102</v>
      </c>
    </row>
    <row r="260" spans="1:14" x14ac:dyDescent="0.25">
      <c r="A260" s="52">
        <v>259</v>
      </c>
      <c r="B260" s="52">
        <v>643569</v>
      </c>
      <c r="C260" s="52" t="s">
        <v>608</v>
      </c>
      <c r="D260" s="55" t="s">
        <v>26</v>
      </c>
      <c r="E260" s="55" t="s">
        <v>27</v>
      </c>
      <c r="F260" s="55" t="s">
        <v>609</v>
      </c>
      <c r="G260" s="52" t="s">
        <v>29</v>
      </c>
      <c r="H260" s="54">
        <v>46158</v>
      </c>
      <c r="I260" s="53">
        <v>46154</v>
      </c>
      <c r="J260" s="52" t="s">
        <v>610</v>
      </c>
      <c r="K260" s="52" t="s">
        <v>611</v>
      </c>
      <c r="L260" s="52" t="s">
        <v>40</v>
      </c>
      <c r="M260" s="52" t="s">
        <v>30</v>
      </c>
      <c r="N260" s="56">
        <f t="shared" ca="1" si="4"/>
        <v>102</v>
      </c>
    </row>
    <row r="261" spans="1:14" x14ac:dyDescent="0.25">
      <c r="A261" s="52">
        <v>260</v>
      </c>
      <c r="B261" s="52">
        <v>643570</v>
      </c>
      <c r="C261" s="52" t="s">
        <v>612</v>
      </c>
      <c r="D261" s="55" t="s">
        <v>26</v>
      </c>
      <c r="E261" s="55" t="s">
        <v>27</v>
      </c>
      <c r="F261" s="55" t="s">
        <v>613</v>
      </c>
      <c r="G261" s="52" t="s">
        <v>29</v>
      </c>
      <c r="H261" s="54">
        <v>46158</v>
      </c>
      <c r="I261" s="53">
        <v>46155</v>
      </c>
      <c r="J261" s="52" t="s">
        <v>31</v>
      </c>
      <c r="K261" s="52" t="s">
        <v>428</v>
      </c>
      <c r="L261" s="52" t="s">
        <v>40</v>
      </c>
      <c r="M261" s="52" t="s">
        <v>30</v>
      </c>
      <c r="N261" s="56">
        <f t="shared" ca="1" si="4"/>
        <v>101</v>
      </c>
    </row>
    <row r="262" spans="1:14" x14ac:dyDescent="0.25">
      <c r="A262" s="52">
        <v>261</v>
      </c>
      <c r="B262" s="52">
        <v>643571</v>
      </c>
      <c r="C262" s="52" t="s">
        <v>614</v>
      </c>
      <c r="D262" s="55" t="s">
        <v>26</v>
      </c>
      <c r="E262" s="55" t="s">
        <v>27</v>
      </c>
      <c r="F262" s="55" t="s">
        <v>615</v>
      </c>
      <c r="G262" s="52" t="s">
        <v>29</v>
      </c>
      <c r="H262" s="54">
        <v>46158</v>
      </c>
      <c r="I262" s="53">
        <v>46153</v>
      </c>
      <c r="J262" s="52" t="s">
        <v>64</v>
      </c>
      <c r="K262" s="52" t="s">
        <v>568</v>
      </c>
      <c r="L262" s="52" t="s">
        <v>40</v>
      </c>
      <c r="M262" s="52" t="s">
        <v>30</v>
      </c>
      <c r="N262" s="56">
        <f t="shared" ca="1" si="4"/>
        <v>103</v>
      </c>
    </row>
    <row r="263" spans="1:14" x14ac:dyDescent="0.25">
      <c r="A263" s="52">
        <v>262</v>
      </c>
      <c r="B263" s="52">
        <v>643572</v>
      </c>
      <c r="C263" s="52" t="s">
        <v>616</v>
      </c>
      <c r="D263" s="55" t="s">
        <v>26</v>
      </c>
      <c r="E263" s="55" t="s">
        <v>27</v>
      </c>
      <c r="F263" s="55" t="s">
        <v>617</v>
      </c>
      <c r="G263" s="52" t="s">
        <v>29</v>
      </c>
      <c r="H263" s="54">
        <v>46158</v>
      </c>
      <c r="I263" s="53">
        <v>46154</v>
      </c>
      <c r="J263" s="52" t="s">
        <v>31</v>
      </c>
      <c r="K263" s="52" t="s">
        <v>618</v>
      </c>
      <c r="L263" s="52" t="s">
        <v>40</v>
      </c>
      <c r="M263" s="52" t="s">
        <v>30</v>
      </c>
      <c r="N263" s="56">
        <f t="shared" ca="1" si="4"/>
        <v>102</v>
      </c>
    </row>
    <row r="264" spans="1:14" x14ac:dyDescent="0.25">
      <c r="A264" s="52">
        <v>263</v>
      </c>
      <c r="B264" s="52">
        <v>643573</v>
      </c>
      <c r="C264" s="52" t="s">
        <v>619</v>
      </c>
      <c r="D264" s="55" t="s">
        <v>26</v>
      </c>
      <c r="E264" s="55" t="s">
        <v>27</v>
      </c>
      <c r="F264" s="55" t="s">
        <v>620</v>
      </c>
      <c r="G264" s="52" t="s">
        <v>29</v>
      </c>
      <c r="H264" s="54">
        <v>46158</v>
      </c>
      <c r="I264" s="53">
        <v>46154</v>
      </c>
      <c r="J264" s="52" t="s">
        <v>31</v>
      </c>
      <c r="K264" s="52" t="s">
        <v>428</v>
      </c>
      <c r="L264" s="52" t="s">
        <v>40</v>
      </c>
      <c r="M264" s="52" t="s">
        <v>30</v>
      </c>
      <c r="N264" s="56">
        <f t="shared" ca="1" si="4"/>
        <v>102</v>
      </c>
    </row>
    <row r="265" spans="1:14" x14ac:dyDescent="0.25">
      <c r="A265" s="52">
        <v>264</v>
      </c>
      <c r="B265" s="52">
        <v>643574</v>
      </c>
      <c r="C265" s="52" t="s">
        <v>621</v>
      </c>
      <c r="D265" s="55" t="s">
        <v>26</v>
      </c>
      <c r="E265" s="55" t="s">
        <v>27</v>
      </c>
      <c r="F265" s="55" t="s">
        <v>622</v>
      </c>
      <c r="G265" s="52" t="s">
        <v>29</v>
      </c>
      <c r="H265" s="54">
        <v>46158</v>
      </c>
      <c r="I265" s="53">
        <v>46154</v>
      </c>
      <c r="J265" s="52" t="s">
        <v>30</v>
      </c>
      <c r="K265" s="52" t="s">
        <v>30</v>
      </c>
      <c r="L265" s="52" t="s">
        <v>155</v>
      </c>
      <c r="M265" s="52" t="s">
        <v>576</v>
      </c>
      <c r="N265" s="56">
        <f t="shared" ca="1" si="4"/>
        <v>102</v>
      </c>
    </row>
    <row r="266" spans="1:14" x14ac:dyDescent="0.25">
      <c r="A266" s="52">
        <v>265</v>
      </c>
      <c r="B266" s="52">
        <v>643577</v>
      </c>
      <c r="C266" s="52" t="s">
        <v>623</v>
      </c>
      <c r="D266" s="55" t="s">
        <v>26</v>
      </c>
      <c r="E266" s="55" t="s">
        <v>27</v>
      </c>
      <c r="F266" s="55" t="s">
        <v>624</v>
      </c>
      <c r="G266" s="52" t="s">
        <v>29</v>
      </c>
      <c r="H266" s="54">
        <v>46158</v>
      </c>
      <c r="I266" s="53">
        <v>46154</v>
      </c>
      <c r="J266" s="52" t="s">
        <v>77</v>
      </c>
      <c r="K266" s="52" t="s">
        <v>373</v>
      </c>
      <c r="L266" s="52" t="s">
        <v>40</v>
      </c>
      <c r="M266" s="52" t="s">
        <v>30</v>
      </c>
      <c r="N266" s="56">
        <f t="shared" ca="1" si="4"/>
        <v>102</v>
      </c>
    </row>
    <row r="267" spans="1:14" x14ac:dyDescent="0.25">
      <c r="A267" s="52">
        <v>266</v>
      </c>
      <c r="B267" s="52">
        <v>643578</v>
      </c>
      <c r="C267" s="52" t="s">
        <v>625</v>
      </c>
      <c r="D267" s="55" t="s">
        <v>26</v>
      </c>
      <c r="E267" s="55" t="s">
        <v>27</v>
      </c>
      <c r="F267" s="55" t="s">
        <v>626</v>
      </c>
      <c r="G267" s="52" t="s">
        <v>29</v>
      </c>
      <c r="H267" s="54">
        <v>46158</v>
      </c>
      <c r="I267" s="53">
        <v>46154</v>
      </c>
      <c r="J267" s="52" t="s">
        <v>77</v>
      </c>
      <c r="K267" s="52" t="s">
        <v>373</v>
      </c>
      <c r="L267" s="52" t="s">
        <v>40</v>
      </c>
      <c r="M267" s="52" t="s">
        <v>30</v>
      </c>
      <c r="N267" s="56">
        <f t="shared" ca="1" si="4"/>
        <v>102</v>
      </c>
    </row>
    <row r="268" spans="1:14" x14ac:dyDescent="0.25">
      <c r="A268" s="52">
        <v>267</v>
      </c>
      <c r="B268" s="52">
        <v>643579</v>
      </c>
      <c r="C268" s="52" t="s">
        <v>627</v>
      </c>
      <c r="D268" s="55" t="s">
        <v>26</v>
      </c>
      <c r="E268" s="55" t="s">
        <v>27</v>
      </c>
      <c r="F268" s="55" t="s">
        <v>628</v>
      </c>
      <c r="G268" s="52" t="s">
        <v>29</v>
      </c>
      <c r="H268" s="54">
        <v>46158</v>
      </c>
      <c r="I268" s="53">
        <v>46153</v>
      </c>
      <c r="J268" s="52" t="s">
        <v>30</v>
      </c>
      <c r="K268" s="52" t="s">
        <v>30</v>
      </c>
      <c r="L268" s="52" t="s">
        <v>155</v>
      </c>
      <c r="M268" s="52" t="s">
        <v>30</v>
      </c>
      <c r="N268" s="56">
        <f t="shared" ca="1" si="4"/>
        <v>103</v>
      </c>
    </row>
    <row r="269" spans="1:14" x14ac:dyDescent="0.25">
      <c r="A269" s="52">
        <v>268</v>
      </c>
      <c r="B269" s="52">
        <v>643526</v>
      </c>
      <c r="C269" s="52" t="s">
        <v>629</v>
      </c>
      <c r="D269" s="55" t="s">
        <v>26</v>
      </c>
      <c r="E269" s="55" t="s">
        <v>27</v>
      </c>
      <c r="F269" s="55" t="s">
        <v>630</v>
      </c>
      <c r="G269" s="52" t="s">
        <v>29</v>
      </c>
      <c r="H269" s="54">
        <v>46158</v>
      </c>
      <c r="I269" s="53">
        <v>46154</v>
      </c>
      <c r="J269" s="52" t="s">
        <v>202</v>
      </c>
      <c r="K269" s="52" t="s">
        <v>631</v>
      </c>
      <c r="L269" s="52" t="s">
        <v>66</v>
      </c>
      <c r="M269" s="52" t="s">
        <v>30</v>
      </c>
      <c r="N269" s="56">
        <f t="shared" ca="1" si="4"/>
        <v>102</v>
      </c>
    </row>
    <row r="270" spans="1:14" x14ac:dyDescent="0.25">
      <c r="A270" s="52">
        <v>269</v>
      </c>
      <c r="B270" s="52">
        <v>643597</v>
      </c>
      <c r="C270" s="52" t="s">
        <v>632</v>
      </c>
      <c r="D270" s="55" t="s">
        <v>26</v>
      </c>
      <c r="E270" s="55" t="s">
        <v>27</v>
      </c>
      <c r="F270" s="55" t="s">
        <v>633</v>
      </c>
      <c r="G270" s="52" t="s">
        <v>29</v>
      </c>
      <c r="H270" s="54">
        <v>46158</v>
      </c>
      <c r="I270" s="53">
        <v>46151</v>
      </c>
      <c r="J270" s="52" t="s">
        <v>30</v>
      </c>
      <c r="K270" s="52" t="s">
        <v>30</v>
      </c>
      <c r="L270" s="52" t="s">
        <v>33</v>
      </c>
      <c r="M270" s="52" t="s">
        <v>143</v>
      </c>
      <c r="N270" s="56">
        <f t="shared" ca="1" si="4"/>
        <v>105</v>
      </c>
    </row>
    <row r="271" spans="1:14" x14ac:dyDescent="0.25">
      <c r="A271" s="52">
        <v>270</v>
      </c>
      <c r="B271" s="52">
        <v>643534</v>
      </c>
      <c r="C271" s="52" t="s">
        <v>634</v>
      </c>
      <c r="D271" s="55" t="s">
        <v>26</v>
      </c>
      <c r="E271" s="55" t="s">
        <v>27</v>
      </c>
      <c r="F271" s="55" t="s">
        <v>635</v>
      </c>
      <c r="G271" s="52" t="s">
        <v>29</v>
      </c>
      <c r="H271" s="54">
        <v>46158</v>
      </c>
      <c r="I271" s="53">
        <v>46154</v>
      </c>
      <c r="J271" s="52" t="s">
        <v>372</v>
      </c>
      <c r="K271" s="52" t="s">
        <v>636</v>
      </c>
      <c r="L271" s="52" t="s">
        <v>40</v>
      </c>
      <c r="M271" s="52" t="s">
        <v>30</v>
      </c>
      <c r="N271" s="56">
        <f t="shared" ca="1" si="4"/>
        <v>102</v>
      </c>
    </row>
    <row r="272" spans="1:14" x14ac:dyDescent="0.25">
      <c r="A272" s="52">
        <v>271</v>
      </c>
      <c r="B272" s="52">
        <v>643438</v>
      </c>
      <c r="C272" s="52" t="s">
        <v>637</v>
      </c>
      <c r="D272" s="55" t="s">
        <v>26</v>
      </c>
      <c r="E272" s="55" t="s">
        <v>27</v>
      </c>
      <c r="F272" s="55" t="s">
        <v>638</v>
      </c>
      <c r="G272" s="52" t="s">
        <v>29</v>
      </c>
      <c r="H272" s="54">
        <v>46154</v>
      </c>
      <c r="I272" s="53" t="s">
        <v>30</v>
      </c>
      <c r="J272" s="52" t="s">
        <v>30</v>
      </c>
      <c r="K272" s="52" t="s">
        <v>30</v>
      </c>
      <c r="L272" s="52" t="s">
        <v>155</v>
      </c>
      <c r="M272" s="52" t="s">
        <v>30</v>
      </c>
      <c r="N272" s="56" t="str">
        <f t="shared" ca="1" si="4"/>
        <v>-</v>
      </c>
    </row>
    <row r="273" spans="1:14" x14ac:dyDescent="0.25">
      <c r="A273" s="52">
        <v>272</v>
      </c>
      <c r="B273" s="52">
        <v>643426</v>
      </c>
      <c r="C273" s="52" t="s">
        <v>639</v>
      </c>
      <c r="D273" s="55" t="s">
        <v>26</v>
      </c>
      <c r="E273" s="55" t="s">
        <v>27</v>
      </c>
      <c r="F273" s="55" t="s">
        <v>640</v>
      </c>
      <c r="G273" s="52" t="s">
        <v>29</v>
      </c>
      <c r="H273" s="54">
        <v>46154</v>
      </c>
      <c r="I273" s="53" t="s">
        <v>30</v>
      </c>
      <c r="J273" s="52" t="s">
        <v>30</v>
      </c>
      <c r="K273" s="52" t="s">
        <v>30</v>
      </c>
      <c r="L273" s="52" t="s">
        <v>155</v>
      </c>
      <c r="M273" s="52" t="s">
        <v>30</v>
      </c>
      <c r="N273" s="56" t="str">
        <f t="shared" ca="1" si="4"/>
        <v>-</v>
      </c>
    </row>
    <row r="274" spans="1:14" x14ac:dyDescent="0.25">
      <c r="A274" s="52">
        <v>273</v>
      </c>
      <c r="B274" s="52">
        <v>617210</v>
      </c>
      <c r="C274" s="52" t="s">
        <v>641</v>
      </c>
      <c r="D274" s="55" t="s">
        <v>63</v>
      </c>
      <c r="E274" s="55" t="s">
        <v>27</v>
      </c>
      <c r="F274" s="55">
        <v>402425262</v>
      </c>
      <c r="G274" s="52" t="s">
        <v>29</v>
      </c>
      <c r="H274" s="54">
        <v>46154</v>
      </c>
      <c r="I274" s="53">
        <v>46148</v>
      </c>
      <c r="J274" s="52" t="s">
        <v>30</v>
      </c>
      <c r="K274" s="52" t="s">
        <v>30</v>
      </c>
      <c r="L274" s="52" t="s">
        <v>155</v>
      </c>
      <c r="M274" s="52" t="s">
        <v>30</v>
      </c>
      <c r="N274" s="56">
        <f t="shared" ca="1" si="4"/>
        <v>108</v>
      </c>
    </row>
    <row r="275" spans="1:14" x14ac:dyDescent="0.25">
      <c r="A275" s="52">
        <v>274</v>
      </c>
      <c r="B275" s="52">
        <v>643644</v>
      </c>
      <c r="C275" s="52" t="s">
        <v>642</v>
      </c>
      <c r="D275" s="55" t="s">
        <v>26</v>
      </c>
      <c r="E275" s="55" t="s">
        <v>27</v>
      </c>
      <c r="F275" s="55" t="s">
        <v>643</v>
      </c>
      <c r="G275" s="52" t="s">
        <v>29</v>
      </c>
      <c r="H275" s="54">
        <v>46161</v>
      </c>
      <c r="I275" s="53">
        <v>46157</v>
      </c>
      <c r="J275" s="52" t="s">
        <v>31</v>
      </c>
      <c r="K275" s="52" t="s">
        <v>500</v>
      </c>
      <c r="L275" s="52" t="s">
        <v>40</v>
      </c>
      <c r="M275" s="52" t="s">
        <v>30</v>
      </c>
      <c r="N275" s="56">
        <f t="shared" ca="1" si="4"/>
        <v>99</v>
      </c>
    </row>
    <row r="276" spans="1:14" x14ac:dyDescent="0.25">
      <c r="A276" s="52">
        <v>275</v>
      </c>
      <c r="B276" s="52">
        <v>474979</v>
      </c>
      <c r="C276" s="52" t="s">
        <v>644</v>
      </c>
      <c r="D276" s="55" t="s">
        <v>26</v>
      </c>
      <c r="E276" s="55" t="s">
        <v>27</v>
      </c>
      <c r="F276" s="55" t="s">
        <v>645</v>
      </c>
      <c r="G276" s="52" t="s">
        <v>29</v>
      </c>
      <c r="H276" s="54">
        <v>46161</v>
      </c>
      <c r="I276" s="53">
        <v>46156</v>
      </c>
      <c r="J276" s="52" t="s">
        <v>31</v>
      </c>
      <c r="K276" s="52" t="s">
        <v>646</v>
      </c>
      <c r="L276" s="52" t="s">
        <v>40</v>
      </c>
      <c r="M276" s="52" t="s">
        <v>30</v>
      </c>
      <c r="N276" s="56">
        <f t="shared" ca="1" si="4"/>
        <v>100</v>
      </c>
    </row>
    <row r="277" spans="1:14" x14ac:dyDescent="0.25">
      <c r="A277" s="52">
        <v>276</v>
      </c>
      <c r="B277" s="52">
        <v>643660</v>
      </c>
      <c r="C277" s="52" t="s">
        <v>647</v>
      </c>
      <c r="D277" s="55" t="s">
        <v>26</v>
      </c>
      <c r="E277" s="55" t="s">
        <v>27</v>
      </c>
      <c r="F277" s="55" t="s">
        <v>648</v>
      </c>
      <c r="G277" s="52" t="s">
        <v>29</v>
      </c>
      <c r="H277" s="54">
        <v>46161</v>
      </c>
      <c r="I277" s="53">
        <v>46157</v>
      </c>
      <c r="J277" s="52" t="s">
        <v>31</v>
      </c>
      <c r="K277" s="52" t="s">
        <v>500</v>
      </c>
      <c r="L277" s="52" t="s">
        <v>40</v>
      </c>
      <c r="M277" s="52" t="s">
        <v>30</v>
      </c>
      <c r="N277" s="56">
        <f t="shared" ca="1" si="4"/>
        <v>99</v>
      </c>
    </row>
    <row r="278" spans="1:14" x14ac:dyDescent="0.25">
      <c r="A278" s="52">
        <v>277</v>
      </c>
      <c r="B278" s="52">
        <v>643656</v>
      </c>
      <c r="C278" s="52" t="s">
        <v>649</v>
      </c>
      <c r="D278" s="55" t="s">
        <v>26</v>
      </c>
      <c r="E278" s="55" t="s">
        <v>27</v>
      </c>
      <c r="F278" s="55" t="s">
        <v>650</v>
      </c>
      <c r="G278" s="52" t="s">
        <v>29</v>
      </c>
      <c r="H278" s="54">
        <v>46163</v>
      </c>
      <c r="I278" s="53">
        <v>46157</v>
      </c>
      <c r="J278" s="52" t="s">
        <v>31</v>
      </c>
      <c r="K278" s="52" t="s">
        <v>500</v>
      </c>
      <c r="L278" s="52" t="s">
        <v>40</v>
      </c>
      <c r="M278" s="52" t="s">
        <v>30</v>
      </c>
      <c r="N278" s="56">
        <f t="shared" ca="1" si="4"/>
        <v>99</v>
      </c>
    </row>
    <row r="279" spans="1:14" x14ac:dyDescent="0.25">
      <c r="A279" s="52">
        <v>278</v>
      </c>
      <c r="B279" s="52">
        <v>520149</v>
      </c>
      <c r="C279" s="52" t="s">
        <v>651</v>
      </c>
      <c r="D279" s="55" t="s">
        <v>26</v>
      </c>
      <c r="E279" s="55" t="s">
        <v>27</v>
      </c>
      <c r="F279" s="55" t="s">
        <v>652</v>
      </c>
      <c r="G279" s="52" t="s">
        <v>29</v>
      </c>
      <c r="H279" s="54">
        <v>46160</v>
      </c>
      <c r="I279" s="53">
        <v>46160</v>
      </c>
      <c r="J279" s="52" t="s">
        <v>30</v>
      </c>
      <c r="K279" s="52" t="s">
        <v>618</v>
      </c>
      <c r="L279" s="52" t="s">
        <v>40</v>
      </c>
      <c r="M279" s="52" t="s">
        <v>30</v>
      </c>
      <c r="N279" s="56">
        <f t="shared" ca="1" si="4"/>
        <v>96</v>
      </c>
    </row>
    <row r="280" spans="1:14" x14ac:dyDescent="0.25">
      <c r="A280" s="52">
        <v>279</v>
      </c>
      <c r="B280" s="52">
        <v>643661</v>
      </c>
      <c r="C280" s="52" t="s">
        <v>653</v>
      </c>
      <c r="D280" s="55" t="s">
        <v>26</v>
      </c>
      <c r="E280" s="55" t="s">
        <v>27</v>
      </c>
      <c r="F280" s="55" t="s">
        <v>654</v>
      </c>
      <c r="G280" s="52" t="s">
        <v>29</v>
      </c>
      <c r="H280" s="54">
        <v>46161</v>
      </c>
      <c r="I280" s="53">
        <v>46157</v>
      </c>
      <c r="J280" s="52" t="s">
        <v>31</v>
      </c>
      <c r="K280" s="52" t="s">
        <v>646</v>
      </c>
      <c r="L280" s="52" t="s">
        <v>40</v>
      </c>
      <c r="M280" s="52" t="s">
        <v>30</v>
      </c>
      <c r="N280" s="56">
        <f t="shared" ca="1" si="4"/>
        <v>99</v>
      </c>
    </row>
    <row r="281" spans="1:14" x14ac:dyDescent="0.25">
      <c r="A281" s="52">
        <v>280</v>
      </c>
      <c r="B281" s="52">
        <v>541908</v>
      </c>
      <c r="C281" s="52" t="s">
        <v>655</v>
      </c>
      <c r="D281" s="55" t="s">
        <v>26</v>
      </c>
      <c r="E281" s="55" t="s">
        <v>27</v>
      </c>
      <c r="F281" s="55" t="s">
        <v>656</v>
      </c>
      <c r="G281" s="52" t="s">
        <v>29</v>
      </c>
      <c r="H281" s="54">
        <v>46161</v>
      </c>
      <c r="I281" s="53">
        <v>46157</v>
      </c>
      <c r="J281" s="52" t="s">
        <v>31</v>
      </c>
      <c r="K281" s="52" t="s">
        <v>646</v>
      </c>
      <c r="L281" s="52" t="s">
        <v>40</v>
      </c>
      <c r="M281" s="52" t="s">
        <v>30</v>
      </c>
      <c r="N281" s="56">
        <f t="shared" ca="1" si="4"/>
        <v>99</v>
      </c>
    </row>
    <row r="282" spans="1:14" x14ac:dyDescent="0.25">
      <c r="A282" s="52">
        <v>281</v>
      </c>
      <c r="B282" s="52">
        <v>643671</v>
      </c>
      <c r="C282" s="52" t="s">
        <v>657</v>
      </c>
      <c r="D282" s="55" t="s">
        <v>26</v>
      </c>
      <c r="E282" s="55" t="s">
        <v>27</v>
      </c>
      <c r="F282" s="55" t="s">
        <v>658</v>
      </c>
      <c r="G282" s="52" t="s">
        <v>29</v>
      </c>
      <c r="H282" s="54">
        <v>46162</v>
      </c>
      <c r="I282" s="53">
        <v>46157</v>
      </c>
      <c r="J282" s="52" t="s">
        <v>77</v>
      </c>
      <c r="K282" s="52" t="s">
        <v>405</v>
      </c>
      <c r="L282" s="52" t="s">
        <v>40</v>
      </c>
      <c r="M282" s="52" t="s">
        <v>30</v>
      </c>
      <c r="N282" s="56">
        <f t="shared" ca="1" si="4"/>
        <v>99</v>
      </c>
    </row>
    <row r="283" spans="1:14" x14ac:dyDescent="0.25">
      <c r="A283" s="52">
        <v>282</v>
      </c>
      <c r="B283" s="52">
        <v>643650</v>
      </c>
      <c r="C283" s="52" t="s">
        <v>659</v>
      </c>
      <c r="D283" s="55" t="s">
        <v>26</v>
      </c>
      <c r="E283" s="55" t="s">
        <v>27</v>
      </c>
      <c r="F283" s="55" t="s">
        <v>660</v>
      </c>
      <c r="G283" s="52" t="s">
        <v>29</v>
      </c>
      <c r="H283" s="54">
        <v>46162</v>
      </c>
      <c r="I283" s="53">
        <v>46157</v>
      </c>
      <c r="J283" s="52" t="s">
        <v>77</v>
      </c>
      <c r="K283" s="52" t="s">
        <v>405</v>
      </c>
      <c r="L283" s="52" t="s">
        <v>40</v>
      </c>
      <c r="M283" s="52" t="s">
        <v>30</v>
      </c>
      <c r="N283" s="56">
        <f t="shared" ca="1" si="4"/>
        <v>99</v>
      </c>
    </row>
    <row r="284" spans="1:14" x14ac:dyDescent="0.25">
      <c r="A284" s="52">
        <v>283</v>
      </c>
      <c r="B284" s="52">
        <v>643672</v>
      </c>
      <c r="C284" s="52" t="s">
        <v>661</v>
      </c>
      <c r="D284" s="55" t="s">
        <v>26</v>
      </c>
      <c r="E284" s="55" t="s">
        <v>27</v>
      </c>
      <c r="F284" s="55" t="s">
        <v>662</v>
      </c>
      <c r="G284" s="52" t="s">
        <v>29</v>
      </c>
      <c r="H284" s="54">
        <v>46162</v>
      </c>
      <c r="I284" s="53">
        <v>46157</v>
      </c>
      <c r="J284" s="52" t="s">
        <v>77</v>
      </c>
      <c r="K284" s="52" t="s">
        <v>405</v>
      </c>
      <c r="L284" s="52" t="s">
        <v>40</v>
      </c>
      <c r="M284" s="52" t="s">
        <v>30</v>
      </c>
      <c r="N284" s="56">
        <f t="shared" ca="1" si="4"/>
        <v>99</v>
      </c>
    </row>
    <row r="285" spans="1:14" x14ac:dyDescent="0.25">
      <c r="A285" s="52">
        <v>284</v>
      </c>
      <c r="B285" s="52">
        <v>643068</v>
      </c>
      <c r="C285" s="52" t="s">
        <v>663</v>
      </c>
      <c r="D285" s="55" t="s">
        <v>26</v>
      </c>
      <c r="E285" s="55" t="s">
        <v>27</v>
      </c>
      <c r="F285" s="55" t="s">
        <v>664</v>
      </c>
      <c r="G285" s="52" t="s">
        <v>29</v>
      </c>
      <c r="H285" s="54">
        <v>46148</v>
      </c>
      <c r="I285" s="53">
        <v>46144</v>
      </c>
      <c r="J285" s="52" t="s">
        <v>202</v>
      </c>
      <c r="K285" s="52" t="s">
        <v>525</v>
      </c>
      <c r="L285" s="52" t="s">
        <v>66</v>
      </c>
      <c r="M285" s="52" t="s">
        <v>30</v>
      </c>
      <c r="N285" s="56">
        <f t="shared" ca="1" si="4"/>
        <v>112</v>
      </c>
    </row>
    <row r="286" spans="1:14" x14ac:dyDescent="0.25">
      <c r="A286" s="52">
        <v>285</v>
      </c>
      <c r="B286" s="52">
        <v>643758</v>
      </c>
      <c r="C286" s="52" t="s">
        <v>665</v>
      </c>
      <c r="D286" s="55" t="s">
        <v>26</v>
      </c>
      <c r="E286" s="55" t="s">
        <v>27</v>
      </c>
      <c r="F286" s="55" t="s">
        <v>666</v>
      </c>
      <c r="G286" s="52" t="s">
        <v>29</v>
      </c>
      <c r="H286" s="54">
        <v>46163</v>
      </c>
      <c r="I286" s="53">
        <v>46160</v>
      </c>
      <c r="J286" s="52" t="s">
        <v>31</v>
      </c>
      <c r="K286" s="52" t="s">
        <v>646</v>
      </c>
      <c r="L286" s="52" t="s">
        <v>40</v>
      </c>
      <c r="M286" s="52" t="s">
        <v>30</v>
      </c>
      <c r="N286" s="56">
        <f t="shared" ca="1" si="4"/>
        <v>96</v>
      </c>
    </row>
    <row r="287" spans="1:14" x14ac:dyDescent="0.25">
      <c r="A287" s="52">
        <v>286</v>
      </c>
      <c r="B287" s="52">
        <v>643759</v>
      </c>
      <c r="C287" s="52" t="s">
        <v>667</v>
      </c>
      <c r="D287" s="55" t="s">
        <v>26</v>
      </c>
      <c r="E287" s="55" t="s">
        <v>27</v>
      </c>
      <c r="F287" s="55" t="s">
        <v>668</v>
      </c>
      <c r="G287" s="52" t="s">
        <v>29</v>
      </c>
      <c r="H287" s="54">
        <v>46163</v>
      </c>
      <c r="I287" s="53">
        <v>46160</v>
      </c>
      <c r="J287" s="52" t="s">
        <v>31</v>
      </c>
      <c r="K287" s="52" t="s">
        <v>500</v>
      </c>
      <c r="L287" s="52" t="s">
        <v>40</v>
      </c>
      <c r="M287" s="52" t="s">
        <v>30</v>
      </c>
      <c r="N287" s="56">
        <f t="shared" ca="1" si="4"/>
        <v>96</v>
      </c>
    </row>
    <row r="288" spans="1:14" x14ac:dyDescent="0.25">
      <c r="A288" s="52">
        <v>287</v>
      </c>
      <c r="B288" s="52">
        <v>643760</v>
      </c>
      <c r="C288" s="52" t="s">
        <v>669</v>
      </c>
      <c r="D288" s="55" t="s">
        <v>26</v>
      </c>
      <c r="E288" s="55" t="s">
        <v>27</v>
      </c>
      <c r="F288" s="55" t="s">
        <v>670</v>
      </c>
      <c r="G288" s="52" t="s">
        <v>29</v>
      </c>
      <c r="H288" s="54">
        <v>46163</v>
      </c>
      <c r="I288" s="53">
        <v>46160</v>
      </c>
      <c r="J288" s="52" t="s">
        <v>31</v>
      </c>
      <c r="K288" s="52" t="s">
        <v>500</v>
      </c>
      <c r="L288" s="52" t="s">
        <v>40</v>
      </c>
      <c r="M288" s="52" t="s">
        <v>30</v>
      </c>
      <c r="N288" s="56">
        <f t="shared" ca="1" si="4"/>
        <v>96</v>
      </c>
    </row>
    <row r="289" spans="1:14" x14ac:dyDescent="0.25">
      <c r="A289" s="52">
        <v>288</v>
      </c>
      <c r="B289" s="52">
        <v>643757</v>
      </c>
      <c r="C289" s="52" t="s">
        <v>671</v>
      </c>
      <c r="D289" s="55" t="s">
        <v>26</v>
      </c>
      <c r="E289" s="55" t="s">
        <v>27</v>
      </c>
      <c r="F289" s="55" t="s">
        <v>672</v>
      </c>
      <c r="G289" s="52" t="s">
        <v>29</v>
      </c>
      <c r="H289" s="54">
        <v>46163</v>
      </c>
      <c r="I289" s="53">
        <v>46160</v>
      </c>
      <c r="J289" s="52" t="s">
        <v>202</v>
      </c>
      <c r="K289" s="52" t="s">
        <v>472</v>
      </c>
      <c r="L289" s="52" t="s">
        <v>40</v>
      </c>
      <c r="M289" s="52" t="s">
        <v>30</v>
      </c>
      <c r="N289" s="56">
        <f t="shared" ca="1" si="4"/>
        <v>96</v>
      </c>
    </row>
    <row r="290" spans="1:14" x14ac:dyDescent="0.25">
      <c r="A290" s="52">
        <v>289</v>
      </c>
      <c r="B290" s="52">
        <v>613318</v>
      </c>
      <c r="C290" s="52" t="s">
        <v>673</v>
      </c>
      <c r="D290" s="55" t="s">
        <v>26</v>
      </c>
      <c r="E290" s="55" t="s">
        <v>27</v>
      </c>
      <c r="F290" s="55" t="s">
        <v>674</v>
      </c>
      <c r="G290" s="52" t="s">
        <v>29</v>
      </c>
      <c r="H290" s="54">
        <v>46163</v>
      </c>
      <c r="I290" s="53">
        <v>46160</v>
      </c>
      <c r="J290" s="52" t="s">
        <v>64</v>
      </c>
      <c r="K290" s="52" t="s">
        <v>675</v>
      </c>
      <c r="L290" s="52" t="s">
        <v>66</v>
      </c>
      <c r="M290" s="52" t="s">
        <v>30</v>
      </c>
      <c r="N290" s="56">
        <f t="shared" ca="1" si="4"/>
        <v>96</v>
      </c>
    </row>
    <row r="291" spans="1:14" x14ac:dyDescent="0.25">
      <c r="A291" s="52">
        <v>290</v>
      </c>
      <c r="B291" s="52">
        <v>624332</v>
      </c>
      <c r="C291" s="52" t="s">
        <v>676</v>
      </c>
      <c r="D291" s="55" t="s">
        <v>26</v>
      </c>
      <c r="E291" s="55" t="s">
        <v>27</v>
      </c>
      <c r="F291" s="55" t="s">
        <v>677</v>
      </c>
      <c r="G291" s="52" t="s">
        <v>29</v>
      </c>
      <c r="H291" s="54">
        <v>46163</v>
      </c>
      <c r="I291" s="53">
        <v>46160</v>
      </c>
      <c r="J291" s="52" t="s">
        <v>31</v>
      </c>
      <c r="K291" s="52" t="s">
        <v>500</v>
      </c>
      <c r="L291" s="52" t="s">
        <v>40</v>
      </c>
      <c r="M291" s="52" t="s">
        <v>30</v>
      </c>
      <c r="N291" s="56">
        <f t="shared" ca="1" si="4"/>
        <v>96</v>
      </c>
    </row>
    <row r="292" spans="1:14" x14ac:dyDescent="0.25">
      <c r="A292" s="52">
        <v>291</v>
      </c>
      <c r="B292" s="52">
        <v>643765</v>
      </c>
      <c r="C292" s="52" t="s">
        <v>678</v>
      </c>
      <c r="D292" s="55" t="s">
        <v>26</v>
      </c>
      <c r="E292" s="55" t="s">
        <v>27</v>
      </c>
      <c r="F292" s="55" t="s">
        <v>679</v>
      </c>
      <c r="G292" s="52" t="s">
        <v>29</v>
      </c>
      <c r="H292" s="54">
        <v>46163</v>
      </c>
      <c r="I292" s="53">
        <v>46160</v>
      </c>
      <c r="J292" s="52" t="s">
        <v>77</v>
      </c>
      <c r="K292" s="52" t="s">
        <v>405</v>
      </c>
      <c r="L292" s="52" t="s">
        <v>40</v>
      </c>
      <c r="M292" s="52" t="s">
        <v>30</v>
      </c>
      <c r="N292" s="56">
        <f t="shared" ca="1" si="4"/>
        <v>96</v>
      </c>
    </row>
    <row r="293" spans="1:14" x14ac:dyDescent="0.25">
      <c r="A293" s="52">
        <v>292</v>
      </c>
      <c r="B293" s="52">
        <v>571218</v>
      </c>
      <c r="C293" s="52" t="s">
        <v>680</v>
      </c>
      <c r="D293" s="55" t="s">
        <v>26</v>
      </c>
      <c r="E293" s="55" t="s">
        <v>27</v>
      </c>
      <c r="F293" s="55" t="s">
        <v>681</v>
      </c>
      <c r="G293" s="52" t="s">
        <v>29</v>
      </c>
      <c r="H293" s="54">
        <v>46163</v>
      </c>
      <c r="I293" s="53">
        <v>46160</v>
      </c>
      <c r="J293" s="52" t="s">
        <v>31</v>
      </c>
      <c r="K293" s="52" t="s">
        <v>646</v>
      </c>
      <c r="L293" s="52" t="s">
        <v>40</v>
      </c>
      <c r="M293" s="52" t="s">
        <v>30</v>
      </c>
      <c r="N293" s="56">
        <f t="shared" ca="1" si="4"/>
        <v>96</v>
      </c>
    </row>
    <row r="294" spans="1:14" x14ac:dyDescent="0.25">
      <c r="A294" s="52">
        <v>293</v>
      </c>
      <c r="B294" s="52">
        <v>643769</v>
      </c>
      <c r="C294" s="52" t="s">
        <v>682</v>
      </c>
      <c r="D294" s="55" t="s">
        <v>26</v>
      </c>
      <c r="E294" s="55" t="s">
        <v>27</v>
      </c>
      <c r="F294" s="55" t="s">
        <v>683</v>
      </c>
      <c r="G294" s="52" t="s">
        <v>29</v>
      </c>
      <c r="H294" s="54">
        <v>46163</v>
      </c>
      <c r="I294" s="53">
        <v>46160</v>
      </c>
      <c r="J294" s="52" t="s">
        <v>202</v>
      </c>
      <c r="K294" s="52" t="s">
        <v>405</v>
      </c>
      <c r="L294" s="52" t="s">
        <v>40</v>
      </c>
      <c r="M294" s="52" t="s">
        <v>30</v>
      </c>
      <c r="N294" s="56">
        <f t="shared" ca="1" si="4"/>
        <v>96</v>
      </c>
    </row>
    <row r="295" spans="1:14" x14ac:dyDescent="0.25">
      <c r="A295" s="52">
        <v>294</v>
      </c>
      <c r="B295" s="52">
        <v>643770</v>
      </c>
      <c r="C295" s="52" t="s">
        <v>684</v>
      </c>
      <c r="D295" s="55" t="s">
        <v>26</v>
      </c>
      <c r="E295" s="55" t="s">
        <v>27</v>
      </c>
      <c r="F295" s="55" t="s">
        <v>685</v>
      </c>
      <c r="G295" s="52" t="s">
        <v>29</v>
      </c>
      <c r="H295" s="54">
        <v>46163</v>
      </c>
      <c r="I295" s="53">
        <v>46160</v>
      </c>
      <c r="J295" s="52" t="s">
        <v>30</v>
      </c>
      <c r="K295" s="52" t="s">
        <v>30</v>
      </c>
      <c r="L295" s="52" t="s">
        <v>33</v>
      </c>
      <c r="M295" s="52" t="s">
        <v>143</v>
      </c>
      <c r="N295" s="56">
        <f t="shared" ca="1" si="4"/>
        <v>96</v>
      </c>
    </row>
    <row r="296" spans="1:14" x14ac:dyDescent="0.25">
      <c r="A296" s="52">
        <v>295</v>
      </c>
      <c r="B296" s="52">
        <v>643771</v>
      </c>
      <c r="C296" s="52" t="s">
        <v>686</v>
      </c>
      <c r="D296" s="55" t="s">
        <v>26</v>
      </c>
      <c r="E296" s="55" t="s">
        <v>27</v>
      </c>
      <c r="F296" s="55" t="s">
        <v>687</v>
      </c>
      <c r="G296" s="52" t="s">
        <v>29</v>
      </c>
      <c r="H296" s="54">
        <v>46163</v>
      </c>
      <c r="I296" s="53">
        <v>46160</v>
      </c>
      <c r="J296" s="52" t="s">
        <v>64</v>
      </c>
      <c r="K296" s="52" t="s">
        <v>688</v>
      </c>
      <c r="L296" s="52" t="s">
        <v>66</v>
      </c>
      <c r="M296" s="52" t="s">
        <v>30</v>
      </c>
      <c r="N296" s="56">
        <f t="shared" ca="1" si="4"/>
        <v>96</v>
      </c>
    </row>
    <row r="297" spans="1:14" x14ac:dyDescent="0.25">
      <c r="A297" s="52">
        <v>296</v>
      </c>
      <c r="B297" s="52">
        <v>274377</v>
      </c>
      <c r="C297" s="52" t="s">
        <v>689</v>
      </c>
      <c r="D297" s="55" t="s">
        <v>26</v>
      </c>
      <c r="E297" s="55" t="s">
        <v>27</v>
      </c>
      <c r="F297" s="55" t="s">
        <v>690</v>
      </c>
      <c r="G297" s="52" t="s">
        <v>29</v>
      </c>
      <c r="H297" s="54">
        <v>46163</v>
      </c>
      <c r="I297" s="53">
        <v>46160</v>
      </c>
      <c r="J297" s="52" t="s">
        <v>64</v>
      </c>
      <c r="K297" s="52" t="s">
        <v>691</v>
      </c>
      <c r="L297" s="52" t="s">
        <v>40</v>
      </c>
      <c r="M297" s="52" t="s">
        <v>30</v>
      </c>
      <c r="N297" s="56">
        <f t="shared" ca="1" si="4"/>
        <v>96</v>
      </c>
    </row>
    <row r="298" spans="1:14" x14ac:dyDescent="0.25">
      <c r="A298" s="52">
        <v>297</v>
      </c>
      <c r="B298" s="52">
        <v>643772</v>
      </c>
      <c r="C298" s="52" t="s">
        <v>692</v>
      </c>
      <c r="D298" s="55" t="s">
        <v>26</v>
      </c>
      <c r="E298" s="55" t="s">
        <v>27</v>
      </c>
      <c r="F298" s="55" t="s">
        <v>693</v>
      </c>
      <c r="G298" s="52" t="s">
        <v>29</v>
      </c>
      <c r="H298" s="54">
        <v>46163</v>
      </c>
      <c r="I298" s="53">
        <v>46160</v>
      </c>
      <c r="J298" s="52" t="s">
        <v>77</v>
      </c>
      <c r="K298" s="52" t="s">
        <v>405</v>
      </c>
      <c r="L298" s="52" t="s">
        <v>40</v>
      </c>
      <c r="M298" s="52" t="s">
        <v>30</v>
      </c>
      <c r="N298" s="56">
        <f t="shared" ca="1" si="4"/>
        <v>96</v>
      </c>
    </row>
    <row r="299" spans="1:14" x14ac:dyDescent="0.25">
      <c r="A299" s="52">
        <v>298</v>
      </c>
      <c r="B299" s="52">
        <v>643775</v>
      </c>
      <c r="C299" s="52" t="s">
        <v>694</v>
      </c>
      <c r="D299" s="55" t="s">
        <v>26</v>
      </c>
      <c r="E299" s="55" t="s">
        <v>27</v>
      </c>
      <c r="F299" s="55" t="s">
        <v>695</v>
      </c>
      <c r="G299" s="52" t="s">
        <v>29</v>
      </c>
      <c r="H299" s="54">
        <v>46163</v>
      </c>
      <c r="I299" s="53">
        <v>46160</v>
      </c>
      <c r="J299" s="52" t="s">
        <v>77</v>
      </c>
      <c r="K299" s="52" t="s">
        <v>405</v>
      </c>
      <c r="L299" s="52" t="s">
        <v>40</v>
      </c>
      <c r="M299" s="52" t="s">
        <v>30</v>
      </c>
      <c r="N299" s="56">
        <f t="shared" ca="1" si="4"/>
        <v>96</v>
      </c>
    </row>
    <row r="300" spans="1:14" x14ac:dyDescent="0.25">
      <c r="A300" s="52">
        <v>299</v>
      </c>
      <c r="B300" s="52">
        <v>643777</v>
      </c>
      <c r="C300" s="52" t="s">
        <v>696</v>
      </c>
      <c r="D300" s="55" t="s">
        <v>26</v>
      </c>
      <c r="E300" s="55" t="s">
        <v>27</v>
      </c>
      <c r="F300" s="55" t="s">
        <v>697</v>
      </c>
      <c r="G300" s="52" t="s">
        <v>29</v>
      </c>
      <c r="H300" s="54">
        <v>46163</v>
      </c>
      <c r="I300" s="53">
        <v>46160</v>
      </c>
      <c r="J300" s="52" t="s">
        <v>31</v>
      </c>
      <c r="K300" s="52" t="s">
        <v>500</v>
      </c>
      <c r="L300" s="52" t="s">
        <v>40</v>
      </c>
      <c r="M300" s="52" t="s">
        <v>30</v>
      </c>
      <c r="N300" s="56">
        <f t="shared" ca="1" si="4"/>
        <v>96</v>
      </c>
    </row>
    <row r="301" spans="1:14" x14ac:dyDescent="0.25">
      <c r="A301" s="52">
        <v>300</v>
      </c>
      <c r="B301" s="52">
        <v>643773</v>
      </c>
      <c r="C301" s="52" t="s">
        <v>698</v>
      </c>
      <c r="D301" s="55" t="s">
        <v>26</v>
      </c>
      <c r="E301" s="55" t="s">
        <v>27</v>
      </c>
      <c r="F301" s="55" t="s">
        <v>699</v>
      </c>
      <c r="G301" s="52" t="s">
        <v>29</v>
      </c>
      <c r="H301" s="54">
        <v>46163</v>
      </c>
      <c r="I301" s="53">
        <v>46160</v>
      </c>
      <c r="J301" s="52" t="s">
        <v>202</v>
      </c>
      <c r="K301" s="52" t="s">
        <v>472</v>
      </c>
      <c r="L301" s="52" t="s">
        <v>40</v>
      </c>
      <c r="M301" s="52" t="s">
        <v>30</v>
      </c>
      <c r="N301" s="56">
        <f t="shared" ca="1" si="4"/>
        <v>96</v>
      </c>
    </row>
    <row r="302" spans="1:14" x14ac:dyDescent="0.25">
      <c r="A302" s="52">
        <v>301</v>
      </c>
      <c r="B302" s="52">
        <v>585551</v>
      </c>
      <c r="C302" s="52" t="s">
        <v>700</v>
      </c>
      <c r="D302" s="55" t="s">
        <v>26</v>
      </c>
      <c r="E302" s="55" t="s">
        <v>27</v>
      </c>
      <c r="F302" s="55" t="s">
        <v>701</v>
      </c>
      <c r="G302" s="52" t="s">
        <v>29</v>
      </c>
      <c r="H302" s="54">
        <v>46163</v>
      </c>
      <c r="I302" s="53">
        <v>46160</v>
      </c>
      <c r="J302" s="52" t="s">
        <v>31</v>
      </c>
      <c r="K302" s="52" t="s">
        <v>646</v>
      </c>
      <c r="L302" s="52" t="s">
        <v>40</v>
      </c>
      <c r="M302" s="52" t="s">
        <v>30</v>
      </c>
      <c r="N302" s="56">
        <f t="shared" ca="1" si="4"/>
        <v>96</v>
      </c>
    </row>
    <row r="303" spans="1:14" x14ac:dyDescent="0.25">
      <c r="A303" s="52">
        <v>302</v>
      </c>
      <c r="B303" s="52">
        <v>643778</v>
      </c>
      <c r="C303" s="52" t="s">
        <v>702</v>
      </c>
      <c r="D303" s="55" t="s">
        <v>26</v>
      </c>
      <c r="E303" s="55" t="s">
        <v>27</v>
      </c>
      <c r="F303" s="55" t="s">
        <v>703</v>
      </c>
      <c r="G303" s="52" t="s">
        <v>29</v>
      </c>
      <c r="H303" s="54">
        <v>46163</v>
      </c>
      <c r="I303" s="53">
        <v>46160</v>
      </c>
      <c r="J303" s="52" t="s">
        <v>31</v>
      </c>
      <c r="K303" s="52" t="s">
        <v>500</v>
      </c>
      <c r="L303" s="52" t="s">
        <v>40</v>
      </c>
      <c r="M303" s="52" t="s">
        <v>30</v>
      </c>
      <c r="N303" s="56">
        <f t="shared" ca="1" si="4"/>
        <v>96</v>
      </c>
    </row>
    <row r="304" spans="1:14" x14ac:dyDescent="0.25">
      <c r="A304" s="52">
        <v>303</v>
      </c>
      <c r="B304" s="52">
        <v>643781</v>
      </c>
      <c r="C304" s="52" t="s">
        <v>704</v>
      </c>
      <c r="D304" s="55" t="s">
        <v>26</v>
      </c>
      <c r="E304" s="55" t="s">
        <v>27</v>
      </c>
      <c r="F304" s="55" t="s">
        <v>705</v>
      </c>
      <c r="G304" s="52" t="s">
        <v>29</v>
      </c>
      <c r="H304" s="54">
        <v>46163</v>
      </c>
      <c r="I304" s="53">
        <v>46160</v>
      </c>
      <c r="J304" s="52" t="s">
        <v>202</v>
      </c>
      <c r="K304" s="52" t="s">
        <v>706</v>
      </c>
      <c r="L304" s="52" t="s">
        <v>40</v>
      </c>
      <c r="M304" s="52" t="s">
        <v>30</v>
      </c>
      <c r="N304" s="56">
        <f t="shared" ca="1" si="4"/>
        <v>96</v>
      </c>
    </row>
    <row r="305" spans="1:14" x14ac:dyDescent="0.25">
      <c r="A305" s="52">
        <v>304</v>
      </c>
      <c r="B305" s="52">
        <v>643755</v>
      </c>
      <c r="C305" s="52" t="s">
        <v>707</v>
      </c>
      <c r="D305" s="55" t="s">
        <v>63</v>
      </c>
      <c r="E305" s="55" t="s">
        <v>27</v>
      </c>
      <c r="F305" s="55">
        <v>404489933</v>
      </c>
      <c r="G305" s="52" t="s">
        <v>29</v>
      </c>
      <c r="H305" s="54">
        <v>46163</v>
      </c>
      <c r="I305" s="53">
        <v>46160</v>
      </c>
      <c r="J305" s="52" t="s">
        <v>64</v>
      </c>
      <c r="K305" s="52" t="s">
        <v>708</v>
      </c>
      <c r="L305" s="52" t="s">
        <v>66</v>
      </c>
      <c r="M305" s="52" t="s">
        <v>30</v>
      </c>
      <c r="N305" s="56">
        <f t="shared" ca="1" si="4"/>
        <v>96</v>
      </c>
    </row>
    <row r="306" spans="1:14" x14ac:dyDescent="0.25">
      <c r="A306" s="52">
        <v>305</v>
      </c>
      <c r="B306" s="52">
        <v>643767</v>
      </c>
      <c r="C306" s="52" t="s">
        <v>709</v>
      </c>
      <c r="D306" s="55" t="s">
        <v>26</v>
      </c>
      <c r="E306" s="55" t="s">
        <v>27</v>
      </c>
      <c r="F306" s="55" t="s">
        <v>710</v>
      </c>
      <c r="G306" s="52" t="s">
        <v>29</v>
      </c>
      <c r="H306" s="54">
        <v>46163</v>
      </c>
      <c r="I306" s="53">
        <v>46160</v>
      </c>
      <c r="J306" s="52" t="s">
        <v>31</v>
      </c>
      <c r="K306" s="52" t="s">
        <v>646</v>
      </c>
      <c r="L306" s="52" t="s">
        <v>40</v>
      </c>
      <c r="M306" s="52" t="s">
        <v>30</v>
      </c>
      <c r="N306" s="56">
        <f t="shared" ca="1" si="4"/>
        <v>96</v>
      </c>
    </row>
    <row r="307" spans="1:14" x14ac:dyDescent="0.25">
      <c r="A307" s="52">
        <v>306</v>
      </c>
      <c r="B307" s="52">
        <v>643822</v>
      </c>
      <c r="C307" s="52" t="s">
        <v>711</v>
      </c>
      <c r="D307" s="55" t="s">
        <v>26</v>
      </c>
      <c r="E307" s="55" t="s">
        <v>27</v>
      </c>
      <c r="F307" s="55" t="s">
        <v>712</v>
      </c>
      <c r="G307" s="52" t="s">
        <v>29</v>
      </c>
      <c r="H307" s="54">
        <v>46165</v>
      </c>
      <c r="I307" s="53">
        <v>46160</v>
      </c>
      <c r="J307" s="52" t="s">
        <v>77</v>
      </c>
      <c r="K307" s="52" t="s">
        <v>713</v>
      </c>
      <c r="L307" s="52" t="s">
        <v>40</v>
      </c>
      <c r="M307" s="52" t="s">
        <v>714</v>
      </c>
      <c r="N307" s="56">
        <f t="shared" ca="1" si="4"/>
        <v>96</v>
      </c>
    </row>
    <row r="308" spans="1:14" x14ac:dyDescent="0.25">
      <c r="A308" s="52">
        <v>307</v>
      </c>
      <c r="B308" s="52">
        <v>643824</v>
      </c>
      <c r="C308" s="52" t="s">
        <v>715</v>
      </c>
      <c r="D308" s="55" t="s">
        <v>26</v>
      </c>
      <c r="E308" s="55" t="s">
        <v>27</v>
      </c>
      <c r="F308" s="55" t="s">
        <v>716</v>
      </c>
      <c r="G308" s="52" t="s">
        <v>29</v>
      </c>
      <c r="H308" s="54">
        <v>46165</v>
      </c>
      <c r="I308" s="53">
        <v>46161</v>
      </c>
      <c r="J308" s="52" t="s">
        <v>64</v>
      </c>
      <c r="K308" s="52" t="s">
        <v>717</v>
      </c>
      <c r="L308" s="52" t="s">
        <v>40</v>
      </c>
      <c r="M308" s="52" t="s">
        <v>718</v>
      </c>
      <c r="N308" s="56">
        <f t="shared" ca="1" si="4"/>
        <v>95</v>
      </c>
    </row>
    <row r="309" spans="1:14" x14ac:dyDescent="0.25">
      <c r="A309" s="52">
        <v>308</v>
      </c>
      <c r="B309" s="52">
        <v>515909</v>
      </c>
      <c r="C309" s="52" t="s">
        <v>719</v>
      </c>
      <c r="D309" s="55" t="s">
        <v>26</v>
      </c>
      <c r="E309" s="55" t="s">
        <v>27</v>
      </c>
      <c r="F309" s="55" t="s">
        <v>720</v>
      </c>
      <c r="G309" s="52" t="s">
        <v>29</v>
      </c>
      <c r="H309" s="54">
        <v>46165</v>
      </c>
      <c r="I309" s="53">
        <v>46161</v>
      </c>
      <c r="J309" s="52" t="s">
        <v>31</v>
      </c>
      <c r="K309" s="52" t="s">
        <v>500</v>
      </c>
      <c r="L309" s="52" t="s">
        <v>40</v>
      </c>
      <c r="M309" s="52" t="s">
        <v>30</v>
      </c>
      <c r="N309" s="56">
        <f t="shared" ca="1" si="4"/>
        <v>95</v>
      </c>
    </row>
    <row r="310" spans="1:14" x14ac:dyDescent="0.25">
      <c r="A310" s="52">
        <v>309</v>
      </c>
      <c r="B310" s="52">
        <v>643828</v>
      </c>
      <c r="C310" s="52" t="s">
        <v>721</v>
      </c>
      <c r="D310" s="55" t="s">
        <v>26</v>
      </c>
      <c r="E310" s="55" t="s">
        <v>27</v>
      </c>
      <c r="F310" s="55" t="s">
        <v>722</v>
      </c>
      <c r="G310" s="52" t="s">
        <v>29</v>
      </c>
      <c r="H310" s="54">
        <v>46165</v>
      </c>
      <c r="I310" s="53">
        <v>46160</v>
      </c>
      <c r="J310" s="52" t="s">
        <v>31</v>
      </c>
      <c r="K310" s="52" t="s">
        <v>500</v>
      </c>
      <c r="L310" s="52" t="s">
        <v>40</v>
      </c>
      <c r="M310" s="52" t="s">
        <v>30</v>
      </c>
      <c r="N310" s="56">
        <f t="shared" ca="1" si="4"/>
        <v>96</v>
      </c>
    </row>
    <row r="311" spans="1:14" x14ac:dyDescent="0.25">
      <c r="A311" s="52">
        <v>310</v>
      </c>
      <c r="B311" s="52">
        <v>556474</v>
      </c>
      <c r="C311" s="52" t="s">
        <v>723</v>
      </c>
      <c r="D311" s="55" t="s">
        <v>26</v>
      </c>
      <c r="E311" s="55" t="s">
        <v>27</v>
      </c>
      <c r="F311" s="55" t="s">
        <v>724</v>
      </c>
      <c r="G311" s="52" t="s">
        <v>29</v>
      </c>
      <c r="H311" s="54">
        <v>46165</v>
      </c>
      <c r="I311" s="53">
        <v>46160</v>
      </c>
      <c r="J311" s="52" t="s">
        <v>31</v>
      </c>
      <c r="K311" s="52" t="s">
        <v>500</v>
      </c>
      <c r="L311" s="52" t="s">
        <v>40</v>
      </c>
      <c r="M311" s="52" t="s">
        <v>30</v>
      </c>
      <c r="N311" s="56">
        <f t="shared" ca="1" si="4"/>
        <v>96</v>
      </c>
    </row>
    <row r="312" spans="1:14" x14ac:dyDescent="0.25">
      <c r="A312" s="52">
        <v>311</v>
      </c>
      <c r="B312" s="52">
        <v>643837</v>
      </c>
      <c r="C312" s="52" t="s">
        <v>725</v>
      </c>
      <c r="D312" s="55" t="s">
        <v>26</v>
      </c>
      <c r="E312" s="55" t="s">
        <v>27</v>
      </c>
      <c r="F312" s="55" t="s">
        <v>726</v>
      </c>
      <c r="G312" s="52" t="s">
        <v>29</v>
      </c>
      <c r="H312" s="54">
        <v>46165</v>
      </c>
      <c r="I312" s="53">
        <v>46161</v>
      </c>
      <c r="J312" s="52" t="s">
        <v>31</v>
      </c>
      <c r="K312" s="52" t="s">
        <v>500</v>
      </c>
      <c r="L312" s="52" t="s">
        <v>40</v>
      </c>
      <c r="M312" s="52" t="s">
        <v>30</v>
      </c>
      <c r="N312" s="56">
        <f t="shared" ca="1" si="4"/>
        <v>95</v>
      </c>
    </row>
    <row r="313" spans="1:14" x14ac:dyDescent="0.25">
      <c r="A313" s="52">
        <v>312</v>
      </c>
      <c r="B313" s="52">
        <v>643803</v>
      </c>
      <c r="C313" s="52" t="s">
        <v>727</v>
      </c>
      <c r="D313" s="55" t="s">
        <v>163</v>
      </c>
      <c r="E313" s="55" t="s">
        <v>27</v>
      </c>
      <c r="F313" s="55" t="s">
        <v>728</v>
      </c>
      <c r="G313" s="52" t="s">
        <v>29</v>
      </c>
      <c r="H313" s="54">
        <v>46165</v>
      </c>
      <c r="I313" s="53">
        <v>46161</v>
      </c>
      <c r="J313" s="52" t="s">
        <v>31</v>
      </c>
      <c r="K313" s="52" t="s">
        <v>500</v>
      </c>
      <c r="L313" s="52" t="s">
        <v>40</v>
      </c>
      <c r="M313" s="52" t="s">
        <v>30</v>
      </c>
      <c r="N313" s="56">
        <f t="shared" ca="1" si="4"/>
        <v>95</v>
      </c>
    </row>
    <row r="314" spans="1:14" x14ac:dyDescent="0.25">
      <c r="A314" s="52">
        <v>313</v>
      </c>
      <c r="B314" s="52">
        <v>603341</v>
      </c>
      <c r="C314" s="52" t="s">
        <v>729</v>
      </c>
      <c r="D314" s="55" t="s">
        <v>163</v>
      </c>
      <c r="E314" s="55" t="s">
        <v>27</v>
      </c>
      <c r="F314" s="55" t="s">
        <v>730</v>
      </c>
      <c r="G314" s="52" t="s">
        <v>29</v>
      </c>
      <c r="H314" s="54">
        <v>46165</v>
      </c>
      <c r="I314" s="53">
        <v>46161</v>
      </c>
      <c r="J314" s="52" t="s">
        <v>64</v>
      </c>
      <c r="K314" s="52" t="s">
        <v>731</v>
      </c>
      <c r="L314" s="52" t="s">
        <v>40</v>
      </c>
      <c r="M314" s="52" t="s">
        <v>30</v>
      </c>
      <c r="N314" s="56">
        <f t="shared" ca="1" si="4"/>
        <v>95</v>
      </c>
    </row>
    <row r="315" spans="1:14" x14ac:dyDescent="0.25">
      <c r="A315" s="52">
        <v>314</v>
      </c>
      <c r="B315" s="52">
        <v>643839</v>
      </c>
      <c r="C315" s="52" t="s">
        <v>732</v>
      </c>
      <c r="D315" s="55" t="s">
        <v>26</v>
      </c>
      <c r="E315" s="55" t="s">
        <v>27</v>
      </c>
      <c r="F315" s="55" t="s">
        <v>733</v>
      </c>
      <c r="G315" s="52" t="s">
        <v>29</v>
      </c>
      <c r="H315" s="54">
        <v>46165</v>
      </c>
      <c r="I315" s="53">
        <v>46160</v>
      </c>
      <c r="J315" s="52" t="s">
        <v>77</v>
      </c>
      <c r="K315" s="52" t="s">
        <v>713</v>
      </c>
      <c r="L315" s="52" t="s">
        <v>40</v>
      </c>
      <c r="M315" s="52" t="s">
        <v>734</v>
      </c>
      <c r="N315" s="56">
        <f t="shared" ref="N315:N378" ca="1" si="5">IFERROR(TODAY()-I315,"-")</f>
        <v>96</v>
      </c>
    </row>
    <row r="316" spans="1:14" x14ac:dyDescent="0.25">
      <c r="A316" s="52">
        <v>315</v>
      </c>
      <c r="B316" s="52">
        <v>643840</v>
      </c>
      <c r="C316" s="52" t="s">
        <v>735</v>
      </c>
      <c r="D316" s="55" t="s">
        <v>26</v>
      </c>
      <c r="E316" s="55" t="s">
        <v>27</v>
      </c>
      <c r="F316" s="55" t="s">
        <v>736</v>
      </c>
      <c r="G316" s="52" t="s">
        <v>29</v>
      </c>
      <c r="H316" s="54">
        <v>46165</v>
      </c>
      <c r="I316" s="53">
        <v>46160</v>
      </c>
      <c r="J316" s="52" t="s">
        <v>31</v>
      </c>
      <c r="K316" s="52" t="s">
        <v>500</v>
      </c>
      <c r="L316" s="52" t="s">
        <v>40</v>
      </c>
      <c r="M316" s="52" t="s">
        <v>30</v>
      </c>
      <c r="N316" s="56">
        <f t="shared" ca="1" si="5"/>
        <v>96</v>
      </c>
    </row>
    <row r="317" spans="1:14" x14ac:dyDescent="0.25">
      <c r="A317" s="52">
        <v>316</v>
      </c>
      <c r="B317" s="52">
        <v>643841</v>
      </c>
      <c r="C317" s="52" t="s">
        <v>737</v>
      </c>
      <c r="D317" s="55" t="s">
        <v>26</v>
      </c>
      <c r="E317" s="55" t="s">
        <v>27</v>
      </c>
      <c r="F317" s="55" t="s">
        <v>738</v>
      </c>
      <c r="G317" s="52" t="s">
        <v>29</v>
      </c>
      <c r="H317" s="54">
        <v>46167</v>
      </c>
      <c r="I317" s="53">
        <v>46160</v>
      </c>
      <c r="J317" s="52" t="s">
        <v>77</v>
      </c>
      <c r="K317" s="52" t="s">
        <v>739</v>
      </c>
      <c r="L317" s="52" t="s">
        <v>40</v>
      </c>
      <c r="M317" s="52" t="s">
        <v>740</v>
      </c>
      <c r="N317" s="56">
        <f t="shared" ca="1" si="5"/>
        <v>96</v>
      </c>
    </row>
    <row r="318" spans="1:14" x14ac:dyDescent="0.25">
      <c r="A318" s="52">
        <v>317</v>
      </c>
      <c r="B318" s="52">
        <v>643811</v>
      </c>
      <c r="C318" s="52" t="s">
        <v>741</v>
      </c>
      <c r="D318" s="55" t="s">
        <v>26</v>
      </c>
      <c r="E318" s="55" t="s">
        <v>27</v>
      </c>
      <c r="F318" s="55" t="s">
        <v>742</v>
      </c>
      <c r="G318" s="52" t="s">
        <v>29</v>
      </c>
      <c r="H318" s="54">
        <v>46167</v>
      </c>
      <c r="I318" s="53">
        <v>46160</v>
      </c>
      <c r="J318" s="52" t="s">
        <v>31</v>
      </c>
      <c r="K318" s="52" t="s">
        <v>646</v>
      </c>
      <c r="L318" s="52" t="s">
        <v>40</v>
      </c>
      <c r="M318" s="52" t="s">
        <v>30</v>
      </c>
      <c r="N318" s="56">
        <f t="shared" ca="1" si="5"/>
        <v>96</v>
      </c>
    </row>
    <row r="319" spans="1:14" x14ac:dyDescent="0.25">
      <c r="A319" s="52">
        <v>318</v>
      </c>
      <c r="B319" s="52">
        <v>643809</v>
      </c>
      <c r="C319" s="52" t="s">
        <v>743</v>
      </c>
      <c r="D319" s="55" t="s">
        <v>26</v>
      </c>
      <c r="E319" s="55" t="s">
        <v>27</v>
      </c>
      <c r="F319" s="55" t="s">
        <v>744</v>
      </c>
      <c r="G319" s="52" t="s">
        <v>29</v>
      </c>
      <c r="H319" s="54">
        <v>46167</v>
      </c>
      <c r="I319" s="53">
        <v>46160</v>
      </c>
      <c r="J319" s="52" t="s">
        <v>31</v>
      </c>
      <c r="K319" s="52" t="s">
        <v>500</v>
      </c>
      <c r="L319" s="52" t="s">
        <v>40</v>
      </c>
      <c r="M319" s="52" t="s">
        <v>30</v>
      </c>
      <c r="N319" s="56">
        <f t="shared" ca="1" si="5"/>
        <v>96</v>
      </c>
    </row>
    <row r="320" spans="1:14" x14ac:dyDescent="0.25">
      <c r="A320" s="52">
        <v>319</v>
      </c>
      <c r="B320" s="52">
        <v>643848</v>
      </c>
      <c r="C320" s="52" t="s">
        <v>745</v>
      </c>
      <c r="D320" s="55" t="s">
        <v>26</v>
      </c>
      <c r="E320" s="55" t="s">
        <v>27</v>
      </c>
      <c r="F320" s="55" t="s">
        <v>746</v>
      </c>
      <c r="G320" s="52" t="s">
        <v>29</v>
      </c>
      <c r="H320" s="54">
        <v>46165</v>
      </c>
      <c r="I320" s="53">
        <v>46160</v>
      </c>
      <c r="J320" s="52" t="s">
        <v>30</v>
      </c>
      <c r="K320" s="52" t="s">
        <v>30</v>
      </c>
      <c r="L320" s="52" t="s">
        <v>33</v>
      </c>
      <c r="M320" s="52" t="s">
        <v>143</v>
      </c>
      <c r="N320" s="56">
        <f t="shared" ca="1" si="5"/>
        <v>96</v>
      </c>
    </row>
    <row r="321" spans="1:14" x14ac:dyDescent="0.25">
      <c r="A321" s="52">
        <v>320</v>
      </c>
      <c r="B321" s="52">
        <v>542623</v>
      </c>
      <c r="C321" s="52" t="s">
        <v>747</v>
      </c>
      <c r="D321" s="55" t="s">
        <v>26</v>
      </c>
      <c r="E321" s="55" t="s">
        <v>27</v>
      </c>
      <c r="F321" s="55" t="s">
        <v>748</v>
      </c>
      <c r="G321" s="52" t="s">
        <v>29</v>
      </c>
      <c r="H321" s="54">
        <v>46165</v>
      </c>
      <c r="I321" s="53">
        <v>46160</v>
      </c>
      <c r="J321" s="52" t="s">
        <v>31</v>
      </c>
      <c r="K321" s="52" t="s">
        <v>646</v>
      </c>
      <c r="L321" s="52" t="s">
        <v>40</v>
      </c>
      <c r="M321" s="52" t="s">
        <v>30</v>
      </c>
      <c r="N321" s="56">
        <f t="shared" ca="1" si="5"/>
        <v>96</v>
      </c>
    </row>
    <row r="322" spans="1:14" x14ac:dyDescent="0.25">
      <c r="A322" s="52">
        <v>321</v>
      </c>
      <c r="B322" s="52">
        <v>603595</v>
      </c>
      <c r="C322" s="52" t="s">
        <v>749</v>
      </c>
      <c r="D322" s="55" t="s">
        <v>26</v>
      </c>
      <c r="E322" s="55" t="s">
        <v>27</v>
      </c>
      <c r="F322" s="55" t="s">
        <v>750</v>
      </c>
      <c r="G322" s="52" t="s">
        <v>29</v>
      </c>
      <c r="H322" s="54">
        <v>46165</v>
      </c>
      <c r="I322" s="53">
        <v>46160</v>
      </c>
      <c r="J322" s="52" t="s">
        <v>31</v>
      </c>
      <c r="K322" s="52" t="s">
        <v>646</v>
      </c>
      <c r="L322" s="52" t="s">
        <v>40</v>
      </c>
      <c r="M322" s="52" t="s">
        <v>30</v>
      </c>
      <c r="N322" s="56">
        <f t="shared" ca="1" si="5"/>
        <v>96</v>
      </c>
    </row>
    <row r="323" spans="1:14" x14ac:dyDescent="0.25">
      <c r="A323" s="52">
        <v>322</v>
      </c>
      <c r="B323" s="52">
        <v>643852</v>
      </c>
      <c r="C323" s="52" t="s">
        <v>751</v>
      </c>
      <c r="D323" s="55" t="s">
        <v>26</v>
      </c>
      <c r="E323" s="55" t="s">
        <v>27</v>
      </c>
      <c r="F323" s="55" t="s">
        <v>752</v>
      </c>
      <c r="G323" s="52" t="s">
        <v>29</v>
      </c>
      <c r="H323" s="54">
        <v>46165</v>
      </c>
      <c r="I323" s="53">
        <v>46160</v>
      </c>
      <c r="J323" s="52" t="s">
        <v>64</v>
      </c>
      <c r="K323" s="52" t="s">
        <v>753</v>
      </c>
      <c r="L323" s="52" t="s">
        <v>66</v>
      </c>
      <c r="M323" s="52" t="s">
        <v>754</v>
      </c>
      <c r="N323" s="56">
        <f t="shared" ca="1" si="5"/>
        <v>96</v>
      </c>
    </row>
    <row r="324" spans="1:14" x14ac:dyDescent="0.25">
      <c r="A324" s="52">
        <v>323</v>
      </c>
      <c r="B324" s="52">
        <v>643853</v>
      </c>
      <c r="C324" s="52" t="s">
        <v>755</v>
      </c>
      <c r="D324" s="55" t="s">
        <v>26</v>
      </c>
      <c r="E324" s="55" t="s">
        <v>27</v>
      </c>
      <c r="F324" s="55" t="s">
        <v>756</v>
      </c>
      <c r="G324" s="52" t="s">
        <v>29</v>
      </c>
      <c r="H324" s="54">
        <v>46165</v>
      </c>
      <c r="I324" s="53">
        <v>46160</v>
      </c>
      <c r="J324" s="52" t="s">
        <v>31</v>
      </c>
      <c r="K324" s="52" t="s">
        <v>500</v>
      </c>
      <c r="L324" s="52" t="s">
        <v>40</v>
      </c>
      <c r="M324" s="52" t="s">
        <v>30</v>
      </c>
      <c r="N324" s="56">
        <f t="shared" ca="1" si="5"/>
        <v>96</v>
      </c>
    </row>
    <row r="325" spans="1:14" x14ac:dyDescent="0.25">
      <c r="A325" s="52">
        <v>324</v>
      </c>
      <c r="B325" s="52">
        <v>643807</v>
      </c>
      <c r="C325" s="52" t="s">
        <v>757</v>
      </c>
      <c r="D325" s="55" t="s">
        <v>163</v>
      </c>
      <c r="E325" s="55" t="s">
        <v>27</v>
      </c>
      <c r="F325" s="55" t="s">
        <v>758</v>
      </c>
      <c r="G325" s="52" t="s">
        <v>29</v>
      </c>
      <c r="H325" s="54" t="s">
        <v>30</v>
      </c>
      <c r="I325" s="53">
        <v>46161</v>
      </c>
      <c r="J325" s="52" t="s">
        <v>30</v>
      </c>
      <c r="K325" s="52" t="s">
        <v>30</v>
      </c>
      <c r="L325" s="52" t="s">
        <v>227</v>
      </c>
      <c r="M325" s="52" t="s">
        <v>30</v>
      </c>
      <c r="N325" s="56">
        <f t="shared" ca="1" si="5"/>
        <v>95</v>
      </c>
    </row>
    <row r="326" spans="1:14" x14ac:dyDescent="0.25">
      <c r="A326" s="52">
        <v>325</v>
      </c>
      <c r="B326" s="52">
        <v>643854</v>
      </c>
      <c r="C326" s="52" t="s">
        <v>759</v>
      </c>
      <c r="D326" s="55" t="s">
        <v>26</v>
      </c>
      <c r="E326" s="55" t="s">
        <v>27</v>
      </c>
      <c r="F326" s="55" t="s">
        <v>760</v>
      </c>
      <c r="G326" s="52" t="s">
        <v>29</v>
      </c>
      <c r="H326" s="54">
        <v>46167</v>
      </c>
      <c r="I326" s="53">
        <v>46160</v>
      </c>
      <c r="J326" s="52" t="s">
        <v>31</v>
      </c>
      <c r="K326" s="52" t="s">
        <v>500</v>
      </c>
      <c r="L326" s="52" t="s">
        <v>40</v>
      </c>
      <c r="M326" s="52" t="s">
        <v>30</v>
      </c>
      <c r="N326" s="56">
        <f t="shared" ca="1" si="5"/>
        <v>96</v>
      </c>
    </row>
    <row r="327" spans="1:14" x14ac:dyDescent="0.25">
      <c r="A327" s="52">
        <v>326</v>
      </c>
      <c r="B327" s="52">
        <v>636999</v>
      </c>
      <c r="C327" s="52" t="s">
        <v>761</v>
      </c>
      <c r="D327" s="55" t="s">
        <v>26</v>
      </c>
      <c r="E327" s="55" t="s">
        <v>27</v>
      </c>
      <c r="F327" s="55" t="s">
        <v>762</v>
      </c>
      <c r="G327" s="52" t="s">
        <v>29</v>
      </c>
      <c r="H327" s="54">
        <v>46165</v>
      </c>
      <c r="I327" s="53">
        <v>46160</v>
      </c>
      <c r="J327" s="52" t="s">
        <v>64</v>
      </c>
      <c r="K327" s="52" t="s">
        <v>763</v>
      </c>
      <c r="L327" s="52" t="s">
        <v>66</v>
      </c>
      <c r="M327" s="52" t="s">
        <v>30</v>
      </c>
      <c r="N327" s="56">
        <f t="shared" ca="1" si="5"/>
        <v>96</v>
      </c>
    </row>
    <row r="328" spans="1:14" x14ac:dyDescent="0.25">
      <c r="A328" s="52">
        <v>327</v>
      </c>
      <c r="B328" s="52">
        <v>643813</v>
      </c>
      <c r="C328" s="52" t="s">
        <v>764</v>
      </c>
      <c r="D328" s="55" t="s">
        <v>26</v>
      </c>
      <c r="E328" s="55" t="s">
        <v>27</v>
      </c>
      <c r="F328" s="55" t="s">
        <v>765</v>
      </c>
      <c r="G328" s="52" t="s">
        <v>29</v>
      </c>
      <c r="H328" s="54">
        <v>46167</v>
      </c>
      <c r="I328" s="53">
        <v>46160</v>
      </c>
      <c r="J328" s="52" t="s">
        <v>64</v>
      </c>
      <c r="K328" s="52" t="s">
        <v>691</v>
      </c>
      <c r="L328" s="52" t="s">
        <v>40</v>
      </c>
      <c r="M328" s="52" t="s">
        <v>30</v>
      </c>
      <c r="N328" s="56">
        <f t="shared" ca="1" si="5"/>
        <v>96</v>
      </c>
    </row>
    <row r="329" spans="1:14" x14ac:dyDescent="0.25">
      <c r="A329" s="52">
        <v>328</v>
      </c>
      <c r="B329" s="52">
        <v>643860</v>
      </c>
      <c r="C329" s="52" t="s">
        <v>766</v>
      </c>
      <c r="D329" s="55" t="s">
        <v>26</v>
      </c>
      <c r="E329" s="55" t="s">
        <v>27</v>
      </c>
      <c r="F329" s="55" t="s">
        <v>767</v>
      </c>
      <c r="G329" s="52" t="s">
        <v>29</v>
      </c>
      <c r="H329" s="54">
        <v>46167</v>
      </c>
      <c r="I329" s="53">
        <v>46160</v>
      </c>
      <c r="J329" s="52" t="s">
        <v>64</v>
      </c>
      <c r="K329" s="52" t="s">
        <v>768</v>
      </c>
      <c r="L329" s="52" t="s">
        <v>66</v>
      </c>
      <c r="M329" s="52" t="s">
        <v>740</v>
      </c>
      <c r="N329" s="56">
        <f t="shared" ca="1" si="5"/>
        <v>96</v>
      </c>
    </row>
    <row r="330" spans="1:14" x14ac:dyDescent="0.25">
      <c r="A330" s="52">
        <v>329</v>
      </c>
      <c r="B330" s="52">
        <v>406918</v>
      </c>
      <c r="C330" s="52" t="s">
        <v>769</v>
      </c>
      <c r="D330" s="55" t="s">
        <v>26</v>
      </c>
      <c r="E330" s="55" t="s">
        <v>27</v>
      </c>
      <c r="F330" s="55" t="s">
        <v>770</v>
      </c>
      <c r="G330" s="52" t="s">
        <v>29</v>
      </c>
      <c r="H330" s="54">
        <v>46167</v>
      </c>
      <c r="I330" s="53">
        <v>46162</v>
      </c>
      <c r="J330" s="52" t="s">
        <v>64</v>
      </c>
      <c r="K330" s="52" t="s">
        <v>771</v>
      </c>
      <c r="L330" s="52" t="s">
        <v>66</v>
      </c>
      <c r="M330" s="52" t="s">
        <v>30</v>
      </c>
      <c r="N330" s="56">
        <f t="shared" ca="1" si="5"/>
        <v>94</v>
      </c>
    </row>
    <row r="331" spans="1:14" x14ac:dyDescent="0.25">
      <c r="A331" s="52">
        <v>330</v>
      </c>
      <c r="B331" s="52">
        <v>275628</v>
      </c>
      <c r="C331" s="52" t="s">
        <v>772</v>
      </c>
      <c r="D331" s="55" t="s">
        <v>26</v>
      </c>
      <c r="E331" s="55" t="s">
        <v>27</v>
      </c>
      <c r="F331" s="55" t="s">
        <v>773</v>
      </c>
      <c r="G331" s="52" t="s">
        <v>29</v>
      </c>
      <c r="H331" s="54">
        <v>46167</v>
      </c>
      <c r="I331" s="53">
        <v>46162</v>
      </c>
      <c r="J331" s="52" t="s">
        <v>31</v>
      </c>
      <c r="K331" s="52" t="s">
        <v>646</v>
      </c>
      <c r="L331" s="52" t="s">
        <v>40</v>
      </c>
      <c r="M331" s="52" t="s">
        <v>30</v>
      </c>
      <c r="N331" s="56">
        <f t="shared" ca="1" si="5"/>
        <v>94</v>
      </c>
    </row>
    <row r="332" spans="1:14" x14ac:dyDescent="0.25">
      <c r="A332" s="52">
        <v>331</v>
      </c>
      <c r="B332" s="52">
        <v>643894</v>
      </c>
      <c r="C332" s="52" t="s">
        <v>774</v>
      </c>
      <c r="D332" s="55" t="s">
        <v>26</v>
      </c>
      <c r="E332" s="55" t="s">
        <v>27</v>
      </c>
      <c r="F332" s="55" t="s">
        <v>775</v>
      </c>
      <c r="G332" s="52" t="s">
        <v>29</v>
      </c>
      <c r="H332" s="54">
        <v>46167</v>
      </c>
      <c r="I332" s="53">
        <v>46162</v>
      </c>
      <c r="J332" s="52" t="s">
        <v>31</v>
      </c>
      <c r="K332" s="52" t="s">
        <v>500</v>
      </c>
      <c r="L332" s="52" t="s">
        <v>40</v>
      </c>
      <c r="M332" s="52" t="s">
        <v>30</v>
      </c>
      <c r="N332" s="56">
        <f t="shared" ca="1" si="5"/>
        <v>94</v>
      </c>
    </row>
    <row r="333" spans="1:14" x14ac:dyDescent="0.25">
      <c r="A333" s="52">
        <v>332</v>
      </c>
      <c r="B333" s="52">
        <v>643893</v>
      </c>
      <c r="C333" s="52" t="s">
        <v>776</v>
      </c>
      <c r="D333" s="55" t="s">
        <v>26</v>
      </c>
      <c r="E333" s="55" t="s">
        <v>27</v>
      </c>
      <c r="F333" s="55" t="s">
        <v>777</v>
      </c>
      <c r="G333" s="52" t="s">
        <v>29</v>
      </c>
      <c r="H333" s="54">
        <v>46167</v>
      </c>
      <c r="I333" s="53">
        <v>46162</v>
      </c>
      <c r="J333" s="52" t="s">
        <v>31</v>
      </c>
      <c r="K333" s="52" t="s">
        <v>500</v>
      </c>
      <c r="L333" s="52" t="s">
        <v>40</v>
      </c>
      <c r="M333" s="52" t="s">
        <v>30</v>
      </c>
      <c r="N333" s="56">
        <f t="shared" ca="1" si="5"/>
        <v>94</v>
      </c>
    </row>
    <row r="334" spans="1:14" x14ac:dyDescent="0.25">
      <c r="A334" s="52">
        <v>333</v>
      </c>
      <c r="B334" s="52">
        <v>616029</v>
      </c>
      <c r="C334" s="52" t="s">
        <v>778</v>
      </c>
      <c r="D334" s="55" t="s">
        <v>26</v>
      </c>
      <c r="E334" s="55" t="s">
        <v>27</v>
      </c>
      <c r="F334" s="55" t="s">
        <v>30</v>
      </c>
      <c r="G334" s="52" t="s">
        <v>29</v>
      </c>
      <c r="H334" s="54">
        <v>46154</v>
      </c>
      <c r="I334" s="53">
        <v>46152</v>
      </c>
      <c r="J334" s="52" t="s">
        <v>31</v>
      </c>
      <c r="K334" s="52" t="s">
        <v>500</v>
      </c>
      <c r="L334" s="52" t="s">
        <v>40</v>
      </c>
      <c r="M334" s="52" t="s">
        <v>30</v>
      </c>
      <c r="N334" s="56">
        <f t="shared" ca="1" si="5"/>
        <v>104</v>
      </c>
    </row>
    <row r="335" spans="1:14" x14ac:dyDescent="0.25">
      <c r="A335" s="52">
        <v>334</v>
      </c>
      <c r="B335" s="52">
        <v>642439</v>
      </c>
      <c r="C335" s="52" t="s">
        <v>162</v>
      </c>
      <c r="D335" s="55" t="s">
        <v>163</v>
      </c>
      <c r="E335" s="55" t="s">
        <v>27</v>
      </c>
      <c r="F335" s="55" t="s">
        <v>30</v>
      </c>
      <c r="G335" s="52" t="s">
        <v>29</v>
      </c>
      <c r="H335" s="54" t="s">
        <v>30</v>
      </c>
      <c r="I335" s="53" t="s">
        <v>30</v>
      </c>
      <c r="J335" s="52" t="s">
        <v>31</v>
      </c>
      <c r="K335" s="52" t="s">
        <v>779</v>
      </c>
      <c r="L335" s="52" t="s">
        <v>40</v>
      </c>
      <c r="M335" s="52" t="s">
        <v>30</v>
      </c>
      <c r="N335" s="56" t="str">
        <f t="shared" ca="1" si="5"/>
        <v>-</v>
      </c>
    </row>
    <row r="336" spans="1:14" x14ac:dyDescent="0.25">
      <c r="A336" s="52">
        <v>335</v>
      </c>
      <c r="B336" s="52">
        <v>643944</v>
      </c>
      <c r="C336" s="52" t="s">
        <v>780</v>
      </c>
      <c r="D336" s="55" t="s">
        <v>26</v>
      </c>
      <c r="E336" s="55" t="s">
        <v>27</v>
      </c>
      <c r="F336" s="55" t="s">
        <v>781</v>
      </c>
      <c r="G336" s="52" t="s">
        <v>29</v>
      </c>
      <c r="H336" s="54">
        <v>46169</v>
      </c>
      <c r="I336" s="53">
        <v>46167</v>
      </c>
      <c r="J336" s="52" t="s">
        <v>77</v>
      </c>
      <c r="K336" s="52" t="s">
        <v>713</v>
      </c>
      <c r="L336" s="52" t="s">
        <v>40</v>
      </c>
      <c r="M336" s="52" t="s">
        <v>30</v>
      </c>
      <c r="N336" s="56">
        <f t="shared" ca="1" si="5"/>
        <v>89</v>
      </c>
    </row>
    <row r="337" spans="1:14" x14ac:dyDescent="0.25">
      <c r="A337" s="52">
        <v>336</v>
      </c>
      <c r="B337" s="52">
        <v>634092</v>
      </c>
      <c r="C337" s="52" t="s">
        <v>782</v>
      </c>
      <c r="D337" s="55" t="s">
        <v>26</v>
      </c>
      <c r="E337" s="55" t="s">
        <v>27</v>
      </c>
      <c r="F337" s="55" t="s">
        <v>783</v>
      </c>
      <c r="G337" s="52" t="s">
        <v>76</v>
      </c>
      <c r="H337" s="54" t="s">
        <v>30</v>
      </c>
      <c r="I337" s="53">
        <v>45827</v>
      </c>
      <c r="J337" s="52" t="s">
        <v>77</v>
      </c>
      <c r="K337" s="52" t="s">
        <v>713</v>
      </c>
      <c r="L337" s="52" t="s">
        <v>40</v>
      </c>
      <c r="M337" s="52" t="s">
        <v>30</v>
      </c>
      <c r="N337" s="56">
        <f t="shared" ca="1" si="5"/>
        <v>429</v>
      </c>
    </row>
    <row r="338" spans="1:14" x14ac:dyDescent="0.25">
      <c r="A338" s="52">
        <v>337</v>
      </c>
      <c r="B338" s="52">
        <v>579322</v>
      </c>
      <c r="C338" s="52" t="s">
        <v>784</v>
      </c>
      <c r="D338" s="55" t="s">
        <v>26</v>
      </c>
      <c r="E338" s="55" t="s">
        <v>27</v>
      </c>
      <c r="F338" s="55" t="s">
        <v>785</v>
      </c>
      <c r="G338" s="52" t="s">
        <v>76</v>
      </c>
      <c r="H338" s="54" t="s">
        <v>30</v>
      </c>
      <c r="I338" s="53">
        <v>45820</v>
      </c>
      <c r="J338" s="52" t="s">
        <v>77</v>
      </c>
      <c r="K338" s="52" t="s">
        <v>713</v>
      </c>
      <c r="L338" s="52" t="s">
        <v>40</v>
      </c>
      <c r="M338" s="52" t="s">
        <v>30</v>
      </c>
      <c r="N338" s="56">
        <f t="shared" ca="1" si="5"/>
        <v>436</v>
      </c>
    </row>
    <row r="339" spans="1:14" x14ac:dyDescent="0.25">
      <c r="A339" s="52">
        <v>338</v>
      </c>
      <c r="B339" s="52">
        <v>595134</v>
      </c>
      <c r="C339" s="52" t="s">
        <v>786</v>
      </c>
      <c r="D339" s="55" t="s">
        <v>26</v>
      </c>
      <c r="E339" s="55" t="s">
        <v>27</v>
      </c>
      <c r="F339" s="55" t="s">
        <v>787</v>
      </c>
      <c r="G339" s="52" t="s">
        <v>76</v>
      </c>
      <c r="H339" s="54" t="s">
        <v>30</v>
      </c>
      <c r="I339" s="53">
        <v>45819</v>
      </c>
      <c r="J339" s="52" t="s">
        <v>77</v>
      </c>
      <c r="K339" s="52" t="s">
        <v>788</v>
      </c>
      <c r="L339" s="52" t="s">
        <v>40</v>
      </c>
      <c r="M339" s="52" t="s">
        <v>789</v>
      </c>
      <c r="N339" s="56">
        <f t="shared" ca="1" si="5"/>
        <v>437</v>
      </c>
    </row>
    <row r="340" spans="1:14" x14ac:dyDescent="0.25">
      <c r="A340" s="52">
        <v>339</v>
      </c>
      <c r="B340" s="52">
        <v>608606</v>
      </c>
      <c r="C340" s="52" t="s">
        <v>790</v>
      </c>
      <c r="D340" s="55" t="s">
        <v>26</v>
      </c>
      <c r="E340" s="55" t="s">
        <v>27</v>
      </c>
      <c r="F340" s="55" t="s">
        <v>791</v>
      </c>
      <c r="G340" s="52" t="s">
        <v>76</v>
      </c>
      <c r="H340" s="54" t="s">
        <v>30</v>
      </c>
      <c r="I340" s="53">
        <v>46141</v>
      </c>
      <c r="J340" s="52" t="s">
        <v>202</v>
      </c>
      <c r="K340" s="52" t="s">
        <v>792</v>
      </c>
      <c r="L340" s="52" t="s">
        <v>66</v>
      </c>
      <c r="M340" s="52" t="s">
        <v>30</v>
      </c>
      <c r="N340" s="56">
        <f t="shared" ca="1" si="5"/>
        <v>115</v>
      </c>
    </row>
    <row r="341" spans="1:14" x14ac:dyDescent="0.25">
      <c r="A341" s="52">
        <v>340</v>
      </c>
      <c r="B341" s="52">
        <v>644004</v>
      </c>
      <c r="C341" s="52" t="s">
        <v>793</v>
      </c>
      <c r="D341" s="55" t="s">
        <v>26</v>
      </c>
      <c r="E341" s="55" t="s">
        <v>27</v>
      </c>
      <c r="F341" s="55" t="s">
        <v>794</v>
      </c>
      <c r="G341" s="52" t="s">
        <v>29</v>
      </c>
      <c r="H341" s="54">
        <v>46172</v>
      </c>
      <c r="I341" s="53">
        <v>46166</v>
      </c>
      <c r="J341" s="52" t="s">
        <v>77</v>
      </c>
      <c r="K341" s="52" t="s">
        <v>646</v>
      </c>
      <c r="L341" s="52" t="s">
        <v>40</v>
      </c>
      <c r="M341" s="52" t="s">
        <v>30</v>
      </c>
      <c r="N341" s="56">
        <f t="shared" ca="1" si="5"/>
        <v>90</v>
      </c>
    </row>
    <row r="342" spans="1:14" x14ac:dyDescent="0.25">
      <c r="A342" s="52">
        <v>341</v>
      </c>
      <c r="B342" s="52">
        <v>601598</v>
      </c>
      <c r="C342" s="52" t="s">
        <v>795</v>
      </c>
      <c r="D342" s="55" t="s">
        <v>26</v>
      </c>
      <c r="E342" s="55" t="s">
        <v>27</v>
      </c>
      <c r="F342" s="55" t="s">
        <v>796</v>
      </c>
      <c r="G342" s="52" t="s">
        <v>76</v>
      </c>
      <c r="H342" s="54" t="s">
        <v>30</v>
      </c>
      <c r="I342" s="53">
        <v>45825</v>
      </c>
      <c r="J342" s="52" t="s">
        <v>77</v>
      </c>
      <c r="K342" s="52" t="s">
        <v>797</v>
      </c>
      <c r="L342" s="52" t="s">
        <v>40</v>
      </c>
      <c r="M342" s="52" t="s">
        <v>718</v>
      </c>
      <c r="N342" s="56">
        <f t="shared" ca="1" si="5"/>
        <v>431</v>
      </c>
    </row>
    <row r="343" spans="1:14" x14ac:dyDescent="0.25">
      <c r="A343" s="52">
        <v>342</v>
      </c>
      <c r="B343" s="52">
        <v>643996</v>
      </c>
      <c r="C343" s="52" t="s">
        <v>798</v>
      </c>
      <c r="D343" s="55" t="s">
        <v>26</v>
      </c>
      <c r="E343" s="55" t="s">
        <v>27</v>
      </c>
      <c r="F343" s="55" t="s">
        <v>799</v>
      </c>
      <c r="G343" s="52" t="s">
        <v>29</v>
      </c>
      <c r="H343" s="54">
        <v>46172</v>
      </c>
      <c r="I343" s="53">
        <v>46167</v>
      </c>
      <c r="J343" s="52" t="s">
        <v>77</v>
      </c>
      <c r="K343" s="52" t="s">
        <v>646</v>
      </c>
      <c r="L343" s="52" t="s">
        <v>40</v>
      </c>
      <c r="M343" s="52" t="s">
        <v>30</v>
      </c>
      <c r="N343" s="56">
        <f t="shared" ca="1" si="5"/>
        <v>89</v>
      </c>
    </row>
    <row r="344" spans="1:14" x14ac:dyDescent="0.25">
      <c r="A344" s="52">
        <v>343</v>
      </c>
      <c r="B344" s="52">
        <v>643989</v>
      </c>
      <c r="C344" s="52" t="s">
        <v>800</v>
      </c>
      <c r="D344" s="55" t="s">
        <v>26</v>
      </c>
      <c r="E344" s="55" t="s">
        <v>27</v>
      </c>
      <c r="F344" s="55" t="s">
        <v>801</v>
      </c>
      <c r="G344" s="52" t="s">
        <v>29</v>
      </c>
      <c r="H344" s="54">
        <v>46172</v>
      </c>
      <c r="I344" s="53">
        <v>46167</v>
      </c>
      <c r="J344" s="52" t="s">
        <v>202</v>
      </c>
      <c r="K344" s="52" t="s">
        <v>802</v>
      </c>
      <c r="L344" s="52" t="s">
        <v>40</v>
      </c>
      <c r="M344" s="52" t="s">
        <v>30</v>
      </c>
      <c r="N344" s="56">
        <f t="shared" ca="1" si="5"/>
        <v>89</v>
      </c>
    </row>
    <row r="345" spans="1:14" x14ac:dyDescent="0.25">
      <c r="A345" s="52">
        <v>344</v>
      </c>
      <c r="B345" s="52">
        <v>644005</v>
      </c>
      <c r="C345" s="52" t="s">
        <v>803</v>
      </c>
      <c r="D345" s="55" t="s">
        <v>26</v>
      </c>
      <c r="E345" s="55" t="s">
        <v>27</v>
      </c>
      <c r="F345" s="55" t="s">
        <v>804</v>
      </c>
      <c r="G345" s="52" t="s">
        <v>29</v>
      </c>
      <c r="H345" s="54">
        <v>46172</v>
      </c>
      <c r="I345" s="53">
        <v>46167</v>
      </c>
      <c r="J345" s="52" t="s">
        <v>202</v>
      </c>
      <c r="K345" s="52" t="s">
        <v>805</v>
      </c>
      <c r="L345" s="52" t="s">
        <v>66</v>
      </c>
      <c r="M345" s="52" t="s">
        <v>30</v>
      </c>
      <c r="N345" s="56">
        <f t="shared" ca="1" si="5"/>
        <v>89</v>
      </c>
    </row>
    <row r="346" spans="1:14" x14ac:dyDescent="0.25">
      <c r="A346" s="52">
        <v>345</v>
      </c>
      <c r="B346" s="52">
        <v>268624</v>
      </c>
      <c r="C346" s="52" t="s">
        <v>806</v>
      </c>
      <c r="D346" s="55" t="s">
        <v>26</v>
      </c>
      <c r="E346" s="55" t="s">
        <v>27</v>
      </c>
      <c r="F346" s="55" t="s">
        <v>807</v>
      </c>
      <c r="G346" s="52" t="s">
        <v>76</v>
      </c>
      <c r="H346" s="54" t="s">
        <v>30</v>
      </c>
      <c r="I346" s="53">
        <v>46104</v>
      </c>
      <c r="J346" s="52" t="s">
        <v>77</v>
      </c>
      <c r="K346" s="52" t="s">
        <v>713</v>
      </c>
      <c r="L346" s="52" t="s">
        <v>40</v>
      </c>
      <c r="M346" s="52" t="s">
        <v>30</v>
      </c>
      <c r="N346" s="56">
        <f t="shared" ca="1" si="5"/>
        <v>152</v>
      </c>
    </row>
    <row r="347" spans="1:14" x14ac:dyDescent="0.25">
      <c r="A347" s="52">
        <v>346</v>
      </c>
      <c r="B347" s="52">
        <v>643838</v>
      </c>
      <c r="C347" s="52" t="s">
        <v>808</v>
      </c>
      <c r="D347" s="55" t="s">
        <v>26</v>
      </c>
      <c r="E347" s="55" t="s">
        <v>27</v>
      </c>
      <c r="F347" s="55" t="s">
        <v>809</v>
      </c>
      <c r="G347" s="52" t="s">
        <v>29</v>
      </c>
      <c r="H347" s="54">
        <v>46165</v>
      </c>
      <c r="I347" s="53">
        <v>46160</v>
      </c>
      <c r="J347" s="52" t="s">
        <v>202</v>
      </c>
      <c r="K347" s="52" t="s">
        <v>810</v>
      </c>
      <c r="L347" s="52" t="s">
        <v>66</v>
      </c>
      <c r="M347" s="52" t="s">
        <v>30</v>
      </c>
      <c r="N347" s="56">
        <f t="shared" ca="1" si="5"/>
        <v>96</v>
      </c>
    </row>
    <row r="348" spans="1:14" x14ac:dyDescent="0.25">
      <c r="A348" s="52">
        <v>347</v>
      </c>
      <c r="B348" s="52">
        <v>539284</v>
      </c>
      <c r="C348" s="52" t="s">
        <v>811</v>
      </c>
      <c r="D348" s="55" t="s">
        <v>26</v>
      </c>
      <c r="E348" s="55" t="s">
        <v>27</v>
      </c>
      <c r="F348" s="55" t="s">
        <v>812</v>
      </c>
      <c r="G348" s="52" t="s">
        <v>76</v>
      </c>
      <c r="H348" s="54" t="s">
        <v>30</v>
      </c>
      <c r="I348" s="53">
        <v>45840</v>
      </c>
      <c r="J348" s="52" t="s">
        <v>77</v>
      </c>
      <c r="K348" s="52" t="s">
        <v>739</v>
      </c>
      <c r="L348" s="52" t="s">
        <v>40</v>
      </c>
      <c r="M348" s="52" t="s">
        <v>813</v>
      </c>
      <c r="N348" s="56">
        <f t="shared" ca="1" si="5"/>
        <v>416</v>
      </c>
    </row>
    <row r="349" spans="1:14" x14ac:dyDescent="0.25">
      <c r="A349" s="52">
        <v>348</v>
      </c>
      <c r="B349" s="52">
        <v>433335</v>
      </c>
      <c r="C349" s="52" t="s">
        <v>814</v>
      </c>
      <c r="D349" s="55" t="s">
        <v>26</v>
      </c>
      <c r="E349" s="55" t="s">
        <v>27</v>
      </c>
      <c r="F349" s="55" t="s">
        <v>815</v>
      </c>
      <c r="G349" s="52" t="s">
        <v>76</v>
      </c>
      <c r="H349" s="54" t="s">
        <v>30</v>
      </c>
      <c r="I349" s="53">
        <v>45852</v>
      </c>
      <c r="J349" s="52" t="s">
        <v>77</v>
      </c>
      <c r="K349" s="52" t="s">
        <v>713</v>
      </c>
      <c r="L349" s="52" t="s">
        <v>40</v>
      </c>
      <c r="M349" s="52" t="s">
        <v>30</v>
      </c>
      <c r="N349" s="56">
        <f t="shared" ca="1" si="5"/>
        <v>404</v>
      </c>
    </row>
    <row r="350" spans="1:14" x14ac:dyDescent="0.25">
      <c r="A350" s="52">
        <v>349</v>
      </c>
      <c r="B350" s="52">
        <v>270142</v>
      </c>
      <c r="C350" s="52" t="s">
        <v>816</v>
      </c>
      <c r="D350" s="55" t="s">
        <v>26</v>
      </c>
      <c r="E350" s="55" t="s">
        <v>27</v>
      </c>
      <c r="F350" s="55" t="s">
        <v>817</v>
      </c>
      <c r="G350" s="52" t="s">
        <v>76</v>
      </c>
      <c r="H350" s="54" t="s">
        <v>30</v>
      </c>
      <c r="I350" s="53">
        <v>45841</v>
      </c>
      <c r="J350" s="52" t="s">
        <v>77</v>
      </c>
      <c r="K350" s="52" t="s">
        <v>713</v>
      </c>
      <c r="L350" s="52" t="s">
        <v>40</v>
      </c>
      <c r="M350" s="52" t="s">
        <v>30</v>
      </c>
      <c r="N350" s="56">
        <f t="shared" ca="1" si="5"/>
        <v>415</v>
      </c>
    </row>
    <row r="351" spans="1:14" x14ac:dyDescent="0.25">
      <c r="A351" s="52">
        <v>350</v>
      </c>
      <c r="B351" s="52">
        <v>644022</v>
      </c>
      <c r="C351" s="52" t="s">
        <v>818</v>
      </c>
      <c r="D351" s="55" t="s">
        <v>26</v>
      </c>
      <c r="E351" s="55" t="s">
        <v>27</v>
      </c>
      <c r="F351" s="55" t="s">
        <v>819</v>
      </c>
      <c r="G351" s="52" t="s">
        <v>29</v>
      </c>
      <c r="H351" s="54">
        <v>46172</v>
      </c>
      <c r="I351" s="53">
        <v>46168</v>
      </c>
      <c r="J351" s="52" t="s">
        <v>77</v>
      </c>
      <c r="K351" s="52" t="s">
        <v>713</v>
      </c>
      <c r="L351" s="52" t="s">
        <v>40</v>
      </c>
      <c r="M351" s="52" t="s">
        <v>30</v>
      </c>
      <c r="N351" s="56">
        <f t="shared" ca="1" si="5"/>
        <v>88</v>
      </c>
    </row>
    <row r="352" spans="1:14" x14ac:dyDescent="0.25">
      <c r="A352" s="52">
        <v>351</v>
      </c>
      <c r="B352" s="52">
        <v>457435</v>
      </c>
      <c r="C352" s="52" t="s">
        <v>820</v>
      </c>
      <c r="D352" s="55" t="s">
        <v>26</v>
      </c>
      <c r="E352" s="55" t="s">
        <v>27</v>
      </c>
      <c r="F352" s="55" t="s">
        <v>821</v>
      </c>
      <c r="G352" s="52" t="s">
        <v>76</v>
      </c>
      <c r="H352" s="54" t="s">
        <v>30</v>
      </c>
      <c r="I352" s="53">
        <v>45829</v>
      </c>
      <c r="J352" s="52" t="s">
        <v>77</v>
      </c>
      <c r="K352" s="52" t="s">
        <v>713</v>
      </c>
      <c r="L352" s="52" t="s">
        <v>40</v>
      </c>
      <c r="M352" s="52" t="s">
        <v>30</v>
      </c>
      <c r="N352" s="56">
        <f t="shared" ca="1" si="5"/>
        <v>427</v>
      </c>
    </row>
    <row r="353" spans="1:14" x14ac:dyDescent="0.25">
      <c r="A353" s="52">
        <v>352</v>
      </c>
      <c r="B353" s="52">
        <v>547986</v>
      </c>
      <c r="C353" s="52" t="s">
        <v>822</v>
      </c>
      <c r="D353" s="55" t="s">
        <v>26</v>
      </c>
      <c r="E353" s="55" t="s">
        <v>27</v>
      </c>
      <c r="F353" s="55" t="s">
        <v>823</v>
      </c>
      <c r="G353" s="52" t="s">
        <v>76</v>
      </c>
      <c r="H353" s="54" t="s">
        <v>30</v>
      </c>
      <c r="I353" s="53">
        <v>45830</v>
      </c>
      <c r="J353" s="52" t="s">
        <v>77</v>
      </c>
      <c r="K353" s="52" t="s">
        <v>646</v>
      </c>
      <c r="L353" s="52" t="s">
        <v>40</v>
      </c>
      <c r="M353" s="52" t="s">
        <v>30</v>
      </c>
      <c r="N353" s="56">
        <f t="shared" ca="1" si="5"/>
        <v>426</v>
      </c>
    </row>
    <row r="354" spans="1:14" x14ac:dyDescent="0.25">
      <c r="A354" s="52">
        <v>353</v>
      </c>
      <c r="B354" s="52">
        <v>634211</v>
      </c>
      <c r="C354" s="52" t="s">
        <v>824</v>
      </c>
      <c r="D354" s="55" t="s">
        <v>26</v>
      </c>
      <c r="E354" s="55" t="s">
        <v>27</v>
      </c>
      <c r="F354" s="55" t="s">
        <v>825</v>
      </c>
      <c r="G354" s="52" t="s">
        <v>76</v>
      </c>
      <c r="H354" s="54" t="s">
        <v>30</v>
      </c>
      <c r="I354" s="53">
        <v>45835</v>
      </c>
      <c r="J354" s="52" t="s">
        <v>30</v>
      </c>
      <c r="K354" s="52" t="s">
        <v>788</v>
      </c>
      <c r="L354" s="52" t="s">
        <v>40</v>
      </c>
      <c r="M354" s="52" t="s">
        <v>826</v>
      </c>
      <c r="N354" s="56">
        <f t="shared" ca="1" si="5"/>
        <v>421</v>
      </c>
    </row>
    <row r="355" spans="1:14" x14ac:dyDescent="0.25">
      <c r="A355" s="52">
        <v>354</v>
      </c>
      <c r="B355" s="52">
        <v>472483</v>
      </c>
      <c r="C355" s="52" t="s">
        <v>827</v>
      </c>
      <c r="D355" s="55" t="s">
        <v>26</v>
      </c>
      <c r="E355" s="55" t="s">
        <v>27</v>
      </c>
      <c r="F355" s="55" t="s">
        <v>828</v>
      </c>
      <c r="G355" s="52" t="s">
        <v>29</v>
      </c>
      <c r="H355" s="54">
        <v>46172</v>
      </c>
      <c r="I355" s="53">
        <v>46169</v>
      </c>
      <c r="J355" s="52" t="s">
        <v>202</v>
      </c>
      <c r="K355" s="52" t="s">
        <v>829</v>
      </c>
      <c r="L355" s="52" t="s">
        <v>66</v>
      </c>
      <c r="M355" s="52" t="s">
        <v>30</v>
      </c>
      <c r="N355" s="56">
        <f t="shared" ca="1" si="5"/>
        <v>87</v>
      </c>
    </row>
    <row r="356" spans="1:14" x14ac:dyDescent="0.25">
      <c r="A356" s="52">
        <v>355</v>
      </c>
      <c r="B356" s="52">
        <v>534793</v>
      </c>
      <c r="C356" s="52" t="s">
        <v>830</v>
      </c>
      <c r="D356" s="55" t="s">
        <v>163</v>
      </c>
      <c r="E356" s="55" t="s">
        <v>27</v>
      </c>
      <c r="F356" s="55" t="s">
        <v>831</v>
      </c>
      <c r="G356" s="52" t="s">
        <v>76</v>
      </c>
      <c r="H356" s="54" t="s">
        <v>30</v>
      </c>
      <c r="I356" s="53">
        <v>46124</v>
      </c>
      <c r="J356" s="52" t="s">
        <v>77</v>
      </c>
      <c r="K356" s="52" t="s">
        <v>713</v>
      </c>
      <c r="L356" s="52" t="s">
        <v>40</v>
      </c>
      <c r="M356" s="52" t="s">
        <v>30</v>
      </c>
      <c r="N356" s="56">
        <f t="shared" ca="1" si="5"/>
        <v>132</v>
      </c>
    </row>
    <row r="357" spans="1:14" x14ac:dyDescent="0.25">
      <c r="A357" s="52">
        <v>356</v>
      </c>
      <c r="B357" s="52">
        <v>262919</v>
      </c>
      <c r="C357" s="52" t="s">
        <v>832</v>
      </c>
      <c r="D357" s="55" t="s">
        <v>26</v>
      </c>
      <c r="E357" s="55" t="s">
        <v>27</v>
      </c>
      <c r="F357" s="55" t="s">
        <v>833</v>
      </c>
      <c r="G357" s="52" t="s">
        <v>76</v>
      </c>
      <c r="H357" s="54" t="s">
        <v>30</v>
      </c>
      <c r="I357" s="53">
        <v>46008</v>
      </c>
      <c r="J357" s="52" t="s">
        <v>77</v>
      </c>
      <c r="K357" s="52" t="s">
        <v>713</v>
      </c>
      <c r="L357" s="52" t="s">
        <v>40</v>
      </c>
      <c r="M357" s="52" t="s">
        <v>30</v>
      </c>
      <c r="N357" s="56">
        <f t="shared" ca="1" si="5"/>
        <v>248</v>
      </c>
    </row>
    <row r="358" spans="1:14" x14ac:dyDescent="0.25">
      <c r="A358" s="52">
        <v>357</v>
      </c>
      <c r="B358" s="52">
        <v>289562</v>
      </c>
      <c r="C358" s="52" t="s">
        <v>834</v>
      </c>
      <c r="D358" s="55" t="s">
        <v>63</v>
      </c>
      <c r="E358" s="55" t="s">
        <v>27</v>
      </c>
      <c r="F358" s="55">
        <v>404607202</v>
      </c>
      <c r="G358" s="52" t="s">
        <v>76</v>
      </c>
      <c r="H358" s="54">
        <v>46241</v>
      </c>
      <c r="I358" s="53">
        <v>45837</v>
      </c>
      <c r="J358" s="52" t="s">
        <v>77</v>
      </c>
      <c r="K358" s="52" t="s">
        <v>788</v>
      </c>
      <c r="L358" s="52" t="s">
        <v>40</v>
      </c>
      <c r="M358" s="52" t="s">
        <v>30</v>
      </c>
      <c r="N358" s="56">
        <f t="shared" ca="1" si="5"/>
        <v>419</v>
      </c>
    </row>
    <row r="359" spans="1:14" x14ac:dyDescent="0.25">
      <c r="A359" s="52">
        <v>358</v>
      </c>
      <c r="B359" s="52">
        <v>621559</v>
      </c>
      <c r="C359" s="52" t="s">
        <v>835</v>
      </c>
      <c r="D359" s="55" t="s">
        <v>26</v>
      </c>
      <c r="E359" s="55" t="s">
        <v>27</v>
      </c>
      <c r="F359" s="55" t="s">
        <v>836</v>
      </c>
      <c r="G359" s="52" t="s">
        <v>76</v>
      </c>
      <c r="H359" s="54" t="s">
        <v>30</v>
      </c>
      <c r="I359" s="53">
        <v>45839</v>
      </c>
      <c r="J359" s="52" t="s">
        <v>77</v>
      </c>
      <c r="K359" s="52" t="s">
        <v>837</v>
      </c>
      <c r="L359" s="52" t="s">
        <v>227</v>
      </c>
      <c r="M359" s="52" t="s">
        <v>838</v>
      </c>
      <c r="N359" s="56">
        <f t="shared" ca="1" si="5"/>
        <v>417</v>
      </c>
    </row>
    <row r="360" spans="1:14" x14ac:dyDescent="0.25">
      <c r="A360" s="52">
        <v>359</v>
      </c>
      <c r="B360" s="52">
        <v>644116</v>
      </c>
      <c r="C360" s="52" t="s">
        <v>839</v>
      </c>
      <c r="D360" s="55" t="s">
        <v>26</v>
      </c>
      <c r="E360" s="55" t="s">
        <v>27</v>
      </c>
      <c r="F360" s="55" t="s">
        <v>840</v>
      </c>
      <c r="G360" s="52" t="s">
        <v>29</v>
      </c>
      <c r="H360" s="54">
        <v>46176</v>
      </c>
      <c r="I360" s="53">
        <v>46171</v>
      </c>
      <c r="J360" s="52" t="s">
        <v>202</v>
      </c>
      <c r="K360" s="52" t="s">
        <v>841</v>
      </c>
      <c r="L360" s="52" t="s">
        <v>40</v>
      </c>
      <c r="M360" s="52" t="s">
        <v>30</v>
      </c>
      <c r="N360" s="56">
        <f t="shared" ca="1" si="5"/>
        <v>85</v>
      </c>
    </row>
    <row r="361" spans="1:14" x14ac:dyDescent="0.25">
      <c r="A361" s="52">
        <v>360</v>
      </c>
      <c r="B361" s="52">
        <v>465563</v>
      </c>
      <c r="C361" s="52" t="s">
        <v>842</v>
      </c>
      <c r="D361" s="55" t="s">
        <v>26</v>
      </c>
      <c r="E361" s="55" t="s">
        <v>27</v>
      </c>
      <c r="F361" s="55" t="s">
        <v>843</v>
      </c>
      <c r="G361" s="52" t="s">
        <v>76</v>
      </c>
      <c r="H361" s="54" t="s">
        <v>30</v>
      </c>
      <c r="I361" s="53">
        <v>45849</v>
      </c>
      <c r="J361" s="52" t="s">
        <v>77</v>
      </c>
      <c r="K361" s="52" t="s">
        <v>788</v>
      </c>
      <c r="L361" s="52" t="s">
        <v>40</v>
      </c>
      <c r="M361" s="52" t="s">
        <v>30</v>
      </c>
      <c r="N361" s="56">
        <f t="shared" ca="1" si="5"/>
        <v>407</v>
      </c>
    </row>
    <row r="362" spans="1:14" x14ac:dyDescent="0.25">
      <c r="A362" s="52">
        <v>361</v>
      </c>
      <c r="B362" s="52">
        <v>608713</v>
      </c>
      <c r="C362" s="52" t="s">
        <v>844</v>
      </c>
      <c r="D362" s="55" t="s">
        <v>63</v>
      </c>
      <c r="E362" s="55" t="s">
        <v>27</v>
      </c>
      <c r="F362" s="55">
        <v>404400551</v>
      </c>
      <c r="G362" s="52" t="s">
        <v>76</v>
      </c>
      <c r="H362" s="54" t="s">
        <v>30</v>
      </c>
      <c r="I362" s="53">
        <v>45843</v>
      </c>
      <c r="J362" s="52" t="s">
        <v>202</v>
      </c>
      <c r="K362" s="52" t="s">
        <v>845</v>
      </c>
      <c r="L362" s="52" t="s">
        <v>66</v>
      </c>
      <c r="M362" s="52" t="s">
        <v>30</v>
      </c>
      <c r="N362" s="56">
        <f t="shared" ca="1" si="5"/>
        <v>413</v>
      </c>
    </row>
    <row r="363" spans="1:14" x14ac:dyDescent="0.25">
      <c r="A363" s="52">
        <v>362</v>
      </c>
      <c r="B363" s="52">
        <v>643466</v>
      </c>
      <c r="C363" s="52" t="s">
        <v>846</v>
      </c>
      <c r="D363" s="55" t="s">
        <v>26</v>
      </c>
      <c r="E363" s="55" t="s">
        <v>27</v>
      </c>
      <c r="F363" s="55" t="s">
        <v>847</v>
      </c>
      <c r="G363" s="52" t="s">
        <v>29</v>
      </c>
      <c r="H363" s="54" t="s">
        <v>399</v>
      </c>
      <c r="I363" s="53">
        <v>46151</v>
      </c>
      <c r="J363" s="52" t="s">
        <v>64</v>
      </c>
      <c r="K363" s="52" t="s">
        <v>848</v>
      </c>
      <c r="L363" s="52" t="s">
        <v>66</v>
      </c>
      <c r="M363" s="52" t="s">
        <v>30</v>
      </c>
      <c r="N363" s="56">
        <f t="shared" ca="1" si="5"/>
        <v>105</v>
      </c>
    </row>
    <row r="364" spans="1:14" x14ac:dyDescent="0.25">
      <c r="A364" s="52">
        <v>363</v>
      </c>
      <c r="B364" s="52">
        <v>529422</v>
      </c>
      <c r="C364" s="52" t="s">
        <v>849</v>
      </c>
      <c r="D364" s="55" t="s">
        <v>26</v>
      </c>
      <c r="E364" s="55" t="s">
        <v>27</v>
      </c>
      <c r="F364" s="55" t="s">
        <v>850</v>
      </c>
      <c r="G364" s="52" t="s">
        <v>76</v>
      </c>
      <c r="H364" s="54" t="s">
        <v>30</v>
      </c>
      <c r="I364" s="53">
        <v>45849</v>
      </c>
      <c r="J364" s="52" t="s">
        <v>77</v>
      </c>
      <c r="K364" s="52" t="s">
        <v>788</v>
      </c>
      <c r="L364" s="52" t="s">
        <v>40</v>
      </c>
      <c r="M364" s="52" t="s">
        <v>30</v>
      </c>
      <c r="N364" s="56">
        <f t="shared" ca="1" si="5"/>
        <v>407</v>
      </c>
    </row>
    <row r="365" spans="1:14" x14ac:dyDescent="0.25">
      <c r="A365" s="52">
        <v>364</v>
      </c>
      <c r="B365" s="52">
        <v>608726</v>
      </c>
      <c r="C365" s="52" t="s">
        <v>851</v>
      </c>
      <c r="D365" s="55" t="s">
        <v>63</v>
      </c>
      <c r="E365" s="55" t="s">
        <v>27</v>
      </c>
      <c r="F365" s="55">
        <v>404406803</v>
      </c>
      <c r="G365" s="52" t="s">
        <v>76</v>
      </c>
      <c r="H365" s="54" t="s">
        <v>30</v>
      </c>
      <c r="I365" s="53">
        <v>45843</v>
      </c>
      <c r="J365" s="52" t="s">
        <v>77</v>
      </c>
      <c r="K365" s="52" t="s">
        <v>852</v>
      </c>
      <c r="L365" s="52" t="s">
        <v>40</v>
      </c>
      <c r="M365" s="52" t="s">
        <v>30</v>
      </c>
      <c r="N365" s="56">
        <f t="shared" ca="1" si="5"/>
        <v>413</v>
      </c>
    </row>
    <row r="366" spans="1:14" x14ac:dyDescent="0.25">
      <c r="A366" s="52">
        <v>365</v>
      </c>
      <c r="B366" s="52">
        <v>614714</v>
      </c>
      <c r="C366" s="52" t="s">
        <v>853</v>
      </c>
      <c r="D366" s="55" t="s">
        <v>26</v>
      </c>
      <c r="E366" s="55" t="s">
        <v>854</v>
      </c>
      <c r="F366" s="55" t="s">
        <v>855</v>
      </c>
      <c r="G366" s="52" t="s">
        <v>76</v>
      </c>
      <c r="H366" s="54" t="s">
        <v>30</v>
      </c>
      <c r="I366" s="53">
        <v>45451</v>
      </c>
      <c r="J366" s="52" t="s">
        <v>77</v>
      </c>
      <c r="K366" s="52" t="s">
        <v>788</v>
      </c>
      <c r="L366" s="52" t="s">
        <v>40</v>
      </c>
      <c r="M366" s="52" t="s">
        <v>30</v>
      </c>
      <c r="N366" s="56">
        <f t="shared" ca="1" si="5"/>
        <v>805</v>
      </c>
    </row>
    <row r="367" spans="1:14" x14ac:dyDescent="0.25">
      <c r="A367" s="52">
        <v>366</v>
      </c>
      <c r="B367" s="52">
        <v>634091</v>
      </c>
      <c r="C367" s="52" t="s">
        <v>856</v>
      </c>
      <c r="D367" s="55" t="s">
        <v>26</v>
      </c>
      <c r="E367" s="55" t="s">
        <v>27</v>
      </c>
      <c r="F367" s="55" t="s">
        <v>857</v>
      </c>
      <c r="G367" s="52" t="s">
        <v>76</v>
      </c>
      <c r="H367" s="54" t="s">
        <v>30</v>
      </c>
      <c r="I367" s="53">
        <v>46139</v>
      </c>
      <c r="J367" s="52" t="s">
        <v>77</v>
      </c>
      <c r="K367" s="52" t="s">
        <v>858</v>
      </c>
      <c r="L367" s="52" t="s">
        <v>33</v>
      </c>
      <c r="M367" s="52" t="s">
        <v>30</v>
      </c>
      <c r="N367" s="56">
        <f t="shared" ca="1" si="5"/>
        <v>117</v>
      </c>
    </row>
    <row r="368" spans="1:14" x14ac:dyDescent="0.25">
      <c r="A368" s="52">
        <v>367</v>
      </c>
      <c r="B368" s="52">
        <v>260715</v>
      </c>
      <c r="C368" s="52" t="s">
        <v>859</v>
      </c>
      <c r="D368" s="55" t="s">
        <v>26</v>
      </c>
      <c r="E368" s="55" t="s">
        <v>854</v>
      </c>
      <c r="F368" s="55" t="s">
        <v>860</v>
      </c>
      <c r="G368" s="52" t="s">
        <v>76</v>
      </c>
      <c r="H368" s="54" t="s">
        <v>30</v>
      </c>
      <c r="I368" s="53">
        <v>45770</v>
      </c>
      <c r="J368" s="52" t="s">
        <v>202</v>
      </c>
      <c r="K368" s="52" t="s">
        <v>797</v>
      </c>
      <c r="L368" s="52" t="s">
        <v>40</v>
      </c>
      <c r="M368" s="52" t="s">
        <v>30</v>
      </c>
      <c r="N368" s="56">
        <f t="shared" ca="1" si="5"/>
        <v>486</v>
      </c>
    </row>
    <row r="369" spans="1:14" x14ac:dyDescent="0.25">
      <c r="A369" s="52">
        <v>368</v>
      </c>
      <c r="B369" s="52">
        <v>247618</v>
      </c>
      <c r="C369" s="52" t="s">
        <v>861</v>
      </c>
      <c r="D369" s="55" t="s">
        <v>26</v>
      </c>
      <c r="E369" s="55" t="s">
        <v>27</v>
      </c>
      <c r="F369" s="55" t="s">
        <v>862</v>
      </c>
      <c r="G369" s="52" t="s">
        <v>76</v>
      </c>
      <c r="H369" s="54" t="s">
        <v>30</v>
      </c>
      <c r="I369" s="53">
        <v>46043</v>
      </c>
      <c r="J369" s="52" t="s">
        <v>30</v>
      </c>
      <c r="K369" s="52" t="s">
        <v>863</v>
      </c>
      <c r="L369" s="52" t="s">
        <v>40</v>
      </c>
      <c r="M369" s="52" t="s">
        <v>30</v>
      </c>
      <c r="N369" s="56">
        <f t="shared" ca="1" si="5"/>
        <v>213</v>
      </c>
    </row>
    <row r="370" spans="1:14" x14ac:dyDescent="0.25">
      <c r="A370" s="52">
        <v>369</v>
      </c>
      <c r="B370" s="52">
        <v>644170</v>
      </c>
      <c r="C370" s="52" t="s">
        <v>864</v>
      </c>
      <c r="D370" s="55" t="s">
        <v>26</v>
      </c>
      <c r="E370" s="55" t="s">
        <v>27</v>
      </c>
      <c r="F370" s="55" t="s">
        <v>865</v>
      </c>
      <c r="G370" s="52" t="s">
        <v>29</v>
      </c>
      <c r="H370" s="54">
        <v>46177</v>
      </c>
      <c r="I370" s="53">
        <v>46174</v>
      </c>
      <c r="J370" s="52" t="s">
        <v>77</v>
      </c>
      <c r="K370" s="52" t="s">
        <v>863</v>
      </c>
      <c r="L370" s="52" t="s">
        <v>40</v>
      </c>
      <c r="M370" s="52" t="s">
        <v>30</v>
      </c>
      <c r="N370" s="56">
        <f t="shared" ca="1" si="5"/>
        <v>82</v>
      </c>
    </row>
    <row r="371" spans="1:14" x14ac:dyDescent="0.25">
      <c r="A371" s="52">
        <v>370</v>
      </c>
      <c r="B371" s="52">
        <v>644171</v>
      </c>
      <c r="C371" s="52" t="s">
        <v>866</v>
      </c>
      <c r="D371" s="55" t="s">
        <v>26</v>
      </c>
      <c r="E371" s="55" t="s">
        <v>27</v>
      </c>
      <c r="F371" s="55" t="s">
        <v>867</v>
      </c>
      <c r="G371" s="52" t="s">
        <v>29</v>
      </c>
      <c r="H371" s="54">
        <v>46177</v>
      </c>
      <c r="I371" s="53">
        <v>46174</v>
      </c>
      <c r="J371" s="52" t="s">
        <v>202</v>
      </c>
      <c r="K371" s="52" t="s">
        <v>792</v>
      </c>
      <c r="L371" s="52" t="s">
        <v>66</v>
      </c>
      <c r="M371" s="52" t="s">
        <v>30</v>
      </c>
      <c r="N371" s="56">
        <f t="shared" ca="1" si="5"/>
        <v>82</v>
      </c>
    </row>
    <row r="372" spans="1:14" x14ac:dyDescent="0.25">
      <c r="A372" s="52">
        <v>371</v>
      </c>
      <c r="B372" s="52">
        <v>644160</v>
      </c>
      <c r="C372" s="52" t="s">
        <v>868</v>
      </c>
      <c r="D372" s="55" t="s">
        <v>26</v>
      </c>
      <c r="E372" s="55" t="s">
        <v>27</v>
      </c>
      <c r="F372" s="55" t="s">
        <v>869</v>
      </c>
      <c r="G372" s="52" t="s">
        <v>29</v>
      </c>
      <c r="H372" s="54">
        <v>46177</v>
      </c>
      <c r="I372" s="53">
        <v>46174</v>
      </c>
      <c r="J372" s="52" t="s">
        <v>30</v>
      </c>
      <c r="K372" s="52" t="s">
        <v>788</v>
      </c>
      <c r="L372" s="52" t="s">
        <v>40</v>
      </c>
      <c r="M372" s="52" t="s">
        <v>30</v>
      </c>
      <c r="N372" s="56">
        <f t="shared" ca="1" si="5"/>
        <v>82</v>
      </c>
    </row>
    <row r="373" spans="1:14" x14ac:dyDescent="0.25">
      <c r="A373" s="52">
        <v>372</v>
      </c>
      <c r="B373" s="52">
        <v>644162</v>
      </c>
      <c r="C373" s="52" t="s">
        <v>870</v>
      </c>
      <c r="D373" s="55" t="s">
        <v>26</v>
      </c>
      <c r="E373" s="55" t="s">
        <v>27</v>
      </c>
      <c r="F373" s="55" t="s">
        <v>871</v>
      </c>
      <c r="G373" s="52" t="s">
        <v>29</v>
      </c>
      <c r="H373" s="54">
        <v>46177</v>
      </c>
      <c r="I373" s="53">
        <v>46174</v>
      </c>
      <c r="J373" s="52" t="s">
        <v>77</v>
      </c>
      <c r="K373" s="52" t="s">
        <v>863</v>
      </c>
      <c r="L373" s="52" t="s">
        <v>40</v>
      </c>
      <c r="M373" s="52" t="s">
        <v>30</v>
      </c>
      <c r="N373" s="56">
        <f t="shared" ca="1" si="5"/>
        <v>82</v>
      </c>
    </row>
    <row r="374" spans="1:14" x14ac:dyDescent="0.25">
      <c r="A374" s="52">
        <v>373</v>
      </c>
      <c r="B374" s="52">
        <v>644012</v>
      </c>
      <c r="C374" s="52" t="s">
        <v>872</v>
      </c>
      <c r="D374" s="55" t="s">
        <v>26</v>
      </c>
      <c r="E374" s="55" t="s">
        <v>27</v>
      </c>
      <c r="F374" s="55" t="s">
        <v>873</v>
      </c>
      <c r="G374" s="52" t="s">
        <v>29</v>
      </c>
      <c r="H374" s="54">
        <v>46177</v>
      </c>
      <c r="I374" s="53">
        <v>46173</v>
      </c>
      <c r="J374" s="52" t="s">
        <v>30</v>
      </c>
      <c r="K374" s="52" t="s">
        <v>30</v>
      </c>
      <c r="L374" s="52" t="s">
        <v>579</v>
      </c>
      <c r="M374" s="52" t="s">
        <v>30</v>
      </c>
      <c r="N374" s="56">
        <f t="shared" ca="1" si="5"/>
        <v>83</v>
      </c>
    </row>
    <row r="375" spans="1:14" x14ac:dyDescent="0.25">
      <c r="A375" s="52">
        <v>374</v>
      </c>
      <c r="B375" s="52">
        <v>496892</v>
      </c>
      <c r="C375" s="52" t="s">
        <v>874</v>
      </c>
      <c r="D375" s="55" t="s">
        <v>26</v>
      </c>
      <c r="E375" s="55" t="s">
        <v>27</v>
      </c>
      <c r="F375" s="55" t="s">
        <v>875</v>
      </c>
      <c r="G375" s="52" t="s">
        <v>29</v>
      </c>
      <c r="H375" s="54" t="s">
        <v>876</v>
      </c>
      <c r="I375" s="53">
        <v>46175</v>
      </c>
      <c r="J375" s="52" t="s">
        <v>30</v>
      </c>
      <c r="K375" s="52" t="s">
        <v>30</v>
      </c>
      <c r="L375" s="52" t="s">
        <v>579</v>
      </c>
      <c r="M375" s="52" t="s">
        <v>30</v>
      </c>
      <c r="N375" s="56">
        <f t="shared" ca="1" si="5"/>
        <v>81</v>
      </c>
    </row>
    <row r="376" spans="1:14" x14ac:dyDescent="0.25">
      <c r="A376" s="52">
        <v>375</v>
      </c>
      <c r="B376" s="52">
        <v>606909</v>
      </c>
      <c r="C376" s="52" t="s">
        <v>877</v>
      </c>
      <c r="D376" s="55" t="s">
        <v>26</v>
      </c>
      <c r="E376" s="55" t="s">
        <v>27</v>
      </c>
      <c r="F376" s="55" t="s">
        <v>878</v>
      </c>
      <c r="G376" s="52" t="s">
        <v>29</v>
      </c>
      <c r="H376" s="54" t="s">
        <v>876</v>
      </c>
      <c r="I376" s="53">
        <v>46175</v>
      </c>
      <c r="J376" s="52" t="s">
        <v>77</v>
      </c>
      <c r="K376" s="52" t="s">
        <v>863</v>
      </c>
      <c r="L376" s="52" t="s">
        <v>40</v>
      </c>
      <c r="M376" s="52" t="s">
        <v>30</v>
      </c>
      <c r="N376" s="56">
        <f t="shared" ca="1" si="5"/>
        <v>81</v>
      </c>
    </row>
    <row r="377" spans="1:14" x14ac:dyDescent="0.25">
      <c r="A377" s="52">
        <v>376</v>
      </c>
      <c r="B377" s="52">
        <v>644206</v>
      </c>
      <c r="C377" s="52" t="s">
        <v>879</v>
      </c>
      <c r="D377" s="55" t="s">
        <v>26</v>
      </c>
      <c r="E377" s="55" t="s">
        <v>27</v>
      </c>
      <c r="F377" s="55" t="s">
        <v>880</v>
      </c>
      <c r="G377" s="52" t="s">
        <v>29</v>
      </c>
      <c r="H377" s="54" t="s">
        <v>876</v>
      </c>
      <c r="I377" s="53">
        <v>46175</v>
      </c>
      <c r="J377" s="52" t="s">
        <v>77</v>
      </c>
      <c r="K377" s="52" t="s">
        <v>837</v>
      </c>
      <c r="L377" s="52" t="s">
        <v>40</v>
      </c>
      <c r="M377" s="52" t="s">
        <v>30</v>
      </c>
      <c r="N377" s="56">
        <f t="shared" ca="1" si="5"/>
        <v>81</v>
      </c>
    </row>
    <row r="378" spans="1:14" x14ac:dyDescent="0.25">
      <c r="A378" s="52">
        <v>377</v>
      </c>
      <c r="B378" s="52">
        <v>577489</v>
      </c>
      <c r="C378" s="52" t="s">
        <v>881</v>
      </c>
      <c r="D378" s="55" t="s">
        <v>26</v>
      </c>
      <c r="E378" s="55" t="s">
        <v>27</v>
      </c>
      <c r="F378" s="55" t="s">
        <v>882</v>
      </c>
      <c r="G378" s="52" t="s">
        <v>29</v>
      </c>
      <c r="H378" s="54" t="s">
        <v>876</v>
      </c>
      <c r="I378" s="53">
        <v>46175</v>
      </c>
      <c r="J378" s="52" t="s">
        <v>202</v>
      </c>
      <c r="K378" s="52" t="s">
        <v>841</v>
      </c>
      <c r="L378" s="52" t="s">
        <v>40</v>
      </c>
      <c r="M378" s="52" t="s">
        <v>30</v>
      </c>
      <c r="N378" s="56">
        <f t="shared" ca="1" si="5"/>
        <v>81</v>
      </c>
    </row>
    <row r="379" spans="1:14" x14ac:dyDescent="0.25">
      <c r="A379" s="52">
        <v>378</v>
      </c>
      <c r="B379" s="52">
        <v>644161</v>
      </c>
      <c r="C379" s="52" t="s">
        <v>883</v>
      </c>
      <c r="D379" s="55" t="s">
        <v>26</v>
      </c>
      <c r="E379" s="55" t="s">
        <v>27</v>
      </c>
      <c r="F379" s="55" t="s">
        <v>884</v>
      </c>
      <c r="G379" s="52" t="s">
        <v>29</v>
      </c>
      <c r="H379" s="54" t="s">
        <v>876</v>
      </c>
      <c r="I379" s="53">
        <v>46174</v>
      </c>
      <c r="J379" s="52" t="s">
        <v>77</v>
      </c>
      <c r="K379" s="52" t="s">
        <v>863</v>
      </c>
      <c r="L379" s="52" t="s">
        <v>40</v>
      </c>
      <c r="M379" s="52" t="s">
        <v>30</v>
      </c>
      <c r="N379" s="56">
        <f t="shared" ref="N379:N442" ca="1" si="6">IFERROR(TODAY()-I379,"-")</f>
        <v>82</v>
      </c>
    </row>
    <row r="380" spans="1:14" x14ac:dyDescent="0.25">
      <c r="A380" s="52">
        <v>379</v>
      </c>
      <c r="B380" s="52">
        <v>644188</v>
      </c>
      <c r="C380" s="52" t="s">
        <v>885</v>
      </c>
      <c r="D380" s="55" t="s">
        <v>26</v>
      </c>
      <c r="E380" s="55" t="s">
        <v>27</v>
      </c>
      <c r="F380" s="55" t="s">
        <v>886</v>
      </c>
      <c r="G380" s="52" t="s">
        <v>29</v>
      </c>
      <c r="H380" s="54" t="s">
        <v>876</v>
      </c>
      <c r="I380" s="53">
        <v>46175</v>
      </c>
      <c r="J380" s="52" t="s">
        <v>77</v>
      </c>
      <c r="K380" s="52" t="s">
        <v>887</v>
      </c>
      <c r="L380" s="52" t="s">
        <v>40</v>
      </c>
      <c r="M380" s="52" t="s">
        <v>888</v>
      </c>
      <c r="N380" s="56">
        <f t="shared" ca="1" si="6"/>
        <v>81</v>
      </c>
    </row>
    <row r="381" spans="1:14" x14ac:dyDescent="0.25">
      <c r="A381" s="52">
        <v>380</v>
      </c>
      <c r="B381" s="52">
        <v>644187</v>
      </c>
      <c r="C381" s="52" t="s">
        <v>889</v>
      </c>
      <c r="D381" s="55" t="s">
        <v>26</v>
      </c>
      <c r="E381" s="55" t="s">
        <v>27</v>
      </c>
      <c r="F381" s="55" t="s">
        <v>890</v>
      </c>
      <c r="G381" s="52" t="s">
        <v>29</v>
      </c>
      <c r="H381" s="54">
        <v>46181</v>
      </c>
      <c r="I381" s="53">
        <v>46175</v>
      </c>
      <c r="J381" s="52" t="s">
        <v>77</v>
      </c>
      <c r="K381" s="52" t="s">
        <v>739</v>
      </c>
      <c r="L381" s="52" t="s">
        <v>40</v>
      </c>
      <c r="M381" s="52" t="s">
        <v>30</v>
      </c>
      <c r="N381" s="56">
        <f t="shared" ca="1" si="6"/>
        <v>81</v>
      </c>
    </row>
    <row r="382" spans="1:14" x14ac:dyDescent="0.25">
      <c r="A382" s="52">
        <v>381</v>
      </c>
      <c r="B382" s="52">
        <v>505232</v>
      </c>
      <c r="C382" s="52" t="s">
        <v>891</v>
      </c>
      <c r="D382" s="55" t="s">
        <v>26</v>
      </c>
      <c r="E382" s="55" t="s">
        <v>27</v>
      </c>
      <c r="F382" s="55" t="s">
        <v>892</v>
      </c>
      <c r="G382" s="52" t="s">
        <v>29</v>
      </c>
      <c r="H382" s="54" t="s">
        <v>876</v>
      </c>
      <c r="I382" s="53">
        <v>46175</v>
      </c>
      <c r="J382" s="52" t="s">
        <v>77</v>
      </c>
      <c r="K382" s="52" t="s">
        <v>863</v>
      </c>
      <c r="L382" s="52" t="s">
        <v>40</v>
      </c>
      <c r="M382" s="52" t="s">
        <v>30</v>
      </c>
      <c r="N382" s="56">
        <f t="shared" ca="1" si="6"/>
        <v>81</v>
      </c>
    </row>
    <row r="383" spans="1:14" x14ac:dyDescent="0.25">
      <c r="A383" s="52">
        <v>382</v>
      </c>
      <c r="B383" s="52">
        <v>573639</v>
      </c>
      <c r="C383" s="52" t="s">
        <v>893</v>
      </c>
      <c r="D383" s="55" t="s">
        <v>26</v>
      </c>
      <c r="E383" s="55" t="s">
        <v>27</v>
      </c>
      <c r="F383" s="55" t="s">
        <v>894</v>
      </c>
      <c r="G383" s="52" t="s">
        <v>29</v>
      </c>
      <c r="H383" s="54" t="s">
        <v>876</v>
      </c>
      <c r="I383" s="53">
        <v>46175</v>
      </c>
      <c r="J383" s="52" t="s">
        <v>77</v>
      </c>
      <c r="K383" s="52" t="s">
        <v>863</v>
      </c>
      <c r="L383" s="52" t="s">
        <v>40</v>
      </c>
      <c r="M383" s="52" t="s">
        <v>30</v>
      </c>
      <c r="N383" s="56">
        <f t="shared" ca="1" si="6"/>
        <v>81</v>
      </c>
    </row>
    <row r="384" spans="1:14" x14ac:dyDescent="0.25">
      <c r="A384" s="52">
        <v>383</v>
      </c>
      <c r="B384" s="52">
        <v>408545</v>
      </c>
      <c r="C384" s="52" t="s">
        <v>895</v>
      </c>
      <c r="D384" s="55" t="s">
        <v>26</v>
      </c>
      <c r="E384" s="55" t="s">
        <v>27</v>
      </c>
      <c r="F384" s="55" t="s">
        <v>896</v>
      </c>
      <c r="G384" s="52" t="s">
        <v>29</v>
      </c>
      <c r="H384" s="54" t="s">
        <v>876</v>
      </c>
      <c r="I384" s="53">
        <v>46175</v>
      </c>
      <c r="J384" s="52" t="s">
        <v>77</v>
      </c>
      <c r="K384" s="52" t="s">
        <v>788</v>
      </c>
      <c r="L384" s="52" t="s">
        <v>40</v>
      </c>
      <c r="M384" s="52" t="s">
        <v>30</v>
      </c>
      <c r="N384" s="56">
        <f t="shared" ca="1" si="6"/>
        <v>81</v>
      </c>
    </row>
    <row r="385" spans="1:14" x14ac:dyDescent="0.25">
      <c r="A385" s="52">
        <v>384</v>
      </c>
      <c r="B385" s="52">
        <v>644190</v>
      </c>
      <c r="C385" s="52" t="s">
        <v>897</v>
      </c>
      <c r="D385" s="55" t="s">
        <v>26</v>
      </c>
      <c r="E385" s="55" t="s">
        <v>27</v>
      </c>
      <c r="F385" s="55" t="s">
        <v>898</v>
      </c>
      <c r="G385" s="52" t="s">
        <v>29</v>
      </c>
      <c r="H385" s="54" t="s">
        <v>876</v>
      </c>
      <c r="I385" s="53">
        <v>46175</v>
      </c>
      <c r="J385" s="52" t="s">
        <v>77</v>
      </c>
      <c r="K385" s="52" t="s">
        <v>788</v>
      </c>
      <c r="L385" s="52" t="s">
        <v>40</v>
      </c>
      <c r="M385" s="52" t="s">
        <v>30</v>
      </c>
      <c r="N385" s="56">
        <f t="shared" ca="1" si="6"/>
        <v>81</v>
      </c>
    </row>
    <row r="386" spans="1:14" x14ac:dyDescent="0.25">
      <c r="A386" s="52">
        <v>385</v>
      </c>
      <c r="B386" s="52">
        <v>503511</v>
      </c>
      <c r="C386" s="52" t="s">
        <v>899</v>
      </c>
      <c r="D386" s="55" t="s">
        <v>26</v>
      </c>
      <c r="E386" s="55" t="s">
        <v>27</v>
      </c>
      <c r="F386" s="55" t="s">
        <v>900</v>
      </c>
      <c r="G386" s="52" t="s">
        <v>29</v>
      </c>
      <c r="H386" s="54" t="s">
        <v>876</v>
      </c>
      <c r="I386" s="53">
        <v>46175</v>
      </c>
      <c r="J386" s="52" t="s">
        <v>202</v>
      </c>
      <c r="K386" s="52" t="s">
        <v>901</v>
      </c>
      <c r="L386" s="52" t="s">
        <v>66</v>
      </c>
      <c r="M386" s="52" t="s">
        <v>30</v>
      </c>
      <c r="N386" s="56">
        <f t="shared" ca="1" si="6"/>
        <v>81</v>
      </c>
    </row>
    <row r="387" spans="1:14" x14ac:dyDescent="0.25">
      <c r="A387" s="52">
        <v>386</v>
      </c>
      <c r="B387" s="52">
        <v>593305</v>
      </c>
      <c r="C387" s="52" t="s">
        <v>902</v>
      </c>
      <c r="D387" s="55" t="s">
        <v>26</v>
      </c>
      <c r="E387" s="55" t="s">
        <v>27</v>
      </c>
      <c r="F387" s="55" t="s">
        <v>903</v>
      </c>
      <c r="G387" s="52" t="s">
        <v>29</v>
      </c>
      <c r="H387" s="54" t="s">
        <v>876</v>
      </c>
      <c r="I387" s="53">
        <v>46175</v>
      </c>
      <c r="J387" s="52" t="s">
        <v>202</v>
      </c>
      <c r="K387" s="52" t="s">
        <v>901</v>
      </c>
      <c r="L387" s="52" t="s">
        <v>66</v>
      </c>
      <c r="M387" s="52" t="s">
        <v>30</v>
      </c>
      <c r="N387" s="56">
        <f t="shared" ca="1" si="6"/>
        <v>81</v>
      </c>
    </row>
    <row r="388" spans="1:14" x14ac:dyDescent="0.25">
      <c r="A388" s="52">
        <v>387</v>
      </c>
      <c r="B388" s="52">
        <v>644183</v>
      </c>
      <c r="C388" s="52" t="s">
        <v>904</v>
      </c>
      <c r="D388" s="55" t="s">
        <v>26</v>
      </c>
      <c r="E388" s="55" t="s">
        <v>27</v>
      </c>
      <c r="F388" s="55" t="s">
        <v>905</v>
      </c>
      <c r="G388" s="52" t="s">
        <v>29</v>
      </c>
      <c r="H388" s="54">
        <v>46181</v>
      </c>
      <c r="I388" s="53">
        <v>46175</v>
      </c>
      <c r="J388" s="52" t="s">
        <v>77</v>
      </c>
      <c r="K388" s="52" t="s">
        <v>739</v>
      </c>
      <c r="L388" s="52" t="s">
        <v>40</v>
      </c>
      <c r="M388" s="52" t="s">
        <v>30</v>
      </c>
      <c r="N388" s="56">
        <f t="shared" ca="1" si="6"/>
        <v>81</v>
      </c>
    </row>
    <row r="389" spans="1:14" x14ac:dyDescent="0.25">
      <c r="A389" s="52">
        <v>388</v>
      </c>
      <c r="B389" s="52">
        <v>644179</v>
      </c>
      <c r="C389" s="52" t="s">
        <v>906</v>
      </c>
      <c r="D389" s="55" t="s">
        <v>26</v>
      </c>
      <c r="E389" s="55" t="s">
        <v>27</v>
      </c>
      <c r="F389" s="55" t="s">
        <v>907</v>
      </c>
      <c r="G389" s="52" t="s">
        <v>29</v>
      </c>
      <c r="H389" s="54" t="s">
        <v>876</v>
      </c>
      <c r="I389" s="53">
        <v>46175</v>
      </c>
      <c r="J389" s="52" t="s">
        <v>77</v>
      </c>
      <c r="K389" s="52" t="s">
        <v>739</v>
      </c>
      <c r="L389" s="52" t="s">
        <v>40</v>
      </c>
      <c r="M389" s="52" t="s">
        <v>30</v>
      </c>
      <c r="N389" s="56">
        <f t="shared" ca="1" si="6"/>
        <v>81</v>
      </c>
    </row>
    <row r="390" spans="1:14" x14ac:dyDescent="0.25">
      <c r="A390" s="52">
        <v>389</v>
      </c>
      <c r="B390" s="52">
        <v>633143</v>
      </c>
      <c r="C390" s="52" t="s">
        <v>908</v>
      </c>
      <c r="D390" s="55" t="s">
        <v>26</v>
      </c>
      <c r="E390" s="55" t="s">
        <v>27</v>
      </c>
      <c r="F390" s="55" t="s">
        <v>909</v>
      </c>
      <c r="G390" s="52" t="s">
        <v>29</v>
      </c>
      <c r="H390" s="54" t="s">
        <v>876</v>
      </c>
      <c r="I390" s="53">
        <v>46175</v>
      </c>
      <c r="J390" s="52" t="s">
        <v>202</v>
      </c>
      <c r="K390" s="52" t="s">
        <v>910</v>
      </c>
      <c r="L390" s="52" t="s">
        <v>40</v>
      </c>
      <c r="M390" s="52" t="s">
        <v>30</v>
      </c>
      <c r="N390" s="56">
        <f t="shared" ca="1" si="6"/>
        <v>81</v>
      </c>
    </row>
    <row r="391" spans="1:14" x14ac:dyDescent="0.25">
      <c r="A391" s="52">
        <v>390</v>
      </c>
      <c r="B391" s="52">
        <v>644184</v>
      </c>
      <c r="C391" s="52" t="s">
        <v>911</v>
      </c>
      <c r="D391" s="55" t="s">
        <v>26</v>
      </c>
      <c r="E391" s="55" t="s">
        <v>27</v>
      </c>
      <c r="F391" s="55" t="s">
        <v>912</v>
      </c>
      <c r="G391" s="52" t="s">
        <v>29</v>
      </c>
      <c r="H391" s="54" t="s">
        <v>876</v>
      </c>
      <c r="I391" s="53">
        <v>46175</v>
      </c>
      <c r="J391" s="52" t="s">
        <v>77</v>
      </c>
      <c r="K391" s="52" t="s">
        <v>739</v>
      </c>
      <c r="L391" s="52" t="s">
        <v>40</v>
      </c>
      <c r="M391" s="52" t="s">
        <v>30</v>
      </c>
      <c r="N391" s="56">
        <f t="shared" ca="1" si="6"/>
        <v>81</v>
      </c>
    </row>
    <row r="392" spans="1:14" x14ac:dyDescent="0.25">
      <c r="A392" s="52">
        <v>391</v>
      </c>
      <c r="B392" s="52">
        <v>644186</v>
      </c>
      <c r="C392" s="52" t="s">
        <v>913</v>
      </c>
      <c r="D392" s="55" t="s">
        <v>26</v>
      </c>
      <c r="E392" s="55" t="s">
        <v>27</v>
      </c>
      <c r="F392" s="55" t="s">
        <v>914</v>
      </c>
      <c r="G392" s="52" t="s">
        <v>29</v>
      </c>
      <c r="H392" s="54" t="s">
        <v>876</v>
      </c>
      <c r="I392" s="53">
        <v>46175</v>
      </c>
      <c r="J392" s="52" t="s">
        <v>77</v>
      </c>
      <c r="K392" s="52" t="s">
        <v>739</v>
      </c>
      <c r="L392" s="52" t="s">
        <v>40</v>
      </c>
      <c r="M392" s="52" t="s">
        <v>30</v>
      </c>
      <c r="N392" s="56">
        <f t="shared" ca="1" si="6"/>
        <v>81</v>
      </c>
    </row>
    <row r="393" spans="1:14" x14ac:dyDescent="0.25">
      <c r="A393" s="52">
        <v>392</v>
      </c>
      <c r="B393" s="52">
        <v>644193</v>
      </c>
      <c r="C393" s="52" t="s">
        <v>915</v>
      </c>
      <c r="D393" s="55" t="s">
        <v>26</v>
      </c>
      <c r="E393" s="55" t="s">
        <v>27</v>
      </c>
      <c r="F393" s="55" t="s">
        <v>916</v>
      </c>
      <c r="G393" s="52" t="s">
        <v>29</v>
      </c>
      <c r="H393" s="54" t="s">
        <v>876</v>
      </c>
      <c r="I393" s="53">
        <v>46175</v>
      </c>
      <c r="J393" s="52" t="s">
        <v>77</v>
      </c>
      <c r="K393" s="52" t="s">
        <v>739</v>
      </c>
      <c r="L393" s="52" t="s">
        <v>40</v>
      </c>
      <c r="M393" s="52" t="s">
        <v>30</v>
      </c>
      <c r="N393" s="56">
        <f t="shared" ca="1" si="6"/>
        <v>81</v>
      </c>
    </row>
    <row r="394" spans="1:14" x14ac:dyDescent="0.25">
      <c r="A394" s="52">
        <v>393</v>
      </c>
      <c r="B394" s="52">
        <v>608103</v>
      </c>
      <c r="C394" s="52" t="s">
        <v>917</v>
      </c>
      <c r="D394" s="55" t="s">
        <v>26</v>
      </c>
      <c r="E394" s="55" t="s">
        <v>27</v>
      </c>
      <c r="F394" s="55" t="s">
        <v>918</v>
      </c>
      <c r="G394" s="52" t="s">
        <v>29</v>
      </c>
      <c r="H394" s="54" t="s">
        <v>876</v>
      </c>
      <c r="I394" s="53">
        <v>46175</v>
      </c>
      <c r="J394" s="52" t="s">
        <v>77</v>
      </c>
      <c r="K394" s="52" t="s">
        <v>739</v>
      </c>
      <c r="L394" s="52" t="s">
        <v>40</v>
      </c>
      <c r="M394" s="52" t="s">
        <v>30</v>
      </c>
      <c r="N394" s="56">
        <f t="shared" ca="1" si="6"/>
        <v>81</v>
      </c>
    </row>
    <row r="395" spans="1:14" x14ac:dyDescent="0.25">
      <c r="A395" s="52">
        <v>394</v>
      </c>
      <c r="B395" s="52">
        <v>644196</v>
      </c>
      <c r="C395" s="52" t="s">
        <v>919</v>
      </c>
      <c r="D395" s="55" t="s">
        <v>26</v>
      </c>
      <c r="E395" s="55" t="s">
        <v>27</v>
      </c>
      <c r="F395" s="55" t="s">
        <v>920</v>
      </c>
      <c r="G395" s="52" t="s">
        <v>29</v>
      </c>
      <c r="H395" s="54" t="s">
        <v>876</v>
      </c>
      <c r="I395" s="53">
        <v>46175</v>
      </c>
      <c r="J395" s="52" t="s">
        <v>77</v>
      </c>
      <c r="K395" s="52" t="s">
        <v>739</v>
      </c>
      <c r="L395" s="52" t="s">
        <v>40</v>
      </c>
      <c r="M395" s="52" t="s">
        <v>30</v>
      </c>
      <c r="N395" s="56">
        <f t="shared" ca="1" si="6"/>
        <v>81</v>
      </c>
    </row>
    <row r="396" spans="1:14" x14ac:dyDescent="0.25">
      <c r="A396" s="52">
        <v>395</v>
      </c>
      <c r="B396" s="52">
        <v>644195</v>
      </c>
      <c r="C396" s="52" t="s">
        <v>921</v>
      </c>
      <c r="D396" s="55" t="s">
        <v>26</v>
      </c>
      <c r="E396" s="55" t="s">
        <v>27</v>
      </c>
      <c r="F396" s="55" t="s">
        <v>922</v>
      </c>
      <c r="G396" s="52" t="s">
        <v>29</v>
      </c>
      <c r="H396" s="54" t="s">
        <v>876</v>
      </c>
      <c r="I396" s="53">
        <v>46175</v>
      </c>
      <c r="J396" s="52" t="s">
        <v>77</v>
      </c>
      <c r="K396" s="52" t="s">
        <v>739</v>
      </c>
      <c r="L396" s="52" t="s">
        <v>40</v>
      </c>
      <c r="M396" s="52" t="s">
        <v>30</v>
      </c>
      <c r="N396" s="56">
        <f t="shared" ca="1" si="6"/>
        <v>81</v>
      </c>
    </row>
    <row r="397" spans="1:14" x14ac:dyDescent="0.25">
      <c r="A397" s="52">
        <v>396</v>
      </c>
      <c r="B397" s="52">
        <v>644200</v>
      </c>
      <c r="C397" s="52" t="s">
        <v>923</v>
      </c>
      <c r="D397" s="55" t="s">
        <v>26</v>
      </c>
      <c r="E397" s="55" t="s">
        <v>27</v>
      </c>
      <c r="F397" s="55" t="s">
        <v>924</v>
      </c>
      <c r="G397" s="52" t="s">
        <v>29</v>
      </c>
      <c r="H397" s="54" t="s">
        <v>876</v>
      </c>
      <c r="I397" s="53">
        <v>46175</v>
      </c>
      <c r="J397" s="52" t="s">
        <v>77</v>
      </c>
      <c r="K397" s="52" t="s">
        <v>739</v>
      </c>
      <c r="L397" s="52" t="s">
        <v>40</v>
      </c>
      <c r="M397" s="52" t="s">
        <v>30</v>
      </c>
      <c r="N397" s="56">
        <f t="shared" ca="1" si="6"/>
        <v>81</v>
      </c>
    </row>
    <row r="398" spans="1:14" x14ac:dyDescent="0.25">
      <c r="A398" s="52">
        <v>397</v>
      </c>
      <c r="B398" s="52">
        <v>644256</v>
      </c>
      <c r="C398" s="52" t="s">
        <v>925</v>
      </c>
      <c r="D398" s="55" t="s">
        <v>26</v>
      </c>
      <c r="E398" s="55" t="s">
        <v>27</v>
      </c>
      <c r="F398" s="55" t="s">
        <v>926</v>
      </c>
      <c r="G398" s="52" t="s">
        <v>29</v>
      </c>
      <c r="H398" s="54">
        <v>46183</v>
      </c>
      <c r="I398" s="53">
        <v>46178</v>
      </c>
      <c r="J398" s="52" t="s">
        <v>77</v>
      </c>
      <c r="K398" s="52" t="s">
        <v>852</v>
      </c>
      <c r="L398" s="52" t="s">
        <v>40</v>
      </c>
      <c r="M398" s="52" t="s">
        <v>30</v>
      </c>
      <c r="N398" s="56">
        <f t="shared" ca="1" si="6"/>
        <v>78</v>
      </c>
    </row>
    <row r="399" spans="1:14" x14ac:dyDescent="0.25">
      <c r="A399" s="52">
        <v>398</v>
      </c>
      <c r="B399" s="52">
        <v>644266</v>
      </c>
      <c r="C399" s="52" t="s">
        <v>927</v>
      </c>
      <c r="D399" s="55" t="s">
        <v>26</v>
      </c>
      <c r="E399" s="55" t="s">
        <v>27</v>
      </c>
      <c r="F399" s="55" t="s">
        <v>928</v>
      </c>
      <c r="G399" s="52" t="s">
        <v>29</v>
      </c>
      <c r="H399" s="54">
        <v>46183</v>
      </c>
      <c r="I399" s="53">
        <v>46178</v>
      </c>
      <c r="J399" s="52" t="s">
        <v>202</v>
      </c>
      <c r="K399" s="52" t="s">
        <v>929</v>
      </c>
      <c r="L399" s="52" t="s">
        <v>66</v>
      </c>
      <c r="M399" s="52" t="s">
        <v>30</v>
      </c>
      <c r="N399" s="56">
        <f t="shared" ca="1" si="6"/>
        <v>78</v>
      </c>
    </row>
    <row r="400" spans="1:14" x14ac:dyDescent="0.25">
      <c r="A400" s="52">
        <v>399</v>
      </c>
      <c r="B400" s="52">
        <v>644257</v>
      </c>
      <c r="C400" s="52" t="s">
        <v>930</v>
      </c>
      <c r="D400" s="55" t="s">
        <v>26</v>
      </c>
      <c r="E400" s="55" t="s">
        <v>27</v>
      </c>
      <c r="F400" s="55" t="s">
        <v>931</v>
      </c>
      <c r="G400" s="52" t="s">
        <v>29</v>
      </c>
      <c r="H400" s="54">
        <v>46183</v>
      </c>
      <c r="I400" s="53">
        <v>46178</v>
      </c>
      <c r="J400" s="52" t="s">
        <v>77</v>
      </c>
      <c r="K400" s="52" t="s">
        <v>852</v>
      </c>
      <c r="L400" s="52" t="s">
        <v>40</v>
      </c>
      <c r="M400" s="52" t="s">
        <v>30</v>
      </c>
      <c r="N400" s="56">
        <f t="shared" ca="1" si="6"/>
        <v>78</v>
      </c>
    </row>
    <row r="401" spans="1:14" x14ac:dyDescent="0.25">
      <c r="A401" s="52">
        <v>400</v>
      </c>
      <c r="B401" s="52">
        <v>644269</v>
      </c>
      <c r="C401" s="52" t="s">
        <v>932</v>
      </c>
      <c r="D401" s="55" t="s">
        <v>26</v>
      </c>
      <c r="E401" s="55" t="s">
        <v>27</v>
      </c>
      <c r="F401" s="55" t="s">
        <v>933</v>
      </c>
      <c r="G401" s="52" t="s">
        <v>29</v>
      </c>
      <c r="H401" s="54">
        <v>46183</v>
      </c>
      <c r="I401" s="53">
        <v>46178</v>
      </c>
      <c r="J401" s="52" t="s">
        <v>30</v>
      </c>
      <c r="K401" s="52" t="s">
        <v>30</v>
      </c>
      <c r="L401" s="52" t="s">
        <v>579</v>
      </c>
      <c r="M401" s="52" t="s">
        <v>30</v>
      </c>
      <c r="N401" s="56">
        <f t="shared" ca="1" si="6"/>
        <v>78</v>
      </c>
    </row>
    <row r="402" spans="1:14" x14ac:dyDescent="0.25">
      <c r="A402" s="52">
        <v>401</v>
      </c>
      <c r="B402" s="52">
        <v>629084</v>
      </c>
      <c r="C402" s="52" t="s">
        <v>934</v>
      </c>
      <c r="D402" s="55" t="s">
        <v>26</v>
      </c>
      <c r="E402" s="55" t="s">
        <v>27</v>
      </c>
      <c r="F402" s="55" t="s">
        <v>935</v>
      </c>
      <c r="G402" s="52" t="s">
        <v>76</v>
      </c>
      <c r="H402" s="54" t="s">
        <v>30</v>
      </c>
      <c r="I402" s="53" t="s">
        <v>30</v>
      </c>
      <c r="J402" s="52" t="s">
        <v>77</v>
      </c>
      <c r="K402" s="52" t="s">
        <v>788</v>
      </c>
      <c r="L402" s="52" t="s">
        <v>40</v>
      </c>
      <c r="M402" s="52" t="s">
        <v>30</v>
      </c>
      <c r="N402" s="56" t="str">
        <f t="shared" ca="1" si="6"/>
        <v>-</v>
      </c>
    </row>
    <row r="403" spans="1:14" x14ac:dyDescent="0.25">
      <c r="A403" s="52">
        <v>402</v>
      </c>
      <c r="B403" s="52">
        <v>644202</v>
      </c>
      <c r="C403" s="52" t="s">
        <v>936</v>
      </c>
      <c r="D403" s="55" t="s">
        <v>26</v>
      </c>
      <c r="E403" s="55" t="s">
        <v>27</v>
      </c>
      <c r="F403" s="55" t="s">
        <v>937</v>
      </c>
      <c r="G403" s="52" t="s">
        <v>29</v>
      </c>
      <c r="H403" s="54">
        <v>46181</v>
      </c>
      <c r="I403" s="53">
        <v>46175</v>
      </c>
      <c r="J403" s="52" t="s">
        <v>77</v>
      </c>
      <c r="K403" s="52" t="s">
        <v>852</v>
      </c>
      <c r="L403" s="52" t="s">
        <v>40</v>
      </c>
      <c r="M403" s="52" t="s">
        <v>938</v>
      </c>
      <c r="N403" s="56">
        <f t="shared" ca="1" si="6"/>
        <v>81</v>
      </c>
    </row>
    <row r="404" spans="1:14" x14ac:dyDescent="0.25">
      <c r="A404" s="52">
        <v>403</v>
      </c>
      <c r="B404" s="52">
        <v>257357</v>
      </c>
      <c r="C404" s="52" t="s">
        <v>939</v>
      </c>
      <c r="D404" s="55" t="s">
        <v>26</v>
      </c>
      <c r="E404" s="55" t="s">
        <v>27</v>
      </c>
      <c r="F404" s="55" t="s">
        <v>940</v>
      </c>
      <c r="G404" s="52" t="s">
        <v>76</v>
      </c>
      <c r="H404" s="54" t="s">
        <v>30</v>
      </c>
      <c r="I404" s="53">
        <v>46174</v>
      </c>
      <c r="J404" s="52" t="s">
        <v>30</v>
      </c>
      <c r="K404" s="52" t="s">
        <v>739</v>
      </c>
      <c r="L404" s="52" t="s">
        <v>40</v>
      </c>
      <c r="M404" s="52" t="s">
        <v>30</v>
      </c>
      <c r="N404" s="56">
        <f t="shared" ca="1" si="6"/>
        <v>82</v>
      </c>
    </row>
    <row r="405" spans="1:14" x14ac:dyDescent="0.25">
      <c r="A405" s="52">
        <v>404</v>
      </c>
      <c r="B405" s="52">
        <v>644178</v>
      </c>
      <c r="C405" s="52" t="s">
        <v>941</v>
      </c>
      <c r="D405" s="55" t="s">
        <v>26</v>
      </c>
      <c r="E405" s="55" t="s">
        <v>27</v>
      </c>
      <c r="F405" s="55" t="s">
        <v>942</v>
      </c>
      <c r="G405" s="52" t="s">
        <v>29</v>
      </c>
      <c r="H405" s="54">
        <v>46181</v>
      </c>
      <c r="I405" s="53">
        <v>46175</v>
      </c>
      <c r="J405" s="52" t="s">
        <v>77</v>
      </c>
      <c r="K405" s="52" t="s">
        <v>943</v>
      </c>
      <c r="L405" s="52" t="s">
        <v>227</v>
      </c>
      <c r="M405" s="52" t="s">
        <v>944</v>
      </c>
      <c r="N405" s="56">
        <f t="shared" ca="1" si="6"/>
        <v>81</v>
      </c>
    </row>
    <row r="406" spans="1:14" x14ac:dyDescent="0.25">
      <c r="A406" s="52">
        <v>405</v>
      </c>
      <c r="B406" s="52">
        <v>537847</v>
      </c>
      <c r="C406" s="52" t="s">
        <v>945</v>
      </c>
      <c r="D406" s="55" t="s">
        <v>26</v>
      </c>
      <c r="E406" s="55" t="s">
        <v>27</v>
      </c>
      <c r="F406" s="55" t="s">
        <v>946</v>
      </c>
      <c r="G406" s="52" t="s">
        <v>29</v>
      </c>
      <c r="H406" s="54">
        <v>46178</v>
      </c>
      <c r="I406" s="53">
        <v>46175</v>
      </c>
      <c r="J406" s="52" t="s">
        <v>77</v>
      </c>
      <c r="K406" s="52" t="s">
        <v>852</v>
      </c>
      <c r="L406" s="52" t="s">
        <v>40</v>
      </c>
      <c r="M406" s="52" t="s">
        <v>947</v>
      </c>
      <c r="N406" s="56">
        <f t="shared" ca="1" si="6"/>
        <v>81</v>
      </c>
    </row>
    <row r="407" spans="1:14" x14ac:dyDescent="0.25">
      <c r="A407" s="52">
        <v>406</v>
      </c>
      <c r="B407" s="52">
        <v>644293</v>
      </c>
      <c r="C407" s="52" t="s">
        <v>948</v>
      </c>
      <c r="D407" s="55" t="s">
        <v>26</v>
      </c>
      <c r="E407" s="55" t="s">
        <v>27</v>
      </c>
      <c r="F407" s="55" t="s">
        <v>949</v>
      </c>
      <c r="G407" s="52" t="s">
        <v>29</v>
      </c>
      <c r="H407" s="54">
        <v>46186</v>
      </c>
      <c r="I407" s="53">
        <v>46181</v>
      </c>
      <c r="J407" s="52" t="s">
        <v>77</v>
      </c>
      <c r="K407" s="52" t="s">
        <v>852</v>
      </c>
      <c r="L407" s="52" t="s">
        <v>40</v>
      </c>
      <c r="M407" s="52" t="s">
        <v>30</v>
      </c>
      <c r="N407" s="56">
        <f t="shared" ca="1" si="6"/>
        <v>75</v>
      </c>
    </row>
    <row r="408" spans="1:14" x14ac:dyDescent="0.25">
      <c r="A408" s="52">
        <v>407</v>
      </c>
      <c r="B408" s="52">
        <v>644299</v>
      </c>
      <c r="C408" s="52" t="s">
        <v>950</v>
      </c>
      <c r="D408" s="55" t="s">
        <v>26</v>
      </c>
      <c r="E408" s="55" t="s">
        <v>27</v>
      </c>
      <c r="F408" s="55" t="s">
        <v>951</v>
      </c>
      <c r="G408" s="52" t="s">
        <v>29</v>
      </c>
      <c r="H408" s="54">
        <v>46185</v>
      </c>
      <c r="I408" s="53">
        <v>46181</v>
      </c>
      <c r="J408" s="52" t="s">
        <v>202</v>
      </c>
      <c r="K408" s="52" t="s">
        <v>929</v>
      </c>
      <c r="L408" s="52" t="s">
        <v>66</v>
      </c>
      <c r="M408" s="52" t="s">
        <v>30</v>
      </c>
      <c r="N408" s="56">
        <f t="shared" ca="1" si="6"/>
        <v>75</v>
      </c>
    </row>
    <row r="409" spans="1:14" x14ac:dyDescent="0.25">
      <c r="A409" s="52">
        <v>408</v>
      </c>
      <c r="B409" s="52">
        <v>607581</v>
      </c>
      <c r="C409" s="52" t="s">
        <v>952</v>
      </c>
      <c r="D409" s="55" t="s">
        <v>26</v>
      </c>
      <c r="E409" s="55" t="s">
        <v>27</v>
      </c>
      <c r="F409" s="55" t="s">
        <v>953</v>
      </c>
      <c r="G409" s="52" t="s">
        <v>29</v>
      </c>
      <c r="H409" s="54">
        <v>46186</v>
      </c>
      <c r="I409" s="53">
        <v>46181</v>
      </c>
      <c r="J409" s="52" t="s">
        <v>77</v>
      </c>
      <c r="K409" s="52" t="s">
        <v>852</v>
      </c>
      <c r="L409" s="52" t="s">
        <v>40</v>
      </c>
      <c r="M409" s="52" t="s">
        <v>30</v>
      </c>
      <c r="N409" s="56">
        <f t="shared" ca="1" si="6"/>
        <v>75</v>
      </c>
    </row>
    <row r="410" spans="1:14" x14ac:dyDescent="0.25">
      <c r="A410" s="52">
        <v>409</v>
      </c>
      <c r="B410" s="52">
        <v>602154</v>
      </c>
      <c r="C410" s="52" t="s">
        <v>954</v>
      </c>
      <c r="D410" s="55" t="s">
        <v>26</v>
      </c>
      <c r="E410" s="55" t="s">
        <v>27</v>
      </c>
      <c r="F410" s="55" t="s">
        <v>955</v>
      </c>
      <c r="G410" s="52" t="s">
        <v>29</v>
      </c>
      <c r="H410" s="54">
        <v>46186</v>
      </c>
      <c r="I410" s="53">
        <v>46181</v>
      </c>
      <c r="J410" s="52" t="s">
        <v>30</v>
      </c>
      <c r="K410" s="52" t="s">
        <v>739</v>
      </c>
      <c r="L410" s="52" t="s">
        <v>40</v>
      </c>
      <c r="M410" s="52" t="s">
        <v>30</v>
      </c>
      <c r="N410" s="56">
        <f t="shared" ca="1" si="6"/>
        <v>75</v>
      </c>
    </row>
    <row r="411" spans="1:14" x14ac:dyDescent="0.25">
      <c r="A411" s="52">
        <v>410</v>
      </c>
      <c r="B411" s="52">
        <v>539114</v>
      </c>
      <c r="C411" s="52" t="s">
        <v>956</v>
      </c>
      <c r="D411" s="55" t="s">
        <v>26</v>
      </c>
      <c r="E411" s="55" t="s">
        <v>27</v>
      </c>
      <c r="F411" s="55" t="s">
        <v>957</v>
      </c>
      <c r="G411" s="52" t="s">
        <v>29</v>
      </c>
      <c r="H411" s="54">
        <v>46186</v>
      </c>
      <c r="I411" s="53">
        <v>46181</v>
      </c>
      <c r="J411" s="52" t="s">
        <v>77</v>
      </c>
      <c r="K411" s="52" t="s">
        <v>852</v>
      </c>
      <c r="L411" s="52" t="s">
        <v>40</v>
      </c>
      <c r="M411" s="52" t="s">
        <v>30</v>
      </c>
      <c r="N411" s="56">
        <f t="shared" ca="1" si="6"/>
        <v>75</v>
      </c>
    </row>
    <row r="412" spans="1:14" x14ac:dyDescent="0.25">
      <c r="A412" s="52">
        <v>411</v>
      </c>
      <c r="B412" s="52">
        <v>644173</v>
      </c>
      <c r="C412" s="52" t="s">
        <v>958</v>
      </c>
      <c r="D412" s="55" t="s">
        <v>26</v>
      </c>
      <c r="E412" s="55" t="s">
        <v>27</v>
      </c>
      <c r="F412" s="55" t="s">
        <v>959</v>
      </c>
      <c r="G412" s="52" t="s">
        <v>29</v>
      </c>
      <c r="H412" s="54">
        <v>46177</v>
      </c>
      <c r="I412" s="53">
        <v>46174</v>
      </c>
      <c r="J412" s="52" t="s">
        <v>77</v>
      </c>
      <c r="K412" s="52" t="s">
        <v>852</v>
      </c>
      <c r="L412" s="52" t="s">
        <v>40</v>
      </c>
      <c r="M412" s="52" t="s">
        <v>947</v>
      </c>
      <c r="N412" s="56">
        <f t="shared" ca="1" si="6"/>
        <v>82</v>
      </c>
    </row>
    <row r="413" spans="1:14" x14ac:dyDescent="0.25">
      <c r="A413" s="52">
        <v>412</v>
      </c>
      <c r="B413" s="52">
        <v>260041</v>
      </c>
      <c r="C413" s="52" t="s">
        <v>960</v>
      </c>
      <c r="D413" s="55" t="s">
        <v>26</v>
      </c>
      <c r="E413" s="55" t="s">
        <v>27</v>
      </c>
      <c r="F413" s="55" t="s">
        <v>961</v>
      </c>
      <c r="G413" s="52" t="s">
        <v>29</v>
      </c>
      <c r="H413" s="54">
        <v>46177</v>
      </c>
      <c r="I413" s="53">
        <v>46172</v>
      </c>
      <c r="J413" s="52" t="s">
        <v>77</v>
      </c>
      <c r="K413" s="52" t="s">
        <v>852</v>
      </c>
      <c r="L413" s="52" t="s">
        <v>40</v>
      </c>
      <c r="M413" s="52" t="s">
        <v>962</v>
      </c>
      <c r="N413" s="56">
        <f t="shared" ca="1" si="6"/>
        <v>84</v>
      </c>
    </row>
    <row r="414" spans="1:14" x14ac:dyDescent="0.25">
      <c r="A414" s="52">
        <v>413</v>
      </c>
      <c r="B414" s="52">
        <v>644317</v>
      </c>
      <c r="C414" s="52" t="s">
        <v>963</v>
      </c>
      <c r="D414" s="55" t="s">
        <v>26</v>
      </c>
      <c r="E414" s="55" t="s">
        <v>27</v>
      </c>
      <c r="F414" s="55" t="s">
        <v>964</v>
      </c>
      <c r="G414" s="52" t="s">
        <v>29</v>
      </c>
      <c r="H414" s="54" t="s">
        <v>965</v>
      </c>
      <c r="I414" s="53">
        <v>46182</v>
      </c>
      <c r="J414" s="52" t="s">
        <v>77</v>
      </c>
      <c r="K414" s="52" t="s">
        <v>852</v>
      </c>
      <c r="L414" s="52" t="s">
        <v>40</v>
      </c>
      <c r="M414" s="52" t="s">
        <v>30</v>
      </c>
      <c r="N414" s="56">
        <f t="shared" ca="1" si="6"/>
        <v>74</v>
      </c>
    </row>
    <row r="415" spans="1:14" x14ac:dyDescent="0.25">
      <c r="A415" s="52">
        <v>414</v>
      </c>
      <c r="B415" s="52">
        <v>607990</v>
      </c>
      <c r="C415" s="52" t="s">
        <v>966</v>
      </c>
      <c r="D415" s="55" t="s">
        <v>26</v>
      </c>
      <c r="E415" s="55" t="s">
        <v>27</v>
      </c>
      <c r="F415" s="55" t="s">
        <v>967</v>
      </c>
      <c r="G415" s="52" t="s">
        <v>29</v>
      </c>
      <c r="H415" s="54">
        <v>46186</v>
      </c>
      <c r="I415" s="53">
        <v>46042</v>
      </c>
      <c r="J415" s="52" t="s">
        <v>202</v>
      </c>
      <c r="K415" s="52" t="s">
        <v>968</v>
      </c>
      <c r="L415" s="52" t="s">
        <v>40</v>
      </c>
      <c r="M415" s="52" t="s">
        <v>30</v>
      </c>
      <c r="N415" s="56">
        <f t="shared" ca="1" si="6"/>
        <v>214</v>
      </c>
    </row>
    <row r="416" spans="1:14" x14ac:dyDescent="0.25">
      <c r="A416" s="52">
        <v>415</v>
      </c>
      <c r="B416" s="52">
        <v>644319</v>
      </c>
      <c r="C416" s="52" t="s">
        <v>969</v>
      </c>
      <c r="D416" s="55" t="s">
        <v>26</v>
      </c>
      <c r="E416" s="55" t="s">
        <v>27</v>
      </c>
      <c r="F416" s="55" t="s">
        <v>970</v>
      </c>
      <c r="G416" s="52" t="s">
        <v>29</v>
      </c>
      <c r="H416" s="54">
        <v>46188</v>
      </c>
      <c r="I416" s="53">
        <v>46182</v>
      </c>
      <c r="J416" s="52" t="s">
        <v>77</v>
      </c>
      <c r="K416" s="52" t="s">
        <v>852</v>
      </c>
      <c r="L416" s="52" t="s">
        <v>40</v>
      </c>
      <c r="M416" s="52" t="s">
        <v>30</v>
      </c>
      <c r="N416" s="56">
        <f t="shared" ca="1" si="6"/>
        <v>74</v>
      </c>
    </row>
    <row r="417" spans="1:14" x14ac:dyDescent="0.25">
      <c r="A417" s="52">
        <v>416</v>
      </c>
      <c r="B417" s="52">
        <v>644312</v>
      </c>
      <c r="C417" s="52" t="s">
        <v>971</v>
      </c>
      <c r="D417" s="55" t="s">
        <v>26</v>
      </c>
      <c r="E417" s="55" t="s">
        <v>27</v>
      </c>
      <c r="F417" s="55" t="s">
        <v>972</v>
      </c>
      <c r="G417" s="52" t="s">
        <v>29</v>
      </c>
      <c r="H417" s="54">
        <v>46185</v>
      </c>
      <c r="I417" s="53">
        <v>46182</v>
      </c>
      <c r="J417" s="52" t="s">
        <v>77</v>
      </c>
      <c r="K417" s="52" t="s">
        <v>852</v>
      </c>
      <c r="L417" s="52" t="s">
        <v>40</v>
      </c>
      <c r="M417" s="52" t="s">
        <v>30</v>
      </c>
      <c r="N417" s="56">
        <f t="shared" ca="1" si="6"/>
        <v>74</v>
      </c>
    </row>
    <row r="418" spans="1:14" x14ac:dyDescent="0.25">
      <c r="A418" s="52">
        <v>417</v>
      </c>
      <c r="B418" s="52">
        <v>644308</v>
      </c>
      <c r="C418" s="52" t="s">
        <v>973</v>
      </c>
      <c r="D418" s="55" t="s">
        <v>163</v>
      </c>
      <c r="E418" s="55" t="s">
        <v>27</v>
      </c>
      <c r="F418" s="55" t="s">
        <v>974</v>
      </c>
      <c r="G418" s="52" t="s">
        <v>29</v>
      </c>
      <c r="H418" s="54" t="s">
        <v>965</v>
      </c>
      <c r="I418" s="53">
        <v>46181</v>
      </c>
      <c r="J418" s="52" t="s">
        <v>77</v>
      </c>
      <c r="K418" s="52" t="s">
        <v>852</v>
      </c>
      <c r="L418" s="52" t="s">
        <v>40</v>
      </c>
      <c r="M418" s="52" t="s">
        <v>30</v>
      </c>
      <c r="N418" s="56">
        <f t="shared" ca="1" si="6"/>
        <v>75</v>
      </c>
    </row>
    <row r="419" spans="1:14" x14ac:dyDescent="0.25">
      <c r="A419" s="52">
        <v>418</v>
      </c>
      <c r="B419" s="52">
        <v>613080</v>
      </c>
      <c r="C419" s="52" t="s">
        <v>975</v>
      </c>
      <c r="D419" s="55" t="s">
        <v>26</v>
      </c>
      <c r="E419" s="55" t="s">
        <v>27</v>
      </c>
      <c r="F419" s="55" t="s">
        <v>976</v>
      </c>
      <c r="G419" s="52" t="s">
        <v>29</v>
      </c>
      <c r="H419" s="54" t="s">
        <v>965</v>
      </c>
      <c r="I419" s="53">
        <v>46182</v>
      </c>
      <c r="J419" s="52" t="s">
        <v>77</v>
      </c>
      <c r="K419" s="52" t="s">
        <v>852</v>
      </c>
      <c r="L419" s="52" t="s">
        <v>40</v>
      </c>
      <c r="M419" s="52" t="s">
        <v>30</v>
      </c>
      <c r="N419" s="56">
        <f t="shared" ca="1" si="6"/>
        <v>74</v>
      </c>
    </row>
    <row r="420" spans="1:14" x14ac:dyDescent="0.25">
      <c r="A420" s="52">
        <v>419</v>
      </c>
      <c r="B420" s="52">
        <v>615183</v>
      </c>
      <c r="C420" s="52" t="s">
        <v>977</v>
      </c>
      <c r="D420" s="55" t="s">
        <v>26</v>
      </c>
      <c r="E420" s="55" t="s">
        <v>27</v>
      </c>
      <c r="F420" s="55" t="s">
        <v>978</v>
      </c>
      <c r="G420" s="52" t="s">
        <v>29</v>
      </c>
      <c r="H420" s="54">
        <v>46188</v>
      </c>
      <c r="I420" s="53">
        <v>46182</v>
      </c>
      <c r="J420" s="52" t="s">
        <v>77</v>
      </c>
      <c r="K420" s="52" t="s">
        <v>852</v>
      </c>
      <c r="L420" s="52" t="s">
        <v>40</v>
      </c>
      <c r="M420" s="52" t="s">
        <v>30</v>
      </c>
      <c r="N420" s="56">
        <f t="shared" ca="1" si="6"/>
        <v>74</v>
      </c>
    </row>
    <row r="421" spans="1:14" x14ac:dyDescent="0.25">
      <c r="A421" s="52">
        <v>420</v>
      </c>
      <c r="B421" s="52">
        <v>403489</v>
      </c>
      <c r="C421" s="52" t="s">
        <v>979</v>
      </c>
      <c r="D421" s="55" t="s">
        <v>26</v>
      </c>
      <c r="E421" s="55" t="s">
        <v>27</v>
      </c>
      <c r="F421" s="55" t="s">
        <v>980</v>
      </c>
      <c r="G421" s="52" t="s">
        <v>29</v>
      </c>
      <c r="H421" s="54" t="s">
        <v>965</v>
      </c>
      <c r="I421" s="53">
        <v>46179</v>
      </c>
      <c r="J421" s="52" t="s">
        <v>77</v>
      </c>
      <c r="K421" s="52" t="s">
        <v>981</v>
      </c>
      <c r="L421" s="52" t="s">
        <v>40</v>
      </c>
      <c r="M421" s="52" t="s">
        <v>30</v>
      </c>
      <c r="N421" s="56">
        <f t="shared" ca="1" si="6"/>
        <v>77</v>
      </c>
    </row>
    <row r="422" spans="1:14" x14ac:dyDescent="0.25">
      <c r="A422" s="52">
        <v>421</v>
      </c>
      <c r="B422" s="52">
        <v>643985</v>
      </c>
      <c r="C422" s="52" t="s">
        <v>982</v>
      </c>
      <c r="D422" s="55" t="s">
        <v>26</v>
      </c>
      <c r="E422" s="55" t="s">
        <v>27</v>
      </c>
      <c r="F422" s="55" t="s">
        <v>983</v>
      </c>
      <c r="G422" s="52" t="s">
        <v>29</v>
      </c>
      <c r="H422" s="54" t="s">
        <v>965</v>
      </c>
      <c r="I422" s="53">
        <v>46183</v>
      </c>
      <c r="J422" s="52" t="s">
        <v>202</v>
      </c>
      <c r="K422" s="52" t="s">
        <v>984</v>
      </c>
      <c r="L422" s="52" t="s">
        <v>40</v>
      </c>
      <c r="M422" s="52" t="s">
        <v>30</v>
      </c>
      <c r="N422" s="56">
        <f t="shared" ca="1" si="6"/>
        <v>73</v>
      </c>
    </row>
    <row r="423" spans="1:14" x14ac:dyDescent="0.25">
      <c r="A423" s="52">
        <v>422</v>
      </c>
      <c r="B423" s="52">
        <v>644631</v>
      </c>
      <c r="C423" s="52" t="s">
        <v>985</v>
      </c>
      <c r="D423" s="55" t="s">
        <v>26</v>
      </c>
      <c r="E423" s="55" t="s">
        <v>27</v>
      </c>
      <c r="F423" s="55" t="s">
        <v>986</v>
      </c>
      <c r="G423" s="52" t="s">
        <v>29</v>
      </c>
      <c r="H423" s="54" t="s">
        <v>965</v>
      </c>
      <c r="I423" s="53">
        <v>46183</v>
      </c>
      <c r="J423" s="52" t="s">
        <v>77</v>
      </c>
      <c r="K423" s="52" t="s">
        <v>852</v>
      </c>
      <c r="L423" s="52" t="s">
        <v>40</v>
      </c>
      <c r="M423" s="52" t="s">
        <v>30</v>
      </c>
      <c r="N423" s="56">
        <f t="shared" ca="1" si="6"/>
        <v>73</v>
      </c>
    </row>
    <row r="424" spans="1:14" x14ac:dyDescent="0.25">
      <c r="A424" s="52">
        <v>423</v>
      </c>
      <c r="B424" s="52">
        <v>622445</v>
      </c>
      <c r="C424" s="52" t="s">
        <v>987</v>
      </c>
      <c r="D424" s="55" t="s">
        <v>163</v>
      </c>
      <c r="E424" s="55" t="s">
        <v>27</v>
      </c>
      <c r="F424" s="55" t="s">
        <v>988</v>
      </c>
      <c r="G424" s="52" t="s">
        <v>29</v>
      </c>
      <c r="H424" s="54">
        <v>46186</v>
      </c>
      <c r="I424" s="53">
        <v>45777</v>
      </c>
      <c r="J424" s="52" t="s">
        <v>77</v>
      </c>
      <c r="K424" s="52" t="s">
        <v>981</v>
      </c>
      <c r="L424" s="52" t="s">
        <v>40</v>
      </c>
      <c r="M424" s="52" t="s">
        <v>30</v>
      </c>
      <c r="N424" s="56">
        <f t="shared" ca="1" si="6"/>
        <v>479</v>
      </c>
    </row>
    <row r="425" spans="1:14" x14ac:dyDescent="0.25">
      <c r="A425" s="52">
        <v>424</v>
      </c>
      <c r="B425" s="52">
        <v>627344</v>
      </c>
      <c r="C425" s="52" t="s">
        <v>989</v>
      </c>
      <c r="D425" s="55" t="s">
        <v>163</v>
      </c>
      <c r="E425" s="55" t="s">
        <v>153</v>
      </c>
      <c r="F425" s="55" t="s">
        <v>990</v>
      </c>
      <c r="G425" s="52" t="s">
        <v>29</v>
      </c>
      <c r="H425" s="54" t="s">
        <v>30</v>
      </c>
      <c r="I425" s="53">
        <v>45492</v>
      </c>
      <c r="J425" s="52" t="s">
        <v>77</v>
      </c>
      <c r="K425" s="52" t="s">
        <v>981</v>
      </c>
      <c r="L425" s="52" t="s">
        <v>40</v>
      </c>
      <c r="M425" s="52" t="s">
        <v>30</v>
      </c>
      <c r="N425" s="56">
        <f t="shared" ca="1" si="6"/>
        <v>764</v>
      </c>
    </row>
    <row r="426" spans="1:14" x14ac:dyDescent="0.25">
      <c r="A426" s="52">
        <v>425</v>
      </c>
      <c r="B426" s="52">
        <v>623283</v>
      </c>
      <c r="C426" s="52" t="s">
        <v>991</v>
      </c>
      <c r="D426" s="55" t="s">
        <v>26</v>
      </c>
      <c r="E426" s="55" t="s">
        <v>27</v>
      </c>
      <c r="F426" s="55" t="s">
        <v>992</v>
      </c>
      <c r="G426" s="52" t="s">
        <v>29</v>
      </c>
      <c r="H426" s="54">
        <v>46182</v>
      </c>
      <c r="I426" s="53">
        <v>46182</v>
      </c>
      <c r="J426" s="52" t="s">
        <v>77</v>
      </c>
      <c r="K426" s="52" t="s">
        <v>852</v>
      </c>
      <c r="L426" s="52" t="s">
        <v>40</v>
      </c>
      <c r="M426" s="52" t="s">
        <v>30</v>
      </c>
      <c r="N426" s="56">
        <f t="shared" ca="1" si="6"/>
        <v>74</v>
      </c>
    </row>
    <row r="427" spans="1:14" x14ac:dyDescent="0.25">
      <c r="A427" s="52">
        <v>426</v>
      </c>
      <c r="B427" s="52">
        <v>581044</v>
      </c>
      <c r="C427" s="52" t="s">
        <v>993</v>
      </c>
      <c r="D427" s="55" t="s">
        <v>26</v>
      </c>
      <c r="E427" s="55" t="s">
        <v>27</v>
      </c>
      <c r="F427" s="55" t="s">
        <v>994</v>
      </c>
      <c r="G427" s="52" t="s">
        <v>29</v>
      </c>
      <c r="H427" s="54">
        <v>46191</v>
      </c>
      <c r="I427" s="53">
        <v>46188</v>
      </c>
      <c r="J427" s="52" t="s">
        <v>202</v>
      </c>
      <c r="K427" s="52" t="s">
        <v>995</v>
      </c>
      <c r="L427" s="52" t="s">
        <v>40</v>
      </c>
      <c r="M427" s="52" t="s">
        <v>996</v>
      </c>
      <c r="N427" s="56">
        <f t="shared" ca="1" si="6"/>
        <v>68</v>
      </c>
    </row>
    <row r="428" spans="1:14" x14ac:dyDescent="0.25">
      <c r="A428" s="52">
        <v>427</v>
      </c>
      <c r="B428" s="52">
        <v>644744</v>
      </c>
      <c r="C428" s="52" t="s">
        <v>997</v>
      </c>
      <c r="D428" s="55" t="s">
        <v>26</v>
      </c>
      <c r="E428" s="55" t="s">
        <v>27</v>
      </c>
      <c r="F428" s="55" t="s">
        <v>998</v>
      </c>
      <c r="G428" s="52" t="s">
        <v>29</v>
      </c>
      <c r="H428" s="54">
        <v>46191</v>
      </c>
      <c r="I428" s="53">
        <v>46188</v>
      </c>
      <c r="J428" s="52" t="s">
        <v>77</v>
      </c>
      <c r="K428" s="52" t="s">
        <v>981</v>
      </c>
      <c r="L428" s="52" t="s">
        <v>40</v>
      </c>
      <c r="M428" s="52" t="s">
        <v>30</v>
      </c>
      <c r="N428" s="56">
        <f t="shared" ca="1" si="6"/>
        <v>68</v>
      </c>
    </row>
    <row r="429" spans="1:14" x14ac:dyDescent="0.25">
      <c r="A429" s="52">
        <v>428</v>
      </c>
      <c r="B429" s="52">
        <v>644738</v>
      </c>
      <c r="C429" s="52" t="s">
        <v>999</v>
      </c>
      <c r="D429" s="55" t="s">
        <v>26</v>
      </c>
      <c r="E429" s="55" t="s">
        <v>27</v>
      </c>
      <c r="F429" s="55" t="s">
        <v>1000</v>
      </c>
      <c r="G429" s="52" t="s">
        <v>29</v>
      </c>
      <c r="H429" s="54">
        <v>46191</v>
      </c>
      <c r="I429" s="53">
        <v>46188</v>
      </c>
      <c r="J429" s="52" t="s">
        <v>77</v>
      </c>
      <c r="K429" s="52" t="s">
        <v>981</v>
      </c>
      <c r="L429" s="52" t="s">
        <v>40</v>
      </c>
      <c r="M429" s="52" t="s">
        <v>30</v>
      </c>
      <c r="N429" s="56">
        <f t="shared" ca="1" si="6"/>
        <v>68</v>
      </c>
    </row>
    <row r="430" spans="1:14" x14ac:dyDescent="0.25">
      <c r="A430" s="52">
        <v>429</v>
      </c>
      <c r="B430" s="52">
        <v>644748</v>
      </c>
      <c r="C430" s="52" t="s">
        <v>1001</v>
      </c>
      <c r="D430" s="55" t="s">
        <v>26</v>
      </c>
      <c r="E430" s="55" t="s">
        <v>27</v>
      </c>
      <c r="F430" s="55" t="s">
        <v>1002</v>
      </c>
      <c r="G430" s="52" t="s">
        <v>29</v>
      </c>
      <c r="H430" s="54">
        <v>46191</v>
      </c>
      <c r="I430" s="53">
        <v>46188</v>
      </c>
      <c r="J430" s="52" t="s">
        <v>77</v>
      </c>
      <c r="K430" s="52" t="s">
        <v>981</v>
      </c>
      <c r="L430" s="52" t="s">
        <v>40</v>
      </c>
      <c r="M430" s="52" t="s">
        <v>30</v>
      </c>
      <c r="N430" s="56">
        <f t="shared" ca="1" si="6"/>
        <v>68</v>
      </c>
    </row>
    <row r="431" spans="1:14" x14ac:dyDescent="0.25">
      <c r="A431" s="52">
        <v>430</v>
      </c>
      <c r="B431" s="52">
        <v>594412</v>
      </c>
      <c r="C431" s="52" t="s">
        <v>1003</v>
      </c>
      <c r="D431" s="55" t="s">
        <v>26</v>
      </c>
      <c r="E431" s="55" t="s">
        <v>27</v>
      </c>
      <c r="F431" s="55" t="s">
        <v>1004</v>
      </c>
      <c r="G431" s="52"/>
      <c r="H431" s="54">
        <v>46191</v>
      </c>
      <c r="I431" s="53" t="s">
        <v>30</v>
      </c>
      <c r="J431" s="52" t="s">
        <v>202</v>
      </c>
      <c r="K431" s="52" t="s">
        <v>968</v>
      </c>
      <c r="L431" s="52" t="s">
        <v>40</v>
      </c>
      <c r="M431" s="52" t="s">
        <v>30</v>
      </c>
      <c r="N431" s="56" t="str">
        <f t="shared" ca="1" si="6"/>
        <v>-</v>
      </c>
    </row>
    <row r="432" spans="1:14" x14ac:dyDescent="0.25">
      <c r="A432" s="52">
        <v>431</v>
      </c>
      <c r="B432" s="52">
        <v>644723</v>
      </c>
      <c r="C432" s="52" t="s">
        <v>1005</v>
      </c>
      <c r="D432" s="55" t="s">
        <v>63</v>
      </c>
      <c r="E432" s="55" t="s">
        <v>27</v>
      </c>
      <c r="F432" s="55">
        <v>406629202</v>
      </c>
      <c r="G432" s="52" t="s">
        <v>29</v>
      </c>
      <c r="H432" s="54">
        <v>46191</v>
      </c>
      <c r="I432" s="53">
        <v>46188</v>
      </c>
      <c r="J432" s="52" t="s">
        <v>77</v>
      </c>
      <c r="K432" s="52" t="s">
        <v>981</v>
      </c>
      <c r="L432" s="52" t="s">
        <v>40</v>
      </c>
      <c r="M432" s="52" t="s">
        <v>30</v>
      </c>
      <c r="N432" s="56">
        <f t="shared" ca="1" si="6"/>
        <v>68</v>
      </c>
    </row>
    <row r="433" spans="1:14" x14ac:dyDescent="0.25">
      <c r="A433" s="52">
        <v>432</v>
      </c>
      <c r="B433" s="52">
        <v>573695</v>
      </c>
      <c r="C433" s="52" t="s">
        <v>1006</v>
      </c>
      <c r="D433" s="55" t="s">
        <v>26</v>
      </c>
      <c r="E433" s="55" t="s">
        <v>27</v>
      </c>
      <c r="F433" s="55" t="s">
        <v>1007</v>
      </c>
      <c r="G433" s="52" t="s">
        <v>29</v>
      </c>
      <c r="H433" s="54">
        <v>46191</v>
      </c>
      <c r="I433" s="53">
        <v>46188</v>
      </c>
      <c r="J433" s="52" t="s">
        <v>77</v>
      </c>
      <c r="K433" s="52" t="s">
        <v>1008</v>
      </c>
      <c r="L433" s="52" t="s">
        <v>40</v>
      </c>
      <c r="M433" s="52" t="s">
        <v>1009</v>
      </c>
      <c r="N433" s="56">
        <f t="shared" ca="1" si="6"/>
        <v>68</v>
      </c>
    </row>
    <row r="434" spans="1:14" x14ac:dyDescent="0.25">
      <c r="A434" s="52">
        <v>433</v>
      </c>
      <c r="B434" s="52">
        <v>573696</v>
      </c>
      <c r="C434" s="52" t="s">
        <v>1010</v>
      </c>
      <c r="D434" s="55" t="s">
        <v>26</v>
      </c>
      <c r="E434" s="55" t="s">
        <v>27</v>
      </c>
      <c r="F434" s="55" t="s">
        <v>1011</v>
      </c>
      <c r="G434" s="52" t="s">
        <v>29</v>
      </c>
      <c r="H434" s="54">
        <v>46191</v>
      </c>
      <c r="I434" s="53">
        <v>46188</v>
      </c>
      <c r="J434" s="52" t="s">
        <v>77</v>
      </c>
      <c r="K434" s="52" t="s">
        <v>981</v>
      </c>
      <c r="L434" s="52" t="s">
        <v>40</v>
      </c>
      <c r="M434" s="52" t="s">
        <v>30</v>
      </c>
      <c r="N434" s="56">
        <f t="shared" ca="1" si="6"/>
        <v>68</v>
      </c>
    </row>
    <row r="435" spans="1:14" x14ac:dyDescent="0.25">
      <c r="A435" s="52">
        <v>434</v>
      </c>
      <c r="B435" s="52">
        <v>570767</v>
      </c>
      <c r="C435" s="52" t="s">
        <v>1012</v>
      </c>
      <c r="D435" s="55" t="s">
        <v>26</v>
      </c>
      <c r="E435" s="55" t="s">
        <v>27</v>
      </c>
      <c r="F435" s="55" t="s">
        <v>1013</v>
      </c>
      <c r="G435" s="52" t="s">
        <v>29</v>
      </c>
      <c r="H435" s="54">
        <v>46191</v>
      </c>
      <c r="I435" s="53">
        <v>46188</v>
      </c>
      <c r="J435" s="52" t="s">
        <v>77</v>
      </c>
      <c r="K435" s="52" t="s">
        <v>981</v>
      </c>
      <c r="L435" s="52" t="s">
        <v>40</v>
      </c>
      <c r="M435" s="52" t="s">
        <v>30</v>
      </c>
      <c r="N435" s="56">
        <f t="shared" ca="1" si="6"/>
        <v>68</v>
      </c>
    </row>
    <row r="436" spans="1:14" x14ac:dyDescent="0.25">
      <c r="A436" s="52">
        <v>435</v>
      </c>
      <c r="B436" s="52">
        <v>644735</v>
      </c>
      <c r="C436" s="52" t="s">
        <v>1014</v>
      </c>
      <c r="D436" s="55" t="s">
        <v>26</v>
      </c>
      <c r="E436" s="55" t="s">
        <v>27</v>
      </c>
      <c r="F436" s="55" t="s">
        <v>1015</v>
      </c>
      <c r="G436" s="52" t="s">
        <v>29</v>
      </c>
      <c r="H436" s="54">
        <v>46191</v>
      </c>
      <c r="I436" s="53">
        <v>46188</v>
      </c>
      <c r="J436" s="52" t="s">
        <v>77</v>
      </c>
      <c r="K436" s="52" t="s">
        <v>981</v>
      </c>
      <c r="L436" s="52" t="s">
        <v>40</v>
      </c>
      <c r="M436" s="52" t="s">
        <v>30</v>
      </c>
      <c r="N436" s="56">
        <f t="shared" ca="1" si="6"/>
        <v>68</v>
      </c>
    </row>
    <row r="437" spans="1:14" x14ac:dyDescent="0.25">
      <c r="A437" s="52">
        <v>436</v>
      </c>
      <c r="B437" s="52">
        <v>400647</v>
      </c>
      <c r="C437" s="52" t="s">
        <v>1016</v>
      </c>
      <c r="D437" s="55" t="s">
        <v>26</v>
      </c>
      <c r="E437" s="55" t="s">
        <v>27</v>
      </c>
      <c r="F437" s="55" t="s">
        <v>1017</v>
      </c>
      <c r="G437" s="52" t="s">
        <v>29</v>
      </c>
      <c r="H437" s="54">
        <v>46191</v>
      </c>
      <c r="I437" s="53">
        <v>46136</v>
      </c>
      <c r="J437" s="52" t="s">
        <v>77</v>
      </c>
      <c r="K437" s="52" t="s">
        <v>30</v>
      </c>
      <c r="L437" s="52" t="s">
        <v>227</v>
      </c>
      <c r="M437" s="52" t="s">
        <v>30</v>
      </c>
      <c r="N437" s="56">
        <f t="shared" ca="1" si="6"/>
        <v>120</v>
      </c>
    </row>
    <row r="438" spans="1:14" x14ac:dyDescent="0.25">
      <c r="A438" s="52">
        <v>437</v>
      </c>
      <c r="B438" s="52">
        <v>420339</v>
      </c>
      <c r="C438" s="52" t="s">
        <v>1018</v>
      </c>
      <c r="D438" s="55" t="s">
        <v>26</v>
      </c>
      <c r="E438" s="55" t="s">
        <v>27</v>
      </c>
      <c r="F438" s="55" t="s">
        <v>1019</v>
      </c>
      <c r="G438" s="52" t="s">
        <v>29</v>
      </c>
      <c r="H438" s="54">
        <v>46191</v>
      </c>
      <c r="I438" s="53">
        <v>46189</v>
      </c>
      <c r="J438" s="52" t="s">
        <v>77</v>
      </c>
      <c r="K438" s="52" t="s">
        <v>981</v>
      </c>
      <c r="L438" s="52" t="s">
        <v>40</v>
      </c>
      <c r="M438" s="52" t="s">
        <v>30</v>
      </c>
      <c r="N438" s="56">
        <f t="shared" ca="1" si="6"/>
        <v>67</v>
      </c>
    </row>
    <row r="439" spans="1:14" x14ac:dyDescent="0.25">
      <c r="A439" s="52">
        <v>438</v>
      </c>
      <c r="B439" s="52">
        <v>250315</v>
      </c>
      <c r="C439" s="52" t="s">
        <v>1020</v>
      </c>
      <c r="D439" s="55" t="s">
        <v>63</v>
      </c>
      <c r="E439" s="55" t="s">
        <v>27</v>
      </c>
      <c r="F439" s="55">
        <v>405314115</v>
      </c>
      <c r="G439" s="52" t="s">
        <v>29</v>
      </c>
      <c r="H439" s="54">
        <v>46191</v>
      </c>
      <c r="I439" s="53">
        <v>46188</v>
      </c>
      <c r="J439" s="52" t="s">
        <v>77</v>
      </c>
      <c r="K439" s="52" t="s">
        <v>981</v>
      </c>
      <c r="L439" s="52" t="s">
        <v>40</v>
      </c>
      <c r="M439" s="52" t="s">
        <v>30</v>
      </c>
      <c r="N439" s="56">
        <f t="shared" ca="1" si="6"/>
        <v>68</v>
      </c>
    </row>
    <row r="440" spans="1:14" x14ac:dyDescent="0.25">
      <c r="A440" s="52">
        <v>439</v>
      </c>
      <c r="B440" s="52">
        <v>568897</v>
      </c>
      <c r="C440" s="52" t="s">
        <v>1021</v>
      </c>
      <c r="D440" s="55" t="s">
        <v>26</v>
      </c>
      <c r="E440" s="55" t="s">
        <v>27</v>
      </c>
      <c r="F440" s="55" t="s">
        <v>1022</v>
      </c>
      <c r="G440" s="52" t="s">
        <v>29</v>
      </c>
      <c r="H440" s="54">
        <v>46192</v>
      </c>
      <c r="I440" s="53">
        <v>46189</v>
      </c>
      <c r="J440" s="52" t="s">
        <v>77</v>
      </c>
      <c r="K440" s="52" t="s">
        <v>981</v>
      </c>
      <c r="L440" s="52" t="s">
        <v>40</v>
      </c>
      <c r="M440" s="52" t="s">
        <v>30</v>
      </c>
      <c r="N440" s="56">
        <f t="shared" ca="1" si="6"/>
        <v>67</v>
      </c>
    </row>
    <row r="441" spans="1:14" x14ac:dyDescent="0.25">
      <c r="A441" s="52">
        <v>440</v>
      </c>
      <c r="B441" s="52">
        <v>569855</v>
      </c>
      <c r="C441" s="52" t="s">
        <v>1023</v>
      </c>
      <c r="D441" s="55" t="s">
        <v>26</v>
      </c>
      <c r="E441" s="55" t="s">
        <v>27</v>
      </c>
      <c r="F441" s="55" t="s">
        <v>1024</v>
      </c>
      <c r="G441" s="52" t="s">
        <v>29</v>
      </c>
      <c r="H441" s="54">
        <v>46192</v>
      </c>
      <c r="I441" s="53">
        <v>46188</v>
      </c>
      <c r="J441" s="52" t="s">
        <v>77</v>
      </c>
      <c r="K441" s="52" t="s">
        <v>981</v>
      </c>
      <c r="L441" s="52" t="s">
        <v>40</v>
      </c>
      <c r="M441" s="52" t="s">
        <v>30</v>
      </c>
      <c r="N441" s="56">
        <f t="shared" ca="1" si="6"/>
        <v>68</v>
      </c>
    </row>
    <row r="442" spans="1:14" x14ac:dyDescent="0.25">
      <c r="A442" s="52">
        <v>441</v>
      </c>
      <c r="B442" s="52">
        <v>579160</v>
      </c>
      <c r="C442" s="52" t="s">
        <v>1025</v>
      </c>
      <c r="D442" s="55" t="s">
        <v>26</v>
      </c>
      <c r="E442" s="55" t="s">
        <v>27</v>
      </c>
      <c r="F442" s="55" t="s">
        <v>1026</v>
      </c>
      <c r="G442" s="52" t="s">
        <v>29</v>
      </c>
      <c r="H442" s="54">
        <v>46192</v>
      </c>
      <c r="I442" s="53">
        <v>46189</v>
      </c>
      <c r="J442" s="52" t="s">
        <v>202</v>
      </c>
      <c r="K442" s="52" t="s">
        <v>1027</v>
      </c>
      <c r="L442" s="52" t="s">
        <v>40</v>
      </c>
      <c r="M442" s="52" t="s">
        <v>30</v>
      </c>
      <c r="N442" s="56">
        <f t="shared" ca="1" si="6"/>
        <v>67</v>
      </c>
    </row>
    <row r="443" spans="1:14" x14ac:dyDescent="0.25">
      <c r="A443" s="52">
        <v>442</v>
      </c>
      <c r="B443" s="52">
        <v>644813</v>
      </c>
      <c r="C443" s="52" t="s">
        <v>1028</v>
      </c>
      <c r="D443" s="55" t="s">
        <v>26</v>
      </c>
      <c r="E443" s="55" t="s">
        <v>27</v>
      </c>
      <c r="F443" s="55" t="s">
        <v>1029</v>
      </c>
      <c r="G443" s="52" t="s">
        <v>29</v>
      </c>
      <c r="H443" s="54">
        <v>46192</v>
      </c>
      <c r="I443" s="53">
        <v>46188</v>
      </c>
      <c r="J443" s="52" t="s">
        <v>77</v>
      </c>
      <c r="K443" s="52" t="s">
        <v>981</v>
      </c>
      <c r="L443" s="52" t="s">
        <v>40</v>
      </c>
      <c r="M443" s="52" t="s">
        <v>30</v>
      </c>
      <c r="N443" s="56">
        <f t="shared" ref="N443:N506" ca="1" si="7">IFERROR(TODAY()-I443,"-")</f>
        <v>68</v>
      </c>
    </row>
    <row r="444" spans="1:14" x14ac:dyDescent="0.25">
      <c r="A444" s="52">
        <v>443</v>
      </c>
      <c r="B444" s="52">
        <v>616123</v>
      </c>
      <c r="C444" s="52" t="s">
        <v>1030</v>
      </c>
      <c r="D444" s="55" t="s">
        <v>26</v>
      </c>
      <c r="E444" s="55" t="s">
        <v>27</v>
      </c>
      <c r="F444" s="55" t="s">
        <v>1031</v>
      </c>
      <c r="G444" s="52" t="s">
        <v>29</v>
      </c>
      <c r="H444" s="54" t="s">
        <v>1032</v>
      </c>
      <c r="I444" s="53">
        <v>46188</v>
      </c>
      <c r="J444" s="52" t="s">
        <v>77</v>
      </c>
      <c r="K444" s="52" t="s">
        <v>1033</v>
      </c>
      <c r="L444" s="52" t="s">
        <v>40</v>
      </c>
      <c r="M444" s="52" t="s">
        <v>30</v>
      </c>
      <c r="N444" s="56">
        <f t="shared" ca="1" si="7"/>
        <v>68</v>
      </c>
    </row>
    <row r="445" spans="1:14" x14ac:dyDescent="0.25">
      <c r="A445" s="52">
        <v>444</v>
      </c>
      <c r="B445" s="52">
        <v>644837</v>
      </c>
      <c r="C445" s="52" t="s">
        <v>1034</v>
      </c>
      <c r="D445" s="55" t="s">
        <v>26</v>
      </c>
      <c r="E445" s="55" t="s">
        <v>27</v>
      </c>
      <c r="F445" s="55" t="s">
        <v>1035</v>
      </c>
      <c r="G445" s="52" t="s">
        <v>29</v>
      </c>
      <c r="H445" s="54" t="s">
        <v>1032</v>
      </c>
      <c r="I445" s="53">
        <v>46189</v>
      </c>
      <c r="J445" s="52" t="s">
        <v>77</v>
      </c>
      <c r="K445" s="52" t="s">
        <v>1033</v>
      </c>
      <c r="L445" s="52" t="s">
        <v>40</v>
      </c>
      <c r="M445" s="52" t="s">
        <v>30</v>
      </c>
      <c r="N445" s="56">
        <f t="shared" ca="1" si="7"/>
        <v>67</v>
      </c>
    </row>
    <row r="446" spans="1:14" x14ac:dyDescent="0.25">
      <c r="A446" s="52">
        <v>445</v>
      </c>
      <c r="B446" s="52">
        <v>644844</v>
      </c>
      <c r="C446" s="52" t="s">
        <v>1036</v>
      </c>
      <c r="D446" s="55" t="s">
        <v>26</v>
      </c>
      <c r="E446" s="55" t="s">
        <v>27</v>
      </c>
      <c r="F446" s="55" t="s">
        <v>1037</v>
      </c>
      <c r="G446" s="52" t="s">
        <v>29</v>
      </c>
      <c r="H446" s="54" t="s">
        <v>1032</v>
      </c>
      <c r="I446" s="53">
        <v>46189</v>
      </c>
      <c r="J446" s="52" t="s">
        <v>77</v>
      </c>
      <c r="K446" s="52" t="s">
        <v>1008</v>
      </c>
      <c r="L446" s="52" t="s">
        <v>40</v>
      </c>
      <c r="M446" s="52" t="s">
        <v>30</v>
      </c>
      <c r="N446" s="56">
        <f t="shared" ca="1" si="7"/>
        <v>67</v>
      </c>
    </row>
    <row r="447" spans="1:14" x14ac:dyDescent="0.25">
      <c r="A447" s="52">
        <v>446</v>
      </c>
      <c r="B447" s="52">
        <v>644855</v>
      </c>
      <c r="C447" s="52" t="s">
        <v>1038</v>
      </c>
      <c r="D447" s="55" t="s">
        <v>26</v>
      </c>
      <c r="E447" s="55" t="s">
        <v>27</v>
      </c>
      <c r="F447" s="55" t="s">
        <v>1039</v>
      </c>
      <c r="G447" s="52" t="s">
        <v>29</v>
      </c>
      <c r="H447" s="54" t="s">
        <v>1032</v>
      </c>
      <c r="I447" s="53">
        <v>46188</v>
      </c>
      <c r="J447" s="52" t="s">
        <v>77</v>
      </c>
      <c r="K447" s="52" t="s">
        <v>1033</v>
      </c>
      <c r="L447" s="52" t="s">
        <v>40</v>
      </c>
      <c r="M447" s="52" t="s">
        <v>30</v>
      </c>
      <c r="N447" s="56">
        <f t="shared" ca="1" si="7"/>
        <v>68</v>
      </c>
    </row>
    <row r="448" spans="1:14" x14ac:dyDescent="0.25">
      <c r="A448" s="52">
        <v>447</v>
      </c>
      <c r="B448" s="52">
        <v>644833</v>
      </c>
      <c r="C448" s="52" t="s">
        <v>1040</v>
      </c>
      <c r="D448" s="55" t="s">
        <v>26</v>
      </c>
      <c r="E448" s="55" t="s">
        <v>27</v>
      </c>
      <c r="F448" s="55" t="s">
        <v>1041</v>
      </c>
      <c r="G448" s="52" t="s">
        <v>29</v>
      </c>
      <c r="H448" s="54">
        <v>46196</v>
      </c>
      <c r="I448" s="53">
        <v>46189</v>
      </c>
      <c r="J448" s="52" t="s">
        <v>77</v>
      </c>
      <c r="K448" s="52" t="s">
        <v>1033</v>
      </c>
      <c r="L448" s="52" t="s">
        <v>40</v>
      </c>
      <c r="M448" s="52" t="s">
        <v>30</v>
      </c>
      <c r="N448" s="56">
        <f t="shared" ca="1" si="7"/>
        <v>67</v>
      </c>
    </row>
    <row r="449" spans="1:14" x14ac:dyDescent="0.25">
      <c r="A449" s="52">
        <v>448</v>
      </c>
      <c r="B449" s="52">
        <v>644826</v>
      </c>
      <c r="C449" s="52" t="s">
        <v>1042</v>
      </c>
      <c r="D449" s="55" t="s">
        <v>26</v>
      </c>
      <c r="E449" s="55" t="s">
        <v>27</v>
      </c>
      <c r="F449" s="55" t="s">
        <v>1043</v>
      </c>
      <c r="G449" s="52" t="s">
        <v>29</v>
      </c>
      <c r="H449" s="54">
        <v>46196</v>
      </c>
      <c r="I449" s="53">
        <v>46188</v>
      </c>
      <c r="J449" s="52" t="s">
        <v>77</v>
      </c>
      <c r="K449" s="52" t="s">
        <v>1033</v>
      </c>
      <c r="L449" s="52" t="s">
        <v>40</v>
      </c>
      <c r="M449" s="52" t="s">
        <v>30</v>
      </c>
      <c r="N449" s="56">
        <f t="shared" ca="1" si="7"/>
        <v>68</v>
      </c>
    </row>
    <row r="450" spans="1:14" x14ac:dyDescent="0.25">
      <c r="A450" s="52">
        <v>449</v>
      </c>
      <c r="B450" s="52">
        <v>644861</v>
      </c>
      <c r="C450" s="52" t="s">
        <v>1044</v>
      </c>
      <c r="D450" s="55" t="s">
        <v>26</v>
      </c>
      <c r="E450" s="55" t="s">
        <v>27</v>
      </c>
      <c r="F450" s="55" t="s">
        <v>1045</v>
      </c>
      <c r="G450" s="52" t="s">
        <v>29</v>
      </c>
      <c r="H450" s="54" t="s">
        <v>1032</v>
      </c>
      <c r="I450" s="53">
        <v>46188</v>
      </c>
      <c r="J450" s="52" t="s">
        <v>77</v>
      </c>
      <c r="K450" s="52" t="s">
        <v>1033</v>
      </c>
      <c r="L450" s="52" t="s">
        <v>40</v>
      </c>
      <c r="M450" s="52" t="s">
        <v>30</v>
      </c>
      <c r="N450" s="56">
        <f t="shared" ca="1" si="7"/>
        <v>68</v>
      </c>
    </row>
    <row r="451" spans="1:14" x14ac:dyDescent="0.25">
      <c r="A451" s="52">
        <v>450</v>
      </c>
      <c r="B451" s="52">
        <v>644930</v>
      </c>
      <c r="C451" s="52" t="s">
        <v>1046</v>
      </c>
      <c r="D451" s="55" t="s">
        <v>26</v>
      </c>
      <c r="E451" s="55" t="s">
        <v>27</v>
      </c>
      <c r="F451" s="55" t="s">
        <v>1047</v>
      </c>
      <c r="G451" s="52" t="s">
        <v>29</v>
      </c>
      <c r="H451" s="54">
        <v>46196</v>
      </c>
      <c r="I451" s="53">
        <v>46189</v>
      </c>
      <c r="J451" s="52" t="s">
        <v>202</v>
      </c>
      <c r="K451" s="52" t="s">
        <v>1048</v>
      </c>
      <c r="L451" s="52" t="s">
        <v>40</v>
      </c>
      <c r="M451" s="52" t="s">
        <v>1049</v>
      </c>
      <c r="N451" s="56">
        <f t="shared" ca="1" si="7"/>
        <v>67</v>
      </c>
    </row>
    <row r="452" spans="1:14" x14ac:dyDescent="0.25">
      <c r="A452" s="52">
        <v>451</v>
      </c>
      <c r="B452" s="52">
        <v>632076</v>
      </c>
      <c r="C452" s="52" t="s">
        <v>1050</v>
      </c>
      <c r="D452" s="55" t="s">
        <v>26</v>
      </c>
      <c r="E452" s="55" t="s">
        <v>27</v>
      </c>
      <c r="F452" s="55" t="s">
        <v>1051</v>
      </c>
      <c r="G452" s="52" t="s">
        <v>29</v>
      </c>
      <c r="H452" s="54" t="s">
        <v>1032</v>
      </c>
      <c r="I452" s="53">
        <v>46188</v>
      </c>
      <c r="J452" s="52" t="s">
        <v>202</v>
      </c>
      <c r="K452" s="52" t="s">
        <v>1052</v>
      </c>
      <c r="L452" s="52" t="s">
        <v>66</v>
      </c>
      <c r="M452" s="52" t="s">
        <v>1053</v>
      </c>
      <c r="N452" s="56">
        <f t="shared" ca="1" si="7"/>
        <v>68</v>
      </c>
    </row>
    <row r="453" spans="1:14" x14ac:dyDescent="0.25">
      <c r="A453" s="52">
        <v>452</v>
      </c>
      <c r="B453" s="52">
        <v>644850</v>
      </c>
      <c r="C453" s="52" t="s">
        <v>1054</v>
      </c>
      <c r="D453" s="55" t="s">
        <v>26</v>
      </c>
      <c r="E453" s="55" t="s">
        <v>27</v>
      </c>
      <c r="F453" s="55" t="s">
        <v>1055</v>
      </c>
      <c r="G453" s="52" t="s">
        <v>29</v>
      </c>
      <c r="H453" s="54">
        <v>46196</v>
      </c>
      <c r="I453" s="53">
        <v>46189</v>
      </c>
      <c r="J453" s="52" t="s">
        <v>77</v>
      </c>
      <c r="K453" s="52" t="s">
        <v>1033</v>
      </c>
      <c r="L453" s="52" t="s">
        <v>40</v>
      </c>
      <c r="M453" s="52" t="s">
        <v>30</v>
      </c>
      <c r="N453" s="56">
        <f t="shared" ca="1" si="7"/>
        <v>67</v>
      </c>
    </row>
    <row r="454" spans="1:14" x14ac:dyDescent="0.25">
      <c r="A454" s="52">
        <v>453</v>
      </c>
      <c r="B454" s="52">
        <v>644912</v>
      </c>
      <c r="C454" s="52" t="s">
        <v>1056</v>
      </c>
      <c r="D454" s="55" t="s">
        <v>26</v>
      </c>
      <c r="E454" s="55" t="s">
        <v>27</v>
      </c>
      <c r="F454" s="55" t="s">
        <v>1057</v>
      </c>
      <c r="G454" s="52" t="s">
        <v>29</v>
      </c>
      <c r="H454" s="54" t="s">
        <v>1058</v>
      </c>
      <c r="I454" s="53">
        <v>46189</v>
      </c>
      <c r="J454" s="52" t="s">
        <v>77</v>
      </c>
      <c r="K454" s="52" t="s">
        <v>1033</v>
      </c>
      <c r="L454" s="52" t="s">
        <v>40</v>
      </c>
      <c r="M454" s="52" t="s">
        <v>30</v>
      </c>
      <c r="N454" s="56">
        <f t="shared" ca="1" si="7"/>
        <v>67</v>
      </c>
    </row>
    <row r="455" spans="1:14" x14ac:dyDescent="0.25">
      <c r="A455" s="52">
        <v>454</v>
      </c>
      <c r="B455" s="52">
        <v>644877</v>
      </c>
      <c r="C455" s="52" t="s">
        <v>1059</v>
      </c>
      <c r="D455" s="55" t="s">
        <v>26</v>
      </c>
      <c r="E455" s="55" t="s">
        <v>27</v>
      </c>
      <c r="F455" s="55" t="s">
        <v>1060</v>
      </c>
      <c r="G455" s="52" t="s">
        <v>29</v>
      </c>
      <c r="H455" s="54" t="s">
        <v>1032</v>
      </c>
      <c r="I455" s="53">
        <v>46189</v>
      </c>
      <c r="J455" s="52" t="s">
        <v>77</v>
      </c>
      <c r="K455" s="52" t="s">
        <v>1033</v>
      </c>
      <c r="L455" s="52" t="s">
        <v>40</v>
      </c>
      <c r="M455" s="52" t="s">
        <v>30</v>
      </c>
      <c r="N455" s="56">
        <f t="shared" ca="1" si="7"/>
        <v>67</v>
      </c>
    </row>
    <row r="456" spans="1:14" x14ac:dyDescent="0.25">
      <c r="A456" s="52">
        <v>455</v>
      </c>
      <c r="B456" s="52">
        <v>644838</v>
      </c>
      <c r="C456" s="52" t="s">
        <v>1061</v>
      </c>
      <c r="D456" s="55" t="s">
        <v>26</v>
      </c>
      <c r="E456" s="55" t="s">
        <v>27</v>
      </c>
      <c r="F456" s="55" t="s">
        <v>1062</v>
      </c>
      <c r="G456" s="52" t="s">
        <v>29</v>
      </c>
      <c r="H456" s="54" t="s">
        <v>1032</v>
      </c>
      <c r="I456" s="53">
        <v>46189</v>
      </c>
      <c r="J456" s="52" t="s">
        <v>77</v>
      </c>
      <c r="K456" s="52" t="s">
        <v>1033</v>
      </c>
      <c r="L456" s="52" t="s">
        <v>40</v>
      </c>
      <c r="M456" s="52" t="s">
        <v>30</v>
      </c>
      <c r="N456" s="56">
        <f t="shared" ca="1" si="7"/>
        <v>67</v>
      </c>
    </row>
    <row r="457" spans="1:14" x14ac:dyDescent="0.25">
      <c r="A457" s="52">
        <v>456</v>
      </c>
      <c r="B457" s="52">
        <v>619271</v>
      </c>
      <c r="C457" s="52" t="s">
        <v>1063</v>
      </c>
      <c r="D457" s="55" t="s">
        <v>26</v>
      </c>
      <c r="E457" s="55" t="s">
        <v>27</v>
      </c>
      <c r="F457" s="55" t="s">
        <v>1064</v>
      </c>
      <c r="G457" s="52" t="s">
        <v>29</v>
      </c>
      <c r="H457" s="54" t="s">
        <v>1032</v>
      </c>
      <c r="I457" s="53">
        <v>46189</v>
      </c>
      <c r="J457" s="52" t="s">
        <v>202</v>
      </c>
      <c r="K457" s="52" t="s">
        <v>1052</v>
      </c>
      <c r="L457" s="52" t="s">
        <v>66</v>
      </c>
      <c r="M457" s="52" t="s">
        <v>30</v>
      </c>
      <c r="N457" s="56">
        <f t="shared" ca="1" si="7"/>
        <v>67</v>
      </c>
    </row>
    <row r="458" spans="1:14" x14ac:dyDescent="0.25">
      <c r="A458" s="52">
        <v>457</v>
      </c>
      <c r="B458" s="52">
        <v>581388</v>
      </c>
      <c r="C458" s="52" t="s">
        <v>1065</v>
      </c>
      <c r="D458" s="55" t="s">
        <v>63</v>
      </c>
      <c r="E458" s="55" t="s">
        <v>27</v>
      </c>
      <c r="F458" s="55">
        <v>401871392</v>
      </c>
      <c r="G458" s="52" t="s">
        <v>29</v>
      </c>
      <c r="H458" s="54">
        <v>46191</v>
      </c>
      <c r="I458" s="53">
        <v>46188</v>
      </c>
      <c r="J458" s="52" t="s">
        <v>30</v>
      </c>
      <c r="K458" s="52" t="s">
        <v>30</v>
      </c>
      <c r="L458" s="52" t="s">
        <v>176</v>
      </c>
      <c r="M458" s="52" t="s">
        <v>30</v>
      </c>
      <c r="N458" s="56">
        <f t="shared" ca="1" si="7"/>
        <v>68</v>
      </c>
    </row>
    <row r="459" spans="1:14" x14ac:dyDescent="0.25">
      <c r="A459" s="52">
        <v>458</v>
      </c>
      <c r="B459" s="52">
        <v>502393</v>
      </c>
      <c r="C459" s="52" t="s">
        <v>1066</v>
      </c>
      <c r="D459" s="55" t="s">
        <v>26</v>
      </c>
      <c r="E459" s="55" t="s">
        <v>27</v>
      </c>
      <c r="F459" s="55" t="s">
        <v>1067</v>
      </c>
      <c r="G459" s="52" t="s">
        <v>29</v>
      </c>
      <c r="H459" s="54" t="s">
        <v>1032</v>
      </c>
      <c r="I459" s="53">
        <v>46189</v>
      </c>
      <c r="J459" s="52" t="s">
        <v>202</v>
      </c>
      <c r="K459" s="52" t="s">
        <v>1027</v>
      </c>
      <c r="L459" s="52" t="s">
        <v>40</v>
      </c>
      <c r="M459" s="52" t="s">
        <v>30</v>
      </c>
      <c r="N459" s="56">
        <f t="shared" ca="1" si="7"/>
        <v>67</v>
      </c>
    </row>
    <row r="460" spans="1:14" x14ac:dyDescent="0.25">
      <c r="A460" s="52">
        <v>459</v>
      </c>
      <c r="B460" s="52">
        <v>644914</v>
      </c>
      <c r="C460" s="52" t="s">
        <v>1068</v>
      </c>
      <c r="D460" s="55" t="s">
        <v>26</v>
      </c>
      <c r="E460" s="55" t="s">
        <v>27</v>
      </c>
      <c r="F460" s="55" t="s">
        <v>1069</v>
      </c>
      <c r="G460" s="52" t="s">
        <v>29</v>
      </c>
      <c r="H460" s="54" t="s">
        <v>1032</v>
      </c>
      <c r="I460" s="53">
        <v>46189</v>
      </c>
      <c r="J460" s="52" t="s">
        <v>202</v>
      </c>
      <c r="K460" s="52" t="s">
        <v>1070</v>
      </c>
      <c r="L460" s="52" t="s">
        <v>40</v>
      </c>
      <c r="M460" s="52" t="s">
        <v>718</v>
      </c>
      <c r="N460" s="56">
        <f t="shared" ca="1" si="7"/>
        <v>67</v>
      </c>
    </row>
    <row r="461" spans="1:14" x14ac:dyDescent="0.25">
      <c r="A461" s="52">
        <v>460</v>
      </c>
      <c r="B461" s="52">
        <v>644830</v>
      </c>
      <c r="C461" s="52" t="s">
        <v>1071</v>
      </c>
      <c r="D461" s="55" t="s">
        <v>26</v>
      </c>
      <c r="E461" s="55" t="s">
        <v>27</v>
      </c>
      <c r="F461" s="55" t="s">
        <v>1072</v>
      </c>
      <c r="G461" s="52" t="s">
        <v>29</v>
      </c>
      <c r="H461" s="54">
        <v>46196</v>
      </c>
      <c r="I461" s="53">
        <v>46189</v>
      </c>
      <c r="J461" s="52" t="s">
        <v>202</v>
      </c>
      <c r="K461" s="52" t="s">
        <v>1073</v>
      </c>
      <c r="L461" s="52" t="s">
        <v>66</v>
      </c>
      <c r="M461" s="52" t="s">
        <v>30</v>
      </c>
      <c r="N461" s="56">
        <f t="shared" ca="1" si="7"/>
        <v>67</v>
      </c>
    </row>
    <row r="462" spans="1:14" x14ac:dyDescent="0.25">
      <c r="A462" s="52">
        <v>461</v>
      </c>
      <c r="B462" s="52">
        <v>644809</v>
      </c>
      <c r="C462" s="52" t="s">
        <v>1074</v>
      </c>
      <c r="D462" s="55" t="s">
        <v>26</v>
      </c>
      <c r="E462" s="55" t="s">
        <v>27</v>
      </c>
      <c r="F462" s="55" t="s">
        <v>1075</v>
      </c>
      <c r="G462" s="52" t="s">
        <v>29</v>
      </c>
      <c r="H462" s="54" t="s">
        <v>1032</v>
      </c>
      <c r="I462" s="53">
        <v>46188</v>
      </c>
      <c r="J462" s="52" t="s">
        <v>77</v>
      </c>
      <c r="K462" s="52" t="s">
        <v>1033</v>
      </c>
      <c r="L462" s="52" t="s">
        <v>40</v>
      </c>
      <c r="M462" s="52" t="s">
        <v>30</v>
      </c>
      <c r="N462" s="56">
        <f t="shared" ca="1" si="7"/>
        <v>68</v>
      </c>
    </row>
    <row r="463" spans="1:14" x14ac:dyDescent="0.25">
      <c r="A463" s="52">
        <v>462</v>
      </c>
      <c r="B463" s="52">
        <v>644910</v>
      </c>
      <c r="C463" s="52" t="s">
        <v>1076</v>
      </c>
      <c r="D463" s="55" t="s">
        <v>26</v>
      </c>
      <c r="E463" s="55" t="s">
        <v>27</v>
      </c>
      <c r="F463" s="55" t="s">
        <v>1077</v>
      </c>
      <c r="G463" s="52" t="s">
        <v>29</v>
      </c>
      <c r="H463" s="54">
        <v>46192</v>
      </c>
      <c r="I463" s="53">
        <v>46189</v>
      </c>
      <c r="J463" s="52" t="s">
        <v>77</v>
      </c>
      <c r="K463" s="52" t="s">
        <v>1078</v>
      </c>
      <c r="L463" s="52" t="s">
        <v>40</v>
      </c>
      <c r="M463" s="52" t="s">
        <v>30</v>
      </c>
      <c r="N463" s="56">
        <f t="shared" ca="1" si="7"/>
        <v>67</v>
      </c>
    </row>
    <row r="464" spans="1:14" x14ac:dyDescent="0.25">
      <c r="A464" s="52">
        <v>463</v>
      </c>
      <c r="B464" s="52">
        <v>644874</v>
      </c>
      <c r="C464" s="52" t="s">
        <v>1079</v>
      </c>
      <c r="D464" s="55" t="s">
        <v>26</v>
      </c>
      <c r="E464" s="55" t="s">
        <v>129</v>
      </c>
      <c r="F464" s="55" t="s">
        <v>1080</v>
      </c>
      <c r="G464" s="52" t="s">
        <v>29</v>
      </c>
      <c r="H464" s="54" t="s">
        <v>1032</v>
      </c>
      <c r="I464" s="53">
        <v>46188</v>
      </c>
      <c r="J464" s="52" t="s">
        <v>77</v>
      </c>
      <c r="K464" s="52" t="s">
        <v>1033</v>
      </c>
      <c r="L464" s="52" t="s">
        <v>40</v>
      </c>
      <c r="M464" s="52" t="s">
        <v>30</v>
      </c>
      <c r="N464" s="56">
        <f t="shared" ca="1" si="7"/>
        <v>68</v>
      </c>
    </row>
    <row r="465" spans="1:14" x14ac:dyDescent="0.25">
      <c r="A465" s="52">
        <v>464</v>
      </c>
      <c r="B465" s="52">
        <v>644805</v>
      </c>
      <c r="C465" s="52" t="s">
        <v>1081</v>
      </c>
      <c r="D465" s="55" t="s">
        <v>26</v>
      </c>
      <c r="E465" s="55" t="s">
        <v>27</v>
      </c>
      <c r="F465" s="55" t="s">
        <v>1082</v>
      </c>
      <c r="G465" s="52" t="s">
        <v>29</v>
      </c>
      <c r="H465" s="54">
        <v>46196</v>
      </c>
      <c r="I465" s="53">
        <v>46188</v>
      </c>
      <c r="J465" s="52" t="s">
        <v>77</v>
      </c>
      <c r="K465" s="52" t="s">
        <v>1033</v>
      </c>
      <c r="L465" s="52" t="s">
        <v>40</v>
      </c>
      <c r="M465" s="52" t="s">
        <v>30</v>
      </c>
      <c r="N465" s="56">
        <f t="shared" ca="1" si="7"/>
        <v>68</v>
      </c>
    </row>
    <row r="466" spans="1:14" x14ac:dyDescent="0.25">
      <c r="A466" s="52">
        <v>465</v>
      </c>
      <c r="B466" s="52">
        <v>644918</v>
      </c>
      <c r="C466" s="52" t="s">
        <v>1083</v>
      </c>
      <c r="D466" s="55" t="s">
        <v>26</v>
      </c>
      <c r="E466" s="55" t="s">
        <v>27</v>
      </c>
      <c r="F466" s="55" t="s">
        <v>1084</v>
      </c>
      <c r="G466" s="52" t="s">
        <v>29</v>
      </c>
      <c r="H466" s="54" t="s">
        <v>1032</v>
      </c>
      <c r="I466" s="53">
        <v>46189</v>
      </c>
      <c r="J466" s="52" t="s">
        <v>202</v>
      </c>
      <c r="K466" s="52" t="s">
        <v>1027</v>
      </c>
      <c r="L466" s="52" t="s">
        <v>40</v>
      </c>
      <c r="M466" s="52" t="s">
        <v>30</v>
      </c>
      <c r="N466" s="56">
        <f t="shared" ca="1" si="7"/>
        <v>67</v>
      </c>
    </row>
    <row r="467" spans="1:14" x14ac:dyDescent="0.25">
      <c r="A467" s="52">
        <v>466</v>
      </c>
      <c r="B467" s="52">
        <v>644911</v>
      </c>
      <c r="C467" s="52" t="s">
        <v>1085</v>
      </c>
      <c r="D467" s="55" t="s">
        <v>26</v>
      </c>
      <c r="E467" s="55" t="s">
        <v>27</v>
      </c>
      <c r="F467" s="55" t="s">
        <v>1086</v>
      </c>
      <c r="G467" s="52" t="s">
        <v>29</v>
      </c>
      <c r="H467" s="54" t="s">
        <v>1032</v>
      </c>
      <c r="I467" s="53">
        <v>46189</v>
      </c>
      <c r="J467" s="52" t="s">
        <v>77</v>
      </c>
      <c r="K467" s="52" t="s">
        <v>1033</v>
      </c>
      <c r="L467" s="52" t="s">
        <v>40</v>
      </c>
      <c r="M467" s="52" t="s">
        <v>30</v>
      </c>
      <c r="N467" s="56">
        <f t="shared" ca="1" si="7"/>
        <v>67</v>
      </c>
    </row>
    <row r="468" spans="1:14" x14ac:dyDescent="0.25">
      <c r="A468" s="52">
        <v>467</v>
      </c>
      <c r="B468" s="52">
        <v>644853</v>
      </c>
      <c r="C468" s="52" t="s">
        <v>1087</v>
      </c>
      <c r="D468" s="55" t="s">
        <v>26</v>
      </c>
      <c r="E468" s="55" t="s">
        <v>27</v>
      </c>
      <c r="F468" s="55" t="s">
        <v>1088</v>
      </c>
      <c r="G468" s="52" t="s">
        <v>29</v>
      </c>
      <c r="H468" s="54" t="s">
        <v>1032</v>
      </c>
      <c r="I468" s="53">
        <v>46188</v>
      </c>
      <c r="J468" s="52" t="s">
        <v>30</v>
      </c>
      <c r="K468" s="52" t="s">
        <v>30</v>
      </c>
      <c r="L468" s="52" t="s">
        <v>579</v>
      </c>
      <c r="M468" s="52" t="s">
        <v>30</v>
      </c>
      <c r="N468" s="56">
        <f t="shared" ca="1" si="7"/>
        <v>68</v>
      </c>
    </row>
    <row r="469" spans="1:14" x14ac:dyDescent="0.25">
      <c r="A469" s="52">
        <v>468</v>
      </c>
      <c r="B469" s="52">
        <v>644822</v>
      </c>
      <c r="C469" s="52" t="s">
        <v>1089</v>
      </c>
      <c r="D469" s="55" t="s">
        <v>26</v>
      </c>
      <c r="E469" s="55" t="s">
        <v>27</v>
      </c>
      <c r="F469" s="55" t="s">
        <v>1090</v>
      </c>
      <c r="G469" s="52" t="s">
        <v>29</v>
      </c>
      <c r="H469" s="54">
        <v>46196</v>
      </c>
      <c r="I469" s="53">
        <v>46188</v>
      </c>
      <c r="J469" s="52" t="s">
        <v>77</v>
      </c>
      <c r="K469" s="52" t="s">
        <v>1033</v>
      </c>
      <c r="L469" s="52" t="s">
        <v>40</v>
      </c>
      <c r="M469" s="52" t="s">
        <v>30</v>
      </c>
      <c r="N469" s="56">
        <f t="shared" ca="1" si="7"/>
        <v>68</v>
      </c>
    </row>
    <row r="470" spans="1:14" x14ac:dyDescent="0.25">
      <c r="A470" s="52">
        <v>469</v>
      </c>
      <c r="B470" s="52">
        <v>644898</v>
      </c>
      <c r="C470" s="52" t="s">
        <v>1091</v>
      </c>
      <c r="D470" s="55" t="s">
        <v>26</v>
      </c>
      <c r="E470" s="55" t="s">
        <v>27</v>
      </c>
      <c r="F470" s="55" t="s">
        <v>1092</v>
      </c>
      <c r="G470" s="52" t="s">
        <v>29</v>
      </c>
      <c r="H470" s="54">
        <v>46196</v>
      </c>
      <c r="I470" s="53">
        <v>46189</v>
      </c>
      <c r="J470" s="52" t="s">
        <v>77</v>
      </c>
      <c r="K470" s="52" t="s">
        <v>1033</v>
      </c>
      <c r="L470" s="52" t="s">
        <v>40</v>
      </c>
      <c r="M470" s="52" t="s">
        <v>30</v>
      </c>
      <c r="N470" s="56">
        <f t="shared" ca="1" si="7"/>
        <v>67</v>
      </c>
    </row>
    <row r="471" spans="1:14" x14ac:dyDescent="0.25">
      <c r="A471" s="52">
        <v>470</v>
      </c>
      <c r="B471" s="52">
        <v>644832</v>
      </c>
      <c r="C471" s="52" t="s">
        <v>1093</v>
      </c>
      <c r="D471" s="55" t="s">
        <v>26</v>
      </c>
      <c r="E471" s="55" t="s">
        <v>27</v>
      </c>
      <c r="F471" s="55" t="s">
        <v>1094</v>
      </c>
      <c r="G471" s="52" t="s">
        <v>29</v>
      </c>
      <c r="H471" s="54" t="s">
        <v>1032</v>
      </c>
      <c r="I471" s="53">
        <v>46189</v>
      </c>
      <c r="J471" s="52" t="s">
        <v>202</v>
      </c>
      <c r="K471" s="52" t="s">
        <v>1027</v>
      </c>
      <c r="L471" s="52" t="s">
        <v>40</v>
      </c>
      <c r="M471" s="52" t="s">
        <v>30</v>
      </c>
      <c r="N471" s="56">
        <f t="shared" ca="1" si="7"/>
        <v>67</v>
      </c>
    </row>
    <row r="472" spans="1:14" x14ac:dyDescent="0.25">
      <c r="A472" s="52">
        <v>471</v>
      </c>
      <c r="B472" s="52">
        <v>644871</v>
      </c>
      <c r="C472" s="52" t="s">
        <v>1095</v>
      </c>
      <c r="D472" s="55" t="s">
        <v>26</v>
      </c>
      <c r="E472" s="55" t="s">
        <v>27</v>
      </c>
      <c r="F472" s="55" t="s">
        <v>1096</v>
      </c>
      <c r="G472" s="52" t="s">
        <v>29</v>
      </c>
      <c r="H472" s="54">
        <v>46196</v>
      </c>
      <c r="I472" s="53">
        <v>46188</v>
      </c>
      <c r="J472" s="52" t="s">
        <v>202</v>
      </c>
      <c r="K472" s="52" t="s">
        <v>1027</v>
      </c>
      <c r="L472" s="52" t="s">
        <v>40</v>
      </c>
      <c r="M472" s="52" t="s">
        <v>30</v>
      </c>
      <c r="N472" s="56">
        <f t="shared" ca="1" si="7"/>
        <v>68</v>
      </c>
    </row>
    <row r="473" spans="1:14" x14ac:dyDescent="0.25">
      <c r="A473" s="52">
        <v>472</v>
      </c>
      <c r="B473" s="52">
        <v>644811</v>
      </c>
      <c r="C473" s="52" t="s">
        <v>1097</v>
      </c>
      <c r="D473" s="55" t="s">
        <v>26</v>
      </c>
      <c r="E473" s="55" t="s">
        <v>27</v>
      </c>
      <c r="F473" s="55" t="s">
        <v>1098</v>
      </c>
      <c r="G473" s="52" t="s">
        <v>29</v>
      </c>
      <c r="H473" s="54" t="s">
        <v>1032</v>
      </c>
      <c r="I473" s="53">
        <v>46188</v>
      </c>
      <c r="J473" s="52" t="s">
        <v>202</v>
      </c>
      <c r="K473" s="52" t="s">
        <v>1099</v>
      </c>
      <c r="L473" s="52" t="s">
        <v>40</v>
      </c>
      <c r="M473" s="52" t="s">
        <v>30</v>
      </c>
      <c r="N473" s="56">
        <f t="shared" ca="1" si="7"/>
        <v>68</v>
      </c>
    </row>
    <row r="474" spans="1:14" x14ac:dyDescent="0.25">
      <c r="A474" s="52">
        <v>473</v>
      </c>
      <c r="B474" s="52">
        <v>644825</v>
      </c>
      <c r="C474" s="52" t="s">
        <v>1100</v>
      </c>
      <c r="D474" s="55" t="s">
        <v>26</v>
      </c>
      <c r="E474" s="55" t="s">
        <v>27</v>
      </c>
      <c r="F474" s="55" t="s">
        <v>1101</v>
      </c>
      <c r="G474" s="52" t="s">
        <v>29</v>
      </c>
      <c r="H474" s="54" t="s">
        <v>1032</v>
      </c>
      <c r="I474" s="53">
        <v>46188</v>
      </c>
      <c r="J474" s="52" t="s">
        <v>202</v>
      </c>
      <c r="K474" s="52" t="s">
        <v>1070</v>
      </c>
      <c r="L474" s="52" t="s">
        <v>40</v>
      </c>
      <c r="M474" s="52" t="s">
        <v>718</v>
      </c>
      <c r="N474" s="56">
        <f t="shared" ca="1" si="7"/>
        <v>68</v>
      </c>
    </row>
    <row r="475" spans="1:14" x14ac:dyDescent="0.25">
      <c r="A475" s="52">
        <v>474</v>
      </c>
      <c r="B475" s="52">
        <v>644818</v>
      </c>
      <c r="C475" s="52" t="s">
        <v>1102</v>
      </c>
      <c r="D475" s="55" t="s">
        <v>26</v>
      </c>
      <c r="E475" s="55" t="s">
        <v>27</v>
      </c>
      <c r="F475" s="55" t="s">
        <v>1103</v>
      </c>
      <c r="G475" s="52" t="s">
        <v>29</v>
      </c>
      <c r="H475" s="54" t="s">
        <v>1032</v>
      </c>
      <c r="I475" s="53">
        <v>46189</v>
      </c>
      <c r="J475" s="52" t="s">
        <v>202</v>
      </c>
      <c r="K475" s="52" t="s">
        <v>1027</v>
      </c>
      <c r="L475" s="52" t="s">
        <v>40</v>
      </c>
      <c r="M475" s="52" t="s">
        <v>30</v>
      </c>
      <c r="N475" s="56">
        <f t="shared" ca="1" si="7"/>
        <v>67</v>
      </c>
    </row>
    <row r="476" spans="1:14" x14ac:dyDescent="0.25">
      <c r="A476" s="52">
        <v>475</v>
      </c>
      <c r="B476" s="52">
        <v>644821</v>
      </c>
      <c r="C476" s="52" t="s">
        <v>1104</v>
      </c>
      <c r="D476" s="55" t="s">
        <v>26</v>
      </c>
      <c r="E476" s="55" t="s">
        <v>27</v>
      </c>
      <c r="F476" s="55" t="s">
        <v>1105</v>
      </c>
      <c r="G476" s="52" t="s">
        <v>29</v>
      </c>
      <c r="H476" s="54">
        <v>46196</v>
      </c>
      <c r="I476" s="53">
        <v>46188</v>
      </c>
      <c r="J476" s="52" t="s">
        <v>77</v>
      </c>
      <c r="K476" s="52" t="s">
        <v>1033</v>
      </c>
      <c r="L476" s="52" t="s">
        <v>40</v>
      </c>
      <c r="M476" s="52" t="s">
        <v>30</v>
      </c>
      <c r="N476" s="56">
        <f t="shared" ca="1" si="7"/>
        <v>68</v>
      </c>
    </row>
    <row r="477" spans="1:14" x14ac:dyDescent="0.25">
      <c r="A477" s="52">
        <v>476</v>
      </c>
      <c r="B477" s="52">
        <v>644823</v>
      </c>
      <c r="C477" s="52" t="s">
        <v>1106</v>
      </c>
      <c r="D477" s="55" t="s">
        <v>26</v>
      </c>
      <c r="E477" s="55" t="s">
        <v>27</v>
      </c>
      <c r="F477" s="55" t="s">
        <v>1107</v>
      </c>
      <c r="G477" s="52" t="s">
        <v>29</v>
      </c>
      <c r="H477" s="54">
        <v>46196</v>
      </c>
      <c r="I477" s="53">
        <v>46188</v>
      </c>
      <c r="J477" s="52" t="s">
        <v>77</v>
      </c>
      <c r="K477" s="52" t="s">
        <v>1033</v>
      </c>
      <c r="L477" s="52" t="s">
        <v>40</v>
      </c>
      <c r="M477" s="52" t="s">
        <v>30</v>
      </c>
      <c r="N477" s="56">
        <f t="shared" ca="1" si="7"/>
        <v>68</v>
      </c>
    </row>
    <row r="478" spans="1:14" x14ac:dyDescent="0.25">
      <c r="A478" s="52">
        <v>477</v>
      </c>
      <c r="B478" s="52">
        <v>578364</v>
      </c>
      <c r="C478" s="52" t="s">
        <v>1108</v>
      </c>
      <c r="D478" s="55" t="s">
        <v>26</v>
      </c>
      <c r="E478" s="55" t="s">
        <v>27</v>
      </c>
      <c r="F478" s="55" t="s">
        <v>1109</v>
      </c>
      <c r="G478" s="52" t="s">
        <v>29</v>
      </c>
      <c r="H478" s="54">
        <v>46196</v>
      </c>
      <c r="I478" s="53">
        <v>46188</v>
      </c>
      <c r="J478" s="52" t="s">
        <v>77</v>
      </c>
      <c r="K478" s="52" t="s">
        <v>1033</v>
      </c>
      <c r="L478" s="52" t="s">
        <v>40</v>
      </c>
      <c r="M478" s="52" t="s">
        <v>30</v>
      </c>
      <c r="N478" s="56">
        <f t="shared" ca="1" si="7"/>
        <v>68</v>
      </c>
    </row>
    <row r="479" spans="1:14" x14ac:dyDescent="0.25">
      <c r="A479" s="52">
        <v>478</v>
      </c>
      <c r="B479" s="52">
        <v>644908</v>
      </c>
      <c r="C479" s="52" t="s">
        <v>1110</v>
      </c>
      <c r="D479" s="55" t="s">
        <v>26</v>
      </c>
      <c r="E479" s="55" t="s">
        <v>27</v>
      </c>
      <c r="F479" s="55" t="s">
        <v>1111</v>
      </c>
      <c r="G479" s="52" t="s">
        <v>29</v>
      </c>
      <c r="H479" s="54">
        <v>46196</v>
      </c>
      <c r="I479" s="53">
        <v>46189</v>
      </c>
      <c r="J479" s="52" t="s">
        <v>202</v>
      </c>
      <c r="K479" s="52" t="s">
        <v>1073</v>
      </c>
      <c r="L479" s="52" t="s">
        <v>66</v>
      </c>
      <c r="M479" s="52" t="s">
        <v>30</v>
      </c>
      <c r="N479" s="56">
        <f t="shared" ca="1" si="7"/>
        <v>67</v>
      </c>
    </row>
    <row r="480" spans="1:14" x14ac:dyDescent="0.25">
      <c r="A480" s="52">
        <v>479</v>
      </c>
      <c r="B480" s="52">
        <v>645120</v>
      </c>
      <c r="C480" s="52" t="s">
        <v>1112</v>
      </c>
      <c r="D480" s="55" t="s">
        <v>163</v>
      </c>
      <c r="E480" s="55" t="s">
        <v>27</v>
      </c>
      <c r="F480" s="55" t="s">
        <v>1113</v>
      </c>
      <c r="G480" s="52" t="s">
        <v>29</v>
      </c>
      <c r="H480" s="54">
        <v>46196</v>
      </c>
      <c r="I480" s="53">
        <v>46190</v>
      </c>
      <c r="J480" s="52" t="s">
        <v>30</v>
      </c>
      <c r="K480" s="52" t="s">
        <v>30</v>
      </c>
      <c r="L480" s="52" t="s">
        <v>155</v>
      </c>
      <c r="M480" s="52" t="s">
        <v>1114</v>
      </c>
      <c r="N480" s="56">
        <f t="shared" ca="1" si="7"/>
        <v>66</v>
      </c>
    </row>
    <row r="481" spans="1:14" x14ac:dyDescent="0.25">
      <c r="A481" s="52">
        <v>480</v>
      </c>
      <c r="B481" s="52">
        <v>644904</v>
      </c>
      <c r="C481" s="52" t="s">
        <v>1115</v>
      </c>
      <c r="D481" s="55" t="s">
        <v>26</v>
      </c>
      <c r="E481" s="55" t="s">
        <v>27</v>
      </c>
      <c r="F481" s="55" t="s">
        <v>1116</v>
      </c>
      <c r="G481" s="52" t="s">
        <v>29</v>
      </c>
      <c r="H481" s="54">
        <v>46196</v>
      </c>
      <c r="I481" s="53">
        <v>46189</v>
      </c>
      <c r="J481" s="52" t="s">
        <v>77</v>
      </c>
      <c r="K481" s="52" t="s">
        <v>1033</v>
      </c>
      <c r="L481" s="52" t="s">
        <v>40</v>
      </c>
      <c r="M481" s="52" t="s">
        <v>30</v>
      </c>
      <c r="N481" s="56">
        <f t="shared" ca="1" si="7"/>
        <v>67</v>
      </c>
    </row>
    <row r="482" spans="1:14" x14ac:dyDescent="0.25">
      <c r="A482" s="52">
        <v>481</v>
      </c>
      <c r="B482" s="52">
        <v>644872</v>
      </c>
      <c r="C482" s="52" t="s">
        <v>1117</v>
      </c>
      <c r="D482" s="55" t="s">
        <v>26</v>
      </c>
      <c r="E482" s="55" t="s">
        <v>27</v>
      </c>
      <c r="F482" s="55" t="s">
        <v>1118</v>
      </c>
      <c r="G482" s="52" t="s">
        <v>29</v>
      </c>
      <c r="H482" s="54">
        <v>46196</v>
      </c>
      <c r="I482" s="53">
        <v>46188</v>
      </c>
      <c r="J482" s="52" t="s">
        <v>77</v>
      </c>
      <c r="K482" s="52" t="s">
        <v>1033</v>
      </c>
      <c r="L482" s="52" t="s">
        <v>40</v>
      </c>
      <c r="M482" s="52" t="s">
        <v>30</v>
      </c>
      <c r="N482" s="56">
        <f t="shared" ca="1" si="7"/>
        <v>68</v>
      </c>
    </row>
    <row r="483" spans="1:14" x14ac:dyDescent="0.25">
      <c r="A483" s="52">
        <v>482</v>
      </c>
      <c r="B483" s="52">
        <v>644879</v>
      </c>
      <c r="C483" s="52" t="s">
        <v>1119</v>
      </c>
      <c r="D483" s="55" t="s">
        <v>26</v>
      </c>
      <c r="E483" s="55" t="s">
        <v>27</v>
      </c>
      <c r="F483" s="55" t="s">
        <v>1120</v>
      </c>
      <c r="G483" s="52" t="s">
        <v>29</v>
      </c>
      <c r="H483" s="54">
        <v>46196</v>
      </c>
      <c r="I483" s="53">
        <v>46189</v>
      </c>
      <c r="J483" s="52" t="s">
        <v>77</v>
      </c>
      <c r="K483" s="52" t="s">
        <v>1033</v>
      </c>
      <c r="L483" s="52" t="s">
        <v>40</v>
      </c>
      <c r="M483" s="52" t="s">
        <v>30</v>
      </c>
      <c r="N483" s="56">
        <f t="shared" ca="1" si="7"/>
        <v>67</v>
      </c>
    </row>
    <row r="484" spans="1:14" x14ac:dyDescent="0.25">
      <c r="A484" s="52">
        <v>483</v>
      </c>
      <c r="B484" s="52">
        <v>645118</v>
      </c>
      <c r="C484" s="52" t="s">
        <v>1121</v>
      </c>
      <c r="D484" s="55" t="s">
        <v>163</v>
      </c>
      <c r="E484" s="55" t="s">
        <v>27</v>
      </c>
      <c r="F484" s="55" t="s">
        <v>1122</v>
      </c>
      <c r="G484" s="52" t="s">
        <v>29</v>
      </c>
      <c r="H484" s="54">
        <v>46196</v>
      </c>
      <c r="I484" s="53">
        <v>46190</v>
      </c>
      <c r="J484" s="52" t="s">
        <v>77</v>
      </c>
      <c r="K484" s="52" t="s">
        <v>1078</v>
      </c>
      <c r="L484" s="52" t="s">
        <v>40</v>
      </c>
      <c r="M484" s="52" t="s">
        <v>30</v>
      </c>
      <c r="N484" s="56">
        <f t="shared" ca="1" si="7"/>
        <v>66</v>
      </c>
    </row>
    <row r="485" spans="1:14" x14ac:dyDescent="0.25">
      <c r="A485" s="52">
        <v>484</v>
      </c>
      <c r="B485" s="52">
        <v>645121</v>
      </c>
      <c r="C485" s="52" t="s">
        <v>1123</v>
      </c>
      <c r="D485" s="55" t="s">
        <v>163</v>
      </c>
      <c r="E485" s="55" t="s">
        <v>27</v>
      </c>
      <c r="F485" s="55" t="s">
        <v>1124</v>
      </c>
      <c r="G485" s="52" t="s">
        <v>29</v>
      </c>
      <c r="H485" s="54">
        <v>46196</v>
      </c>
      <c r="I485" s="53">
        <v>46189</v>
      </c>
      <c r="J485" s="52" t="s">
        <v>77</v>
      </c>
      <c r="K485" s="52" t="s">
        <v>1033</v>
      </c>
      <c r="L485" s="52" t="s">
        <v>40</v>
      </c>
      <c r="M485" s="52" t="s">
        <v>30</v>
      </c>
      <c r="N485" s="56">
        <f t="shared" ca="1" si="7"/>
        <v>67</v>
      </c>
    </row>
    <row r="486" spans="1:14" x14ac:dyDescent="0.25">
      <c r="A486" s="52">
        <v>485</v>
      </c>
      <c r="B486" s="52">
        <v>468469</v>
      </c>
      <c r="C486" s="52" t="s">
        <v>1125</v>
      </c>
      <c r="D486" s="55" t="s">
        <v>26</v>
      </c>
      <c r="E486" s="55" t="s">
        <v>27</v>
      </c>
      <c r="F486" s="55" t="s">
        <v>1126</v>
      </c>
      <c r="G486" s="52" t="s">
        <v>29</v>
      </c>
      <c r="H486" s="54" t="s">
        <v>1058</v>
      </c>
      <c r="I486" s="53">
        <v>46191</v>
      </c>
      <c r="J486" s="52" t="s">
        <v>77</v>
      </c>
      <c r="K486" s="52" t="s">
        <v>1078</v>
      </c>
      <c r="L486" s="52" t="s">
        <v>40</v>
      </c>
      <c r="M486" s="52" t="s">
        <v>30</v>
      </c>
      <c r="N486" s="56">
        <f t="shared" ca="1" si="7"/>
        <v>65</v>
      </c>
    </row>
    <row r="487" spans="1:14" x14ac:dyDescent="0.25">
      <c r="A487" s="52">
        <v>486</v>
      </c>
      <c r="B487" s="52">
        <v>645225</v>
      </c>
      <c r="C487" s="52" t="s">
        <v>1127</v>
      </c>
      <c r="D487" s="55" t="s">
        <v>26</v>
      </c>
      <c r="E487" s="55" t="s">
        <v>27</v>
      </c>
      <c r="F487" s="55" t="s">
        <v>1128</v>
      </c>
      <c r="G487" s="52" t="s">
        <v>29</v>
      </c>
      <c r="H487" s="54" t="s">
        <v>1058</v>
      </c>
      <c r="I487" s="53">
        <v>46191</v>
      </c>
      <c r="J487" s="52" t="s">
        <v>202</v>
      </c>
      <c r="K487" s="52" t="s">
        <v>1129</v>
      </c>
      <c r="L487" s="52" t="s">
        <v>40</v>
      </c>
      <c r="M487" s="52" t="s">
        <v>30</v>
      </c>
      <c r="N487" s="56">
        <f t="shared" ca="1" si="7"/>
        <v>65</v>
      </c>
    </row>
    <row r="488" spans="1:14" x14ac:dyDescent="0.25">
      <c r="A488" s="52">
        <v>487</v>
      </c>
      <c r="B488" s="52">
        <v>626719</v>
      </c>
      <c r="C488" s="52" t="s">
        <v>1130</v>
      </c>
      <c r="D488" s="55" t="s">
        <v>26</v>
      </c>
      <c r="E488" s="55" t="s">
        <v>27</v>
      </c>
      <c r="F488" s="55" t="s">
        <v>1131</v>
      </c>
      <c r="G488" s="52" t="s">
        <v>29</v>
      </c>
      <c r="H488" s="54">
        <v>46196</v>
      </c>
      <c r="I488" s="53">
        <v>46191</v>
      </c>
      <c r="J488" s="52" t="s">
        <v>77</v>
      </c>
      <c r="K488" s="52" t="s">
        <v>1078</v>
      </c>
      <c r="L488" s="52" t="s">
        <v>40</v>
      </c>
      <c r="M488" s="52" t="s">
        <v>30</v>
      </c>
      <c r="N488" s="56">
        <f t="shared" ca="1" si="7"/>
        <v>65</v>
      </c>
    </row>
    <row r="489" spans="1:14" x14ac:dyDescent="0.25">
      <c r="A489" s="52">
        <v>488</v>
      </c>
      <c r="B489" s="52">
        <v>627874</v>
      </c>
      <c r="C489" s="52" t="s">
        <v>1132</v>
      </c>
      <c r="D489" s="55" t="s">
        <v>26</v>
      </c>
      <c r="E489" s="55" t="s">
        <v>27</v>
      </c>
      <c r="F489" s="55" t="s">
        <v>1133</v>
      </c>
      <c r="G489" s="52" t="s">
        <v>29</v>
      </c>
      <c r="H489" s="54">
        <v>46196</v>
      </c>
      <c r="I489" s="53">
        <v>46191</v>
      </c>
      <c r="J489" s="52" t="s">
        <v>202</v>
      </c>
      <c r="K489" s="52" t="s">
        <v>1134</v>
      </c>
      <c r="L489" s="52" t="s">
        <v>66</v>
      </c>
      <c r="M489" s="52" t="s">
        <v>30</v>
      </c>
      <c r="N489" s="56">
        <f t="shared" ca="1" si="7"/>
        <v>65</v>
      </c>
    </row>
    <row r="490" spans="1:14" x14ac:dyDescent="0.25">
      <c r="A490" s="52">
        <v>489</v>
      </c>
      <c r="B490" s="52">
        <v>645224</v>
      </c>
      <c r="C490" s="52" t="s">
        <v>1135</v>
      </c>
      <c r="D490" s="55" t="s">
        <v>26</v>
      </c>
      <c r="E490" s="55" t="s">
        <v>27</v>
      </c>
      <c r="F490" s="55" t="s">
        <v>1136</v>
      </c>
      <c r="G490" s="52" t="s">
        <v>29</v>
      </c>
      <c r="H490" s="54" t="s">
        <v>1058</v>
      </c>
      <c r="I490" s="53">
        <v>46191</v>
      </c>
      <c r="J490" s="52" t="s">
        <v>77</v>
      </c>
      <c r="K490" s="52" t="s">
        <v>1078</v>
      </c>
      <c r="L490" s="52" t="s">
        <v>40</v>
      </c>
      <c r="M490" s="52" t="s">
        <v>30</v>
      </c>
      <c r="N490" s="56">
        <f t="shared" ca="1" si="7"/>
        <v>65</v>
      </c>
    </row>
    <row r="491" spans="1:14" x14ac:dyDescent="0.25">
      <c r="A491" s="52">
        <v>490</v>
      </c>
      <c r="B491" s="52">
        <v>577752</v>
      </c>
      <c r="C491" s="52" t="s">
        <v>1137</v>
      </c>
      <c r="D491" s="55" t="s">
        <v>26</v>
      </c>
      <c r="E491" s="55" t="s">
        <v>27</v>
      </c>
      <c r="F491" s="55" t="s">
        <v>1138</v>
      </c>
      <c r="G491" s="52" t="s">
        <v>29</v>
      </c>
      <c r="H491" s="54">
        <v>46195</v>
      </c>
      <c r="I491" s="53">
        <v>46192</v>
      </c>
      <c r="J491" s="52" t="s">
        <v>30</v>
      </c>
      <c r="K491" s="52" t="s">
        <v>1033</v>
      </c>
      <c r="L491" s="52" t="s">
        <v>40</v>
      </c>
      <c r="M491" s="52" t="s">
        <v>30</v>
      </c>
      <c r="N491" s="56">
        <f t="shared" ca="1" si="7"/>
        <v>64</v>
      </c>
    </row>
    <row r="492" spans="1:14" x14ac:dyDescent="0.25">
      <c r="A492" s="52">
        <v>491</v>
      </c>
      <c r="B492" s="52">
        <v>645123</v>
      </c>
      <c r="C492" s="52" t="s">
        <v>1139</v>
      </c>
      <c r="D492" s="55" t="s">
        <v>63</v>
      </c>
      <c r="E492" s="55" t="s">
        <v>27</v>
      </c>
      <c r="F492" s="55">
        <v>402667481</v>
      </c>
      <c r="G492" s="52" t="s">
        <v>29</v>
      </c>
      <c r="H492" s="54">
        <v>46196</v>
      </c>
      <c r="I492" s="53">
        <v>46190</v>
      </c>
      <c r="J492" s="52" t="s">
        <v>77</v>
      </c>
      <c r="K492" s="52" t="s">
        <v>1078</v>
      </c>
      <c r="L492" s="52" t="s">
        <v>40</v>
      </c>
      <c r="M492" s="52" t="s">
        <v>30</v>
      </c>
      <c r="N492" s="56">
        <f t="shared" ca="1" si="7"/>
        <v>66</v>
      </c>
    </row>
    <row r="493" spans="1:14" x14ac:dyDescent="0.25">
      <c r="A493" s="52">
        <v>492</v>
      </c>
      <c r="B493" s="52">
        <v>586831</v>
      </c>
      <c r="C493" s="52" t="s">
        <v>1140</v>
      </c>
      <c r="D493" s="55" t="s">
        <v>26</v>
      </c>
      <c r="E493" s="55" t="s">
        <v>27</v>
      </c>
      <c r="F493" s="55" t="s">
        <v>1141</v>
      </c>
      <c r="G493" s="52" t="s">
        <v>29</v>
      </c>
      <c r="H493" s="54">
        <v>46196</v>
      </c>
      <c r="I493" s="53">
        <v>46189</v>
      </c>
      <c r="J493" s="52" t="s">
        <v>77</v>
      </c>
      <c r="K493" s="52" t="s">
        <v>1033</v>
      </c>
      <c r="L493" s="52" t="s">
        <v>40</v>
      </c>
      <c r="M493" s="52" t="s">
        <v>30</v>
      </c>
      <c r="N493" s="56">
        <f t="shared" ca="1" si="7"/>
        <v>67</v>
      </c>
    </row>
    <row r="494" spans="1:14" x14ac:dyDescent="0.25">
      <c r="A494" s="52">
        <v>493</v>
      </c>
      <c r="B494" s="52">
        <v>645112</v>
      </c>
      <c r="C494" s="52" t="s">
        <v>1142</v>
      </c>
      <c r="D494" s="55" t="s">
        <v>26</v>
      </c>
      <c r="E494" s="55" t="s">
        <v>27</v>
      </c>
      <c r="F494" s="55" t="s">
        <v>1143</v>
      </c>
      <c r="G494" s="52" t="s">
        <v>29</v>
      </c>
      <c r="H494" s="54">
        <v>46196</v>
      </c>
      <c r="I494" s="53">
        <v>46190</v>
      </c>
      <c r="J494" s="52" t="s">
        <v>77</v>
      </c>
      <c r="K494" s="52" t="s">
        <v>1078</v>
      </c>
      <c r="L494" s="52" t="s">
        <v>40</v>
      </c>
      <c r="M494" s="52" t="s">
        <v>30</v>
      </c>
      <c r="N494" s="56">
        <f t="shared" ca="1" si="7"/>
        <v>66</v>
      </c>
    </row>
    <row r="495" spans="1:14" x14ac:dyDescent="0.25">
      <c r="A495" s="52">
        <v>494</v>
      </c>
      <c r="B495" s="52">
        <v>645221</v>
      </c>
      <c r="C495" s="52" t="s">
        <v>1144</v>
      </c>
      <c r="D495" s="55" t="s">
        <v>26</v>
      </c>
      <c r="E495" s="55" t="s">
        <v>27</v>
      </c>
      <c r="F495" s="55" t="s">
        <v>1145</v>
      </c>
      <c r="G495" s="52" t="s">
        <v>29</v>
      </c>
      <c r="H495" s="54" t="s">
        <v>1058</v>
      </c>
      <c r="I495" s="53">
        <v>46191</v>
      </c>
      <c r="J495" s="52" t="s">
        <v>77</v>
      </c>
      <c r="K495" s="52" t="s">
        <v>1078</v>
      </c>
      <c r="L495" s="52" t="s">
        <v>40</v>
      </c>
      <c r="M495" s="52" t="s">
        <v>30</v>
      </c>
      <c r="N495" s="56">
        <f t="shared" ca="1" si="7"/>
        <v>65</v>
      </c>
    </row>
    <row r="496" spans="1:14" x14ac:dyDescent="0.25">
      <c r="A496" s="52">
        <v>495</v>
      </c>
      <c r="B496" s="52">
        <v>645256</v>
      </c>
      <c r="C496" s="52" t="s">
        <v>1146</v>
      </c>
      <c r="D496" s="55" t="s">
        <v>26</v>
      </c>
      <c r="E496" s="55" t="s">
        <v>27</v>
      </c>
      <c r="F496" s="55" t="s">
        <v>1147</v>
      </c>
      <c r="G496" s="52" t="s">
        <v>30</v>
      </c>
      <c r="H496" s="54" t="s">
        <v>1058</v>
      </c>
      <c r="I496" s="53">
        <v>46193</v>
      </c>
      <c r="J496" s="52" t="s">
        <v>202</v>
      </c>
      <c r="K496" s="52" t="s">
        <v>1027</v>
      </c>
      <c r="L496" s="52" t="s">
        <v>40</v>
      </c>
      <c r="M496" s="52" t="s">
        <v>30</v>
      </c>
      <c r="N496" s="56">
        <f t="shared" ca="1" si="7"/>
        <v>63</v>
      </c>
    </row>
    <row r="497" spans="1:14" x14ac:dyDescent="0.25">
      <c r="A497" s="52">
        <v>496</v>
      </c>
      <c r="B497" s="52">
        <v>607008</v>
      </c>
      <c r="C497" s="52" t="s">
        <v>1148</v>
      </c>
      <c r="D497" s="55" t="s">
        <v>26</v>
      </c>
      <c r="E497" s="55" t="s">
        <v>27</v>
      </c>
      <c r="F497" s="55" t="s">
        <v>1149</v>
      </c>
      <c r="G497" s="52" t="s">
        <v>76</v>
      </c>
      <c r="H497" s="54" t="s">
        <v>30</v>
      </c>
      <c r="I497" s="53">
        <v>45848</v>
      </c>
      <c r="J497" s="52" t="s">
        <v>30</v>
      </c>
      <c r="K497" s="52" t="s">
        <v>1033</v>
      </c>
      <c r="L497" s="52" t="s">
        <v>40</v>
      </c>
      <c r="M497" s="52" t="s">
        <v>30</v>
      </c>
      <c r="N497" s="56">
        <f t="shared" ca="1" si="7"/>
        <v>408</v>
      </c>
    </row>
    <row r="498" spans="1:14" x14ac:dyDescent="0.25">
      <c r="A498" s="52">
        <v>497</v>
      </c>
      <c r="B498" s="52">
        <v>637607</v>
      </c>
      <c r="C498" s="52" t="s">
        <v>1150</v>
      </c>
      <c r="D498" s="55" t="s">
        <v>26</v>
      </c>
      <c r="E498" s="55" t="s">
        <v>27</v>
      </c>
      <c r="F498" s="55" t="s">
        <v>1151</v>
      </c>
      <c r="G498" s="52" t="s">
        <v>76</v>
      </c>
      <c r="H498" s="54" t="s">
        <v>30</v>
      </c>
      <c r="I498" s="53">
        <v>45849</v>
      </c>
      <c r="J498" s="52" t="s">
        <v>77</v>
      </c>
      <c r="K498" s="52" t="s">
        <v>1078</v>
      </c>
      <c r="L498" s="52" t="s">
        <v>40</v>
      </c>
      <c r="M498" s="52" t="s">
        <v>30</v>
      </c>
      <c r="N498" s="56">
        <f t="shared" ca="1" si="7"/>
        <v>407</v>
      </c>
    </row>
    <row r="499" spans="1:14" x14ac:dyDescent="0.25">
      <c r="A499" s="52">
        <v>498</v>
      </c>
      <c r="B499" s="52">
        <v>457463</v>
      </c>
      <c r="C499" s="52" t="s">
        <v>1152</v>
      </c>
      <c r="D499" s="55" t="s">
        <v>63</v>
      </c>
      <c r="E499" s="55" t="s">
        <v>27</v>
      </c>
      <c r="F499" s="55">
        <v>405446062</v>
      </c>
      <c r="G499" s="52" t="s">
        <v>76</v>
      </c>
      <c r="H499" s="54" t="s">
        <v>30</v>
      </c>
      <c r="I499" s="53">
        <v>45964</v>
      </c>
      <c r="J499" s="52" t="s">
        <v>77</v>
      </c>
      <c r="K499" s="52" t="s">
        <v>1078</v>
      </c>
      <c r="L499" s="52" t="s">
        <v>40</v>
      </c>
      <c r="M499" s="52" t="s">
        <v>30</v>
      </c>
      <c r="N499" s="56">
        <f t="shared" ca="1" si="7"/>
        <v>292</v>
      </c>
    </row>
    <row r="500" spans="1:14" x14ac:dyDescent="0.25">
      <c r="A500" s="52">
        <v>499</v>
      </c>
      <c r="B500" s="52">
        <v>568246</v>
      </c>
      <c r="C500" s="52" t="s">
        <v>1153</v>
      </c>
      <c r="D500" s="55" t="s">
        <v>26</v>
      </c>
      <c r="E500" s="55" t="s">
        <v>27</v>
      </c>
      <c r="F500" s="55" t="s">
        <v>1154</v>
      </c>
      <c r="G500" s="52" t="s">
        <v>76</v>
      </c>
      <c r="H500" s="54" t="s">
        <v>30</v>
      </c>
      <c r="I500" s="53">
        <v>45852</v>
      </c>
      <c r="J500" s="52" t="s">
        <v>202</v>
      </c>
      <c r="K500" s="52" t="s">
        <v>1155</v>
      </c>
      <c r="L500" s="52" t="s">
        <v>40</v>
      </c>
      <c r="M500" s="52" t="s">
        <v>30</v>
      </c>
      <c r="N500" s="56">
        <f t="shared" ca="1" si="7"/>
        <v>404</v>
      </c>
    </row>
    <row r="501" spans="1:14" x14ac:dyDescent="0.25">
      <c r="A501" s="52">
        <v>500</v>
      </c>
      <c r="B501" s="52">
        <v>634484</v>
      </c>
      <c r="C501" s="52" t="s">
        <v>1156</v>
      </c>
      <c r="D501" s="55" t="s">
        <v>26</v>
      </c>
      <c r="E501" s="55" t="s">
        <v>27</v>
      </c>
      <c r="F501" s="55" t="s">
        <v>1157</v>
      </c>
      <c r="G501" s="52" t="s">
        <v>76</v>
      </c>
      <c r="H501" s="54" t="s">
        <v>30</v>
      </c>
      <c r="I501" s="53">
        <v>45850</v>
      </c>
      <c r="J501" s="52" t="s">
        <v>77</v>
      </c>
      <c r="K501" s="52" t="s">
        <v>1078</v>
      </c>
      <c r="L501" s="52" t="s">
        <v>40</v>
      </c>
      <c r="M501" s="52" t="s">
        <v>30</v>
      </c>
      <c r="N501" s="56">
        <f t="shared" ca="1" si="7"/>
        <v>406</v>
      </c>
    </row>
    <row r="502" spans="1:14" x14ac:dyDescent="0.25">
      <c r="A502" s="52">
        <v>501</v>
      </c>
      <c r="B502" s="52">
        <v>514641</v>
      </c>
      <c r="C502" s="52" t="s">
        <v>1158</v>
      </c>
      <c r="D502" s="55" t="s">
        <v>26</v>
      </c>
      <c r="E502" s="55" t="s">
        <v>27</v>
      </c>
      <c r="F502" s="55" t="s">
        <v>1159</v>
      </c>
      <c r="G502" s="52" t="s">
        <v>76</v>
      </c>
      <c r="H502" s="54" t="s">
        <v>30</v>
      </c>
      <c r="I502" s="53">
        <v>45852</v>
      </c>
      <c r="J502" s="52" t="s">
        <v>77</v>
      </c>
      <c r="K502" s="52" t="s">
        <v>1078</v>
      </c>
      <c r="L502" s="52" t="s">
        <v>40</v>
      </c>
      <c r="M502" s="52" t="s">
        <v>30</v>
      </c>
      <c r="N502" s="56">
        <f t="shared" ca="1" si="7"/>
        <v>404</v>
      </c>
    </row>
    <row r="503" spans="1:14" x14ac:dyDescent="0.25">
      <c r="A503" s="52">
        <v>502</v>
      </c>
      <c r="B503" s="52">
        <v>645338</v>
      </c>
      <c r="C503" s="52" t="s">
        <v>1160</v>
      </c>
      <c r="D503" s="55" t="s">
        <v>26</v>
      </c>
      <c r="E503" s="55" t="s">
        <v>27</v>
      </c>
      <c r="F503" s="55" t="s">
        <v>1161</v>
      </c>
      <c r="G503" s="52" t="s">
        <v>29</v>
      </c>
      <c r="H503" s="54">
        <v>46199</v>
      </c>
      <c r="I503" s="53">
        <v>46195</v>
      </c>
      <c r="J503" s="52" t="s">
        <v>202</v>
      </c>
      <c r="K503" s="52" t="s">
        <v>1155</v>
      </c>
      <c r="L503" s="52" t="s">
        <v>40</v>
      </c>
      <c r="M503" s="52" t="s">
        <v>30</v>
      </c>
      <c r="N503" s="56">
        <f t="shared" ca="1" si="7"/>
        <v>61</v>
      </c>
    </row>
    <row r="504" spans="1:14" x14ac:dyDescent="0.25">
      <c r="A504" s="52">
        <v>503</v>
      </c>
      <c r="B504" s="52">
        <v>645323</v>
      </c>
      <c r="C504" s="52" t="s">
        <v>1162</v>
      </c>
      <c r="D504" s="55" t="s">
        <v>163</v>
      </c>
      <c r="E504" s="55" t="s">
        <v>27</v>
      </c>
      <c r="F504" s="55" t="s">
        <v>1163</v>
      </c>
      <c r="G504" s="52" t="s">
        <v>29</v>
      </c>
      <c r="H504" s="54">
        <v>46199</v>
      </c>
      <c r="I504" s="53">
        <v>46195</v>
      </c>
      <c r="J504" s="52" t="s">
        <v>77</v>
      </c>
      <c r="K504" s="52" t="s">
        <v>1008</v>
      </c>
      <c r="L504" s="52" t="s">
        <v>40</v>
      </c>
      <c r="M504" s="52" t="s">
        <v>30</v>
      </c>
      <c r="N504" s="56">
        <f t="shared" ca="1" si="7"/>
        <v>61</v>
      </c>
    </row>
    <row r="505" spans="1:14" x14ac:dyDescent="0.25">
      <c r="A505" s="52">
        <v>504</v>
      </c>
      <c r="B505" s="52">
        <v>645322</v>
      </c>
      <c r="C505" s="52" t="s">
        <v>1164</v>
      </c>
      <c r="D505" s="55" t="s">
        <v>163</v>
      </c>
      <c r="E505" s="55" t="s">
        <v>27</v>
      </c>
      <c r="F505" s="55" t="s">
        <v>1165</v>
      </c>
      <c r="G505" s="52" t="s">
        <v>29</v>
      </c>
      <c r="H505" s="54">
        <v>46199</v>
      </c>
      <c r="I505" s="53">
        <v>46196</v>
      </c>
      <c r="J505" s="52" t="s">
        <v>77</v>
      </c>
      <c r="K505" s="52" t="s">
        <v>1078</v>
      </c>
      <c r="L505" s="52" t="s">
        <v>40</v>
      </c>
      <c r="M505" s="52" t="s">
        <v>30</v>
      </c>
      <c r="N505" s="56">
        <f t="shared" ca="1" si="7"/>
        <v>60</v>
      </c>
    </row>
    <row r="506" spans="1:14" x14ac:dyDescent="0.25">
      <c r="A506" s="52">
        <v>505</v>
      </c>
      <c r="B506" s="52">
        <v>645321</v>
      </c>
      <c r="C506" s="52" t="s">
        <v>1166</v>
      </c>
      <c r="D506" s="55" t="s">
        <v>163</v>
      </c>
      <c r="E506" s="55" t="s">
        <v>27</v>
      </c>
      <c r="F506" s="55" t="s">
        <v>1167</v>
      </c>
      <c r="G506" s="52" t="s">
        <v>29</v>
      </c>
      <c r="H506" s="54">
        <v>46199</v>
      </c>
      <c r="I506" s="53">
        <v>46196</v>
      </c>
      <c r="J506" s="52" t="s">
        <v>202</v>
      </c>
      <c r="K506" s="52" t="s">
        <v>1168</v>
      </c>
      <c r="L506" s="52" t="s">
        <v>40</v>
      </c>
      <c r="M506" s="52" t="s">
        <v>30</v>
      </c>
      <c r="N506" s="56">
        <f t="shared" ca="1" si="7"/>
        <v>60</v>
      </c>
    </row>
    <row r="507" spans="1:14" x14ac:dyDescent="0.25">
      <c r="A507" s="52">
        <v>506</v>
      </c>
      <c r="B507" s="52">
        <v>603494</v>
      </c>
      <c r="C507" s="52" t="s">
        <v>1169</v>
      </c>
      <c r="D507" s="55" t="s">
        <v>26</v>
      </c>
      <c r="E507" s="55" t="s">
        <v>27</v>
      </c>
      <c r="F507" s="55" t="s">
        <v>1170</v>
      </c>
      <c r="G507" s="52" t="s">
        <v>29</v>
      </c>
      <c r="H507" s="54">
        <v>46199</v>
      </c>
      <c r="I507" s="53">
        <v>46195</v>
      </c>
      <c r="J507" s="52" t="s">
        <v>77</v>
      </c>
      <c r="K507" s="52" t="s">
        <v>1078</v>
      </c>
      <c r="L507" s="52" t="s">
        <v>40</v>
      </c>
      <c r="M507" s="52" t="s">
        <v>30</v>
      </c>
      <c r="N507" s="56">
        <f t="shared" ref="N507:N570" ca="1" si="8">IFERROR(TODAY()-I507,"-")</f>
        <v>61</v>
      </c>
    </row>
    <row r="508" spans="1:14" x14ac:dyDescent="0.25">
      <c r="A508" s="52">
        <v>507</v>
      </c>
      <c r="B508" s="52">
        <v>645325</v>
      </c>
      <c r="C508" s="52" t="s">
        <v>1171</v>
      </c>
      <c r="D508" s="55" t="s">
        <v>163</v>
      </c>
      <c r="E508" s="55" t="s">
        <v>27</v>
      </c>
      <c r="F508" s="55" t="s">
        <v>1172</v>
      </c>
      <c r="G508" s="52" t="s">
        <v>29</v>
      </c>
      <c r="H508" s="54">
        <v>46199</v>
      </c>
      <c r="I508" s="53">
        <v>46196</v>
      </c>
      <c r="J508" s="52" t="s">
        <v>202</v>
      </c>
      <c r="K508" s="52" t="s">
        <v>1168</v>
      </c>
      <c r="L508" s="52" t="s">
        <v>40</v>
      </c>
      <c r="M508" s="52" t="s">
        <v>30</v>
      </c>
      <c r="N508" s="56">
        <f t="shared" ca="1" si="8"/>
        <v>60</v>
      </c>
    </row>
    <row r="509" spans="1:14" x14ac:dyDescent="0.25">
      <c r="A509" s="52">
        <v>508</v>
      </c>
      <c r="B509" s="52">
        <v>645339</v>
      </c>
      <c r="C509" s="52" t="s">
        <v>1173</v>
      </c>
      <c r="D509" s="55" t="s">
        <v>26</v>
      </c>
      <c r="E509" s="55" t="s">
        <v>27</v>
      </c>
      <c r="F509" s="55" t="s">
        <v>1174</v>
      </c>
      <c r="G509" s="52" t="s">
        <v>29</v>
      </c>
      <c r="H509" s="54">
        <v>46199</v>
      </c>
      <c r="I509" s="53">
        <v>46195</v>
      </c>
      <c r="J509" s="52" t="s">
        <v>77</v>
      </c>
      <c r="K509" s="52" t="s">
        <v>1008</v>
      </c>
      <c r="L509" s="52" t="s">
        <v>40</v>
      </c>
      <c r="M509" s="52" t="s">
        <v>1114</v>
      </c>
      <c r="N509" s="56">
        <f t="shared" ca="1" si="8"/>
        <v>61</v>
      </c>
    </row>
    <row r="510" spans="1:14" x14ac:dyDescent="0.25">
      <c r="A510" s="52">
        <v>509</v>
      </c>
      <c r="B510" s="52">
        <v>645320</v>
      </c>
      <c r="C510" s="52" t="s">
        <v>1175</v>
      </c>
      <c r="D510" s="55" t="s">
        <v>26</v>
      </c>
      <c r="E510" s="55" t="s">
        <v>27</v>
      </c>
      <c r="F510" s="55" t="s">
        <v>1176</v>
      </c>
      <c r="G510" s="52" t="s">
        <v>29</v>
      </c>
      <c r="H510" s="54">
        <v>46200</v>
      </c>
      <c r="I510" s="53">
        <v>46195</v>
      </c>
      <c r="J510" s="52" t="s">
        <v>30</v>
      </c>
      <c r="K510" s="52" t="s">
        <v>30</v>
      </c>
      <c r="L510" s="52" t="s">
        <v>1177</v>
      </c>
      <c r="M510" s="52" t="s">
        <v>30</v>
      </c>
      <c r="N510" s="56">
        <f t="shared" ca="1" si="8"/>
        <v>61</v>
      </c>
    </row>
    <row r="511" spans="1:14" x14ac:dyDescent="0.25">
      <c r="A511" s="52">
        <v>510</v>
      </c>
      <c r="B511" s="52">
        <v>645354</v>
      </c>
      <c r="C511" s="52" t="s">
        <v>1178</v>
      </c>
      <c r="D511" s="55" t="s">
        <v>26</v>
      </c>
      <c r="E511" s="55" t="s">
        <v>27</v>
      </c>
      <c r="F511" s="55" t="s">
        <v>1179</v>
      </c>
      <c r="G511" s="52" t="s">
        <v>29</v>
      </c>
      <c r="H511" s="54">
        <v>46200</v>
      </c>
      <c r="I511" s="53">
        <v>46196</v>
      </c>
      <c r="J511" s="52" t="s">
        <v>202</v>
      </c>
      <c r="K511" s="52" t="s">
        <v>1180</v>
      </c>
      <c r="L511" s="52" t="s">
        <v>40</v>
      </c>
      <c r="M511" s="52" t="s">
        <v>30</v>
      </c>
      <c r="N511" s="56">
        <f t="shared" ca="1" si="8"/>
        <v>60</v>
      </c>
    </row>
    <row r="512" spans="1:14" x14ac:dyDescent="0.25">
      <c r="A512" s="52">
        <v>511</v>
      </c>
      <c r="B512" s="52">
        <v>599202</v>
      </c>
      <c r="C512" s="52" t="s">
        <v>1181</v>
      </c>
      <c r="D512" s="55" t="s">
        <v>26</v>
      </c>
      <c r="E512" s="55" t="s">
        <v>27</v>
      </c>
      <c r="F512" s="55" t="s">
        <v>1182</v>
      </c>
      <c r="G512" s="52" t="s">
        <v>29</v>
      </c>
      <c r="H512" s="54">
        <v>46200</v>
      </c>
      <c r="I512" s="53">
        <v>46195</v>
      </c>
      <c r="J512" s="52" t="s">
        <v>202</v>
      </c>
      <c r="K512" s="52" t="s">
        <v>1183</v>
      </c>
      <c r="L512" s="52" t="s">
        <v>40</v>
      </c>
      <c r="M512" s="52" t="s">
        <v>718</v>
      </c>
      <c r="N512" s="56">
        <f t="shared" ca="1" si="8"/>
        <v>61</v>
      </c>
    </row>
    <row r="513" spans="1:14" x14ac:dyDescent="0.25">
      <c r="A513" s="52">
        <v>512</v>
      </c>
      <c r="B513" s="52">
        <v>548298</v>
      </c>
      <c r="C513" s="52" t="s">
        <v>1184</v>
      </c>
      <c r="D513" s="55" t="s">
        <v>26</v>
      </c>
      <c r="E513" s="55" t="s">
        <v>27</v>
      </c>
      <c r="F513" s="55" t="s">
        <v>1185</v>
      </c>
      <c r="G513" s="52" t="s">
        <v>29</v>
      </c>
      <c r="H513" s="54">
        <v>46199</v>
      </c>
      <c r="I513" s="53">
        <v>46195</v>
      </c>
      <c r="J513" s="52" t="s">
        <v>77</v>
      </c>
      <c r="K513" s="52" t="s">
        <v>1078</v>
      </c>
      <c r="L513" s="52" t="s">
        <v>40</v>
      </c>
      <c r="M513" s="52" t="s">
        <v>30</v>
      </c>
      <c r="N513" s="56">
        <f t="shared" ca="1" si="8"/>
        <v>61</v>
      </c>
    </row>
    <row r="514" spans="1:14" x14ac:dyDescent="0.25">
      <c r="A514" s="52">
        <v>513</v>
      </c>
      <c r="B514" s="52">
        <v>645375</v>
      </c>
      <c r="C514" s="52" t="s">
        <v>1186</v>
      </c>
      <c r="D514" s="55" t="s">
        <v>26</v>
      </c>
      <c r="E514" s="55" t="s">
        <v>27</v>
      </c>
      <c r="F514" s="55" t="s">
        <v>1187</v>
      </c>
      <c r="G514" s="52" t="s">
        <v>29</v>
      </c>
      <c r="H514" s="54">
        <v>46200</v>
      </c>
      <c r="I514" s="53">
        <v>46196</v>
      </c>
      <c r="J514" s="52" t="s">
        <v>77</v>
      </c>
      <c r="K514" s="52" t="s">
        <v>1008</v>
      </c>
      <c r="L514" s="52" t="s">
        <v>40</v>
      </c>
      <c r="M514" s="52" t="s">
        <v>30</v>
      </c>
      <c r="N514" s="56">
        <f t="shared" ca="1" si="8"/>
        <v>60</v>
      </c>
    </row>
    <row r="515" spans="1:14" x14ac:dyDescent="0.25">
      <c r="A515" s="52">
        <v>514</v>
      </c>
      <c r="B515" s="52">
        <v>645326</v>
      </c>
      <c r="C515" s="52" t="s">
        <v>1188</v>
      </c>
      <c r="D515" s="55" t="s">
        <v>163</v>
      </c>
      <c r="E515" s="55" t="s">
        <v>27</v>
      </c>
      <c r="F515" s="55" t="s">
        <v>1189</v>
      </c>
      <c r="G515" s="52" t="s">
        <v>29</v>
      </c>
      <c r="H515" s="54">
        <v>46199</v>
      </c>
      <c r="I515" s="53">
        <v>46196</v>
      </c>
      <c r="J515" s="52" t="s">
        <v>202</v>
      </c>
      <c r="K515" s="52" t="s">
        <v>1129</v>
      </c>
      <c r="L515" s="52" t="s">
        <v>40</v>
      </c>
      <c r="M515" s="52" t="s">
        <v>30</v>
      </c>
      <c r="N515" s="56">
        <f t="shared" ca="1" si="8"/>
        <v>60</v>
      </c>
    </row>
    <row r="516" spans="1:14" x14ac:dyDescent="0.25">
      <c r="A516" s="52">
        <v>515</v>
      </c>
      <c r="B516" s="52">
        <v>645356</v>
      </c>
      <c r="C516" s="52" t="s">
        <v>1190</v>
      </c>
      <c r="D516" s="55" t="s">
        <v>26</v>
      </c>
      <c r="E516" s="55" t="s">
        <v>27</v>
      </c>
      <c r="F516" s="55" t="s">
        <v>1191</v>
      </c>
      <c r="G516" s="52" t="s">
        <v>29</v>
      </c>
      <c r="H516" s="54">
        <v>46200</v>
      </c>
      <c r="I516" s="53">
        <v>46196</v>
      </c>
      <c r="J516" s="52" t="s">
        <v>77</v>
      </c>
      <c r="K516" s="52" t="s">
        <v>1008</v>
      </c>
      <c r="L516" s="52" t="s">
        <v>40</v>
      </c>
      <c r="M516" s="52" t="s">
        <v>30</v>
      </c>
      <c r="N516" s="56">
        <f t="shared" ca="1" si="8"/>
        <v>60</v>
      </c>
    </row>
    <row r="517" spans="1:14" x14ac:dyDescent="0.25">
      <c r="A517" s="52">
        <v>516</v>
      </c>
      <c r="B517" s="52">
        <v>645365</v>
      </c>
      <c r="C517" s="52" t="s">
        <v>1192</v>
      </c>
      <c r="D517" s="55" t="s">
        <v>26</v>
      </c>
      <c r="E517" s="55" t="s">
        <v>27</v>
      </c>
      <c r="F517" s="55" t="s">
        <v>1193</v>
      </c>
      <c r="G517" s="52" t="s">
        <v>29</v>
      </c>
      <c r="H517" s="54">
        <v>46199</v>
      </c>
      <c r="I517" s="53">
        <v>46196</v>
      </c>
      <c r="J517" s="52" t="s">
        <v>202</v>
      </c>
      <c r="K517" s="52" t="s">
        <v>1194</v>
      </c>
      <c r="L517" s="52" t="s">
        <v>40</v>
      </c>
      <c r="M517" s="52" t="s">
        <v>1195</v>
      </c>
      <c r="N517" s="56">
        <f t="shared" ca="1" si="8"/>
        <v>60</v>
      </c>
    </row>
    <row r="518" spans="1:14" x14ac:dyDescent="0.25">
      <c r="A518" s="52">
        <v>517</v>
      </c>
      <c r="B518" s="52">
        <v>645374</v>
      </c>
      <c r="C518" s="52" t="s">
        <v>1196</v>
      </c>
      <c r="D518" s="55" t="s">
        <v>26</v>
      </c>
      <c r="E518" s="55" t="s">
        <v>27</v>
      </c>
      <c r="F518" s="55" t="s">
        <v>1197</v>
      </c>
      <c r="G518" s="52" t="s">
        <v>29</v>
      </c>
      <c r="H518" s="54">
        <v>46199</v>
      </c>
      <c r="I518" s="53">
        <v>46195</v>
      </c>
      <c r="J518" s="52" t="s">
        <v>77</v>
      </c>
      <c r="K518" s="52" t="s">
        <v>1078</v>
      </c>
      <c r="L518" s="52" t="s">
        <v>40</v>
      </c>
      <c r="M518" s="52" t="s">
        <v>30</v>
      </c>
      <c r="N518" s="56">
        <f t="shared" ca="1" si="8"/>
        <v>61</v>
      </c>
    </row>
    <row r="519" spans="1:14" x14ac:dyDescent="0.25">
      <c r="A519" s="52">
        <v>518</v>
      </c>
      <c r="B519" s="52">
        <v>645372</v>
      </c>
      <c r="C519" s="52" t="s">
        <v>1198</v>
      </c>
      <c r="D519" s="55" t="s">
        <v>26</v>
      </c>
      <c r="E519" s="55" t="s">
        <v>27</v>
      </c>
      <c r="F519" s="55" t="s">
        <v>1199</v>
      </c>
      <c r="G519" s="52" t="s">
        <v>29</v>
      </c>
      <c r="H519" s="54">
        <v>46199</v>
      </c>
      <c r="I519" s="53">
        <v>46196</v>
      </c>
      <c r="J519" s="52" t="s">
        <v>77</v>
      </c>
      <c r="K519" s="52" t="s">
        <v>1078</v>
      </c>
      <c r="L519" s="52" t="s">
        <v>40</v>
      </c>
      <c r="M519" s="52" t="s">
        <v>30</v>
      </c>
      <c r="N519" s="56">
        <f t="shared" ca="1" si="8"/>
        <v>60</v>
      </c>
    </row>
    <row r="520" spans="1:14" x14ac:dyDescent="0.25">
      <c r="A520" s="52">
        <v>519</v>
      </c>
      <c r="B520" s="52">
        <v>453983</v>
      </c>
      <c r="C520" s="52" t="s">
        <v>1200</v>
      </c>
      <c r="D520" s="55" t="s">
        <v>26</v>
      </c>
      <c r="E520" s="55" t="s">
        <v>27</v>
      </c>
      <c r="F520" s="55" t="s">
        <v>1201</v>
      </c>
      <c r="G520" s="52" t="s">
        <v>29</v>
      </c>
      <c r="H520" s="54">
        <v>46203</v>
      </c>
      <c r="I520" s="53">
        <v>46195</v>
      </c>
      <c r="J520" s="52" t="s">
        <v>77</v>
      </c>
      <c r="K520" s="52" t="s">
        <v>1202</v>
      </c>
      <c r="L520" s="52" t="s">
        <v>40</v>
      </c>
      <c r="M520" s="52" t="s">
        <v>30</v>
      </c>
      <c r="N520" s="56">
        <f t="shared" ca="1" si="8"/>
        <v>61</v>
      </c>
    </row>
    <row r="521" spans="1:14" x14ac:dyDescent="0.25">
      <c r="A521" s="52">
        <v>520</v>
      </c>
      <c r="B521" s="52">
        <v>645351</v>
      </c>
      <c r="C521" s="52" t="s">
        <v>1203</v>
      </c>
      <c r="D521" s="55" t="s">
        <v>26</v>
      </c>
      <c r="E521" s="55" t="s">
        <v>27</v>
      </c>
      <c r="F521" s="55" t="s">
        <v>1204</v>
      </c>
      <c r="G521" s="52" t="s">
        <v>29</v>
      </c>
      <c r="H521" s="54">
        <v>46200</v>
      </c>
      <c r="I521" s="53">
        <v>46196</v>
      </c>
      <c r="J521" s="52" t="s">
        <v>202</v>
      </c>
      <c r="K521" s="52" t="s">
        <v>1099</v>
      </c>
      <c r="L521" s="52" t="s">
        <v>40</v>
      </c>
      <c r="M521" s="52" t="s">
        <v>30</v>
      </c>
      <c r="N521" s="56">
        <f t="shared" ca="1" si="8"/>
        <v>60</v>
      </c>
    </row>
    <row r="522" spans="1:14" x14ac:dyDescent="0.25">
      <c r="A522" s="52">
        <v>521</v>
      </c>
      <c r="B522" s="52">
        <v>645318</v>
      </c>
      <c r="C522" s="52" t="s">
        <v>1205</v>
      </c>
      <c r="D522" s="55" t="s">
        <v>26</v>
      </c>
      <c r="E522" s="55" t="s">
        <v>27</v>
      </c>
      <c r="F522" s="55" t="s">
        <v>1206</v>
      </c>
      <c r="G522" s="52" t="s">
        <v>29</v>
      </c>
      <c r="H522" s="54">
        <v>46199</v>
      </c>
      <c r="I522" s="53">
        <v>46195</v>
      </c>
      <c r="J522" s="52" t="s">
        <v>202</v>
      </c>
      <c r="K522" s="52" t="s">
        <v>1168</v>
      </c>
      <c r="L522" s="52" t="s">
        <v>40</v>
      </c>
      <c r="M522" s="52" t="s">
        <v>30</v>
      </c>
      <c r="N522" s="56">
        <f t="shared" ca="1" si="8"/>
        <v>61</v>
      </c>
    </row>
    <row r="523" spans="1:14" x14ac:dyDescent="0.25">
      <c r="A523" s="52">
        <v>522</v>
      </c>
      <c r="B523" s="52">
        <v>645347</v>
      </c>
      <c r="C523" s="52" t="s">
        <v>1207</v>
      </c>
      <c r="D523" s="55" t="s">
        <v>26</v>
      </c>
      <c r="E523" s="55" t="s">
        <v>27</v>
      </c>
      <c r="F523" s="55" t="s">
        <v>1208</v>
      </c>
      <c r="G523" s="52" t="s">
        <v>29</v>
      </c>
      <c r="H523" s="54">
        <v>46200</v>
      </c>
      <c r="I523" s="53">
        <v>46196</v>
      </c>
      <c r="J523" s="52" t="s">
        <v>77</v>
      </c>
      <c r="K523" s="52" t="s">
        <v>1008</v>
      </c>
      <c r="L523" s="52" t="s">
        <v>40</v>
      </c>
      <c r="M523" s="52" t="s">
        <v>30</v>
      </c>
      <c r="N523" s="56">
        <f t="shared" ca="1" si="8"/>
        <v>60</v>
      </c>
    </row>
    <row r="524" spans="1:14" x14ac:dyDescent="0.25">
      <c r="A524" s="52">
        <v>523</v>
      </c>
      <c r="B524" s="52">
        <v>645342</v>
      </c>
      <c r="C524" s="52" t="s">
        <v>1209</v>
      </c>
      <c r="D524" s="55" t="s">
        <v>26</v>
      </c>
      <c r="E524" s="55" t="s">
        <v>27</v>
      </c>
      <c r="F524" s="55" t="s">
        <v>1210</v>
      </c>
      <c r="G524" s="52" t="s">
        <v>29</v>
      </c>
      <c r="H524" s="54">
        <v>46199</v>
      </c>
      <c r="I524" s="53">
        <v>46195</v>
      </c>
      <c r="J524" s="52" t="s">
        <v>77</v>
      </c>
      <c r="K524" s="52" t="s">
        <v>1078</v>
      </c>
      <c r="L524" s="52" t="s">
        <v>40</v>
      </c>
      <c r="M524" s="52" t="s">
        <v>30</v>
      </c>
      <c r="N524" s="56">
        <f t="shared" ca="1" si="8"/>
        <v>61</v>
      </c>
    </row>
    <row r="525" spans="1:14" x14ac:dyDescent="0.25">
      <c r="A525" s="52">
        <v>524</v>
      </c>
      <c r="B525" s="52">
        <v>645324</v>
      </c>
      <c r="C525" s="52" t="s">
        <v>1211</v>
      </c>
      <c r="D525" s="55" t="s">
        <v>163</v>
      </c>
      <c r="E525" s="55" t="s">
        <v>27</v>
      </c>
      <c r="F525" s="55" t="s">
        <v>1212</v>
      </c>
      <c r="G525" s="52" t="s">
        <v>29</v>
      </c>
      <c r="H525" s="54">
        <v>46199</v>
      </c>
      <c r="I525" s="53">
        <v>46196</v>
      </c>
      <c r="J525" s="52" t="s">
        <v>202</v>
      </c>
      <c r="K525" s="52" t="s">
        <v>1129</v>
      </c>
      <c r="L525" s="52" t="s">
        <v>40</v>
      </c>
      <c r="M525" s="52" t="s">
        <v>30</v>
      </c>
      <c r="N525" s="56">
        <f t="shared" ca="1" si="8"/>
        <v>60</v>
      </c>
    </row>
    <row r="526" spans="1:14" x14ac:dyDescent="0.25">
      <c r="A526" s="52">
        <v>525</v>
      </c>
      <c r="B526" s="52">
        <v>645340</v>
      </c>
      <c r="C526" s="52" t="s">
        <v>1213</v>
      </c>
      <c r="D526" s="55" t="s">
        <v>26</v>
      </c>
      <c r="E526" s="55" t="s">
        <v>27</v>
      </c>
      <c r="F526" s="55" t="s">
        <v>1214</v>
      </c>
      <c r="G526" s="52" t="s">
        <v>29</v>
      </c>
      <c r="H526" s="54">
        <v>46199</v>
      </c>
      <c r="I526" s="53">
        <v>46195</v>
      </c>
      <c r="J526" s="52" t="s">
        <v>202</v>
      </c>
      <c r="K526" s="52" t="s">
        <v>1215</v>
      </c>
      <c r="L526" s="52" t="s">
        <v>40</v>
      </c>
      <c r="M526" s="52" t="s">
        <v>1216</v>
      </c>
      <c r="N526" s="56">
        <f t="shared" ca="1" si="8"/>
        <v>61</v>
      </c>
    </row>
    <row r="527" spans="1:14" x14ac:dyDescent="0.25">
      <c r="A527" s="52">
        <v>526</v>
      </c>
      <c r="B527" s="52">
        <v>645363</v>
      </c>
      <c r="C527" s="52" t="s">
        <v>1217</v>
      </c>
      <c r="D527" s="55" t="s">
        <v>26</v>
      </c>
      <c r="E527" s="55" t="s">
        <v>27</v>
      </c>
      <c r="F527" s="55" t="s">
        <v>1218</v>
      </c>
      <c r="G527" s="52" t="s">
        <v>29</v>
      </c>
      <c r="H527" s="54">
        <v>46200</v>
      </c>
      <c r="I527" s="53">
        <v>46196</v>
      </c>
      <c r="J527" s="52" t="s">
        <v>202</v>
      </c>
      <c r="K527" s="52" t="s">
        <v>1183</v>
      </c>
      <c r="L527" s="52" t="s">
        <v>40</v>
      </c>
      <c r="M527" s="52" t="s">
        <v>718</v>
      </c>
      <c r="N527" s="56">
        <f t="shared" ca="1" si="8"/>
        <v>60</v>
      </c>
    </row>
    <row r="528" spans="1:14" x14ac:dyDescent="0.25">
      <c r="A528" s="52">
        <v>527</v>
      </c>
      <c r="B528" s="52">
        <v>645369</v>
      </c>
      <c r="C528" s="52" t="s">
        <v>1219</v>
      </c>
      <c r="D528" s="55" t="s">
        <v>26</v>
      </c>
      <c r="E528" s="55" t="s">
        <v>27</v>
      </c>
      <c r="F528" s="55" t="s">
        <v>1220</v>
      </c>
      <c r="G528" s="52" t="s">
        <v>29</v>
      </c>
      <c r="H528" s="54">
        <v>46199</v>
      </c>
      <c r="I528" s="53">
        <v>46196</v>
      </c>
      <c r="J528" s="52" t="s">
        <v>77</v>
      </c>
      <c r="K528" s="52" t="s">
        <v>1008</v>
      </c>
      <c r="L528" s="52" t="s">
        <v>40</v>
      </c>
      <c r="M528" s="52" t="s">
        <v>1221</v>
      </c>
      <c r="N528" s="56">
        <f t="shared" ca="1" si="8"/>
        <v>60</v>
      </c>
    </row>
    <row r="529" spans="1:14" x14ac:dyDescent="0.25">
      <c r="A529" s="52">
        <v>528</v>
      </c>
      <c r="B529" s="52">
        <v>594755</v>
      </c>
      <c r="C529" s="52" t="s">
        <v>1222</v>
      </c>
      <c r="D529" s="55" t="s">
        <v>26</v>
      </c>
      <c r="E529" s="55" t="s">
        <v>27</v>
      </c>
      <c r="F529" s="55" t="s">
        <v>1223</v>
      </c>
      <c r="G529" s="52" t="s">
        <v>29</v>
      </c>
      <c r="H529" s="54">
        <v>46200</v>
      </c>
      <c r="I529" s="53">
        <v>46196</v>
      </c>
      <c r="J529" s="52" t="s">
        <v>30</v>
      </c>
      <c r="K529" s="52" t="s">
        <v>30</v>
      </c>
      <c r="L529" s="52" t="s">
        <v>155</v>
      </c>
      <c r="M529" s="52" t="s">
        <v>1224</v>
      </c>
      <c r="N529" s="56">
        <f t="shared" ca="1" si="8"/>
        <v>60</v>
      </c>
    </row>
    <row r="530" spans="1:14" x14ac:dyDescent="0.25">
      <c r="A530" s="52">
        <v>529</v>
      </c>
      <c r="B530" s="52">
        <v>645364</v>
      </c>
      <c r="C530" s="52" t="s">
        <v>1225</v>
      </c>
      <c r="D530" s="55" t="s">
        <v>26</v>
      </c>
      <c r="E530" s="55" t="s">
        <v>27</v>
      </c>
      <c r="F530" s="55" t="s">
        <v>1226</v>
      </c>
      <c r="G530" s="52" t="s">
        <v>29</v>
      </c>
      <c r="H530" s="54">
        <v>46200</v>
      </c>
      <c r="I530" s="53">
        <v>46196</v>
      </c>
      <c r="J530" s="52" t="s">
        <v>77</v>
      </c>
      <c r="K530" s="52" t="s">
        <v>1202</v>
      </c>
      <c r="L530" s="52" t="s">
        <v>40</v>
      </c>
      <c r="M530" s="52" t="s">
        <v>30</v>
      </c>
      <c r="N530" s="56">
        <f t="shared" ca="1" si="8"/>
        <v>60</v>
      </c>
    </row>
    <row r="531" spans="1:14" x14ac:dyDescent="0.25">
      <c r="A531" s="52">
        <v>530</v>
      </c>
      <c r="B531" s="52">
        <v>278096</v>
      </c>
      <c r="C531" s="52" t="s">
        <v>1227</v>
      </c>
      <c r="D531" s="55" t="s">
        <v>26</v>
      </c>
      <c r="E531" s="55" t="s">
        <v>27</v>
      </c>
      <c r="F531" s="55" t="s">
        <v>1228</v>
      </c>
      <c r="G531" s="52" t="s">
        <v>29</v>
      </c>
      <c r="H531" s="54">
        <v>46200</v>
      </c>
      <c r="I531" s="53">
        <v>46196</v>
      </c>
      <c r="J531" s="52" t="s">
        <v>202</v>
      </c>
      <c r="K531" s="52" t="s">
        <v>1099</v>
      </c>
      <c r="L531" s="52" t="s">
        <v>40</v>
      </c>
      <c r="M531" s="52" t="s">
        <v>30</v>
      </c>
      <c r="N531" s="56">
        <f t="shared" ca="1" si="8"/>
        <v>60</v>
      </c>
    </row>
    <row r="532" spans="1:14" x14ac:dyDescent="0.25">
      <c r="A532" s="52">
        <v>531</v>
      </c>
      <c r="B532" s="52">
        <v>645358</v>
      </c>
      <c r="C532" s="52" t="s">
        <v>1229</v>
      </c>
      <c r="D532" s="55" t="s">
        <v>26</v>
      </c>
      <c r="E532" s="55" t="s">
        <v>27</v>
      </c>
      <c r="F532" s="55" t="s">
        <v>1230</v>
      </c>
      <c r="G532" s="52" t="s">
        <v>29</v>
      </c>
      <c r="H532" s="54">
        <v>46200</v>
      </c>
      <c r="I532" s="53">
        <v>46196</v>
      </c>
      <c r="J532" s="52" t="s">
        <v>77</v>
      </c>
      <c r="K532" s="52" t="s">
        <v>1008</v>
      </c>
      <c r="L532" s="52" t="s">
        <v>40</v>
      </c>
      <c r="M532" s="52" t="s">
        <v>30</v>
      </c>
      <c r="N532" s="56">
        <f t="shared" ca="1" si="8"/>
        <v>60</v>
      </c>
    </row>
    <row r="533" spans="1:14" x14ac:dyDescent="0.25">
      <c r="A533" s="52">
        <v>532</v>
      </c>
      <c r="B533" s="52">
        <v>645337</v>
      </c>
      <c r="C533" s="52" t="s">
        <v>1231</v>
      </c>
      <c r="D533" s="55" t="s">
        <v>26</v>
      </c>
      <c r="E533" s="55" t="s">
        <v>27</v>
      </c>
      <c r="F533" s="55" t="s">
        <v>1232</v>
      </c>
      <c r="G533" s="52" t="s">
        <v>29</v>
      </c>
      <c r="H533" s="54">
        <v>46199</v>
      </c>
      <c r="I533" s="53">
        <v>46195</v>
      </c>
      <c r="J533" s="52" t="s">
        <v>77</v>
      </c>
      <c r="K533" s="52" t="s">
        <v>1078</v>
      </c>
      <c r="L533" s="52" t="s">
        <v>40</v>
      </c>
      <c r="M533" s="52" t="s">
        <v>30</v>
      </c>
      <c r="N533" s="56">
        <f t="shared" ca="1" si="8"/>
        <v>61</v>
      </c>
    </row>
    <row r="534" spans="1:14" x14ac:dyDescent="0.25">
      <c r="A534" s="52">
        <v>533</v>
      </c>
      <c r="B534" s="52">
        <v>261882</v>
      </c>
      <c r="C534" s="52" t="s">
        <v>1233</v>
      </c>
      <c r="D534" s="55" t="s">
        <v>26</v>
      </c>
      <c r="E534" s="55" t="s">
        <v>27</v>
      </c>
      <c r="F534" s="55" t="s">
        <v>30</v>
      </c>
      <c r="G534" s="52" t="s">
        <v>30</v>
      </c>
      <c r="H534" s="54" t="s">
        <v>30</v>
      </c>
      <c r="I534" s="53" t="s">
        <v>30</v>
      </c>
      <c r="J534" s="52" t="s">
        <v>30</v>
      </c>
      <c r="K534" s="52" t="s">
        <v>30</v>
      </c>
      <c r="L534" s="52" t="s">
        <v>40</v>
      </c>
      <c r="M534" s="52" t="s">
        <v>30</v>
      </c>
      <c r="N534" s="56" t="str">
        <f t="shared" ca="1" si="8"/>
        <v>-</v>
      </c>
    </row>
    <row r="535" spans="1:14" x14ac:dyDescent="0.25">
      <c r="A535" s="52">
        <v>534</v>
      </c>
      <c r="B535" s="52">
        <v>268940</v>
      </c>
      <c r="C535" s="52" t="s">
        <v>1234</v>
      </c>
      <c r="D535" s="55" t="s">
        <v>26</v>
      </c>
      <c r="E535" s="55" t="s">
        <v>27</v>
      </c>
      <c r="F535" s="55" t="s">
        <v>1235</v>
      </c>
      <c r="G535" s="52" t="s">
        <v>76</v>
      </c>
      <c r="H535" s="54" t="s">
        <v>30</v>
      </c>
      <c r="I535" s="53">
        <v>45679</v>
      </c>
      <c r="J535" s="52" t="s">
        <v>77</v>
      </c>
      <c r="K535" s="52" t="s">
        <v>1078</v>
      </c>
      <c r="L535" s="52" t="s">
        <v>40</v>
      </c>
      <c r="M535" s="52" t="s">
        <v>30</v>
      </c>
      <c r="N535" s="56">
        <f t="shared" ca="1" si="8"/>
        <v>577</v>
      </c>
    </row>
    <row r="536" spans="1:14" x14ac:dyDescent="0.25">
      <c r="A536" s="52">
        <v>535</v>
      </c>
      <c r="B536" s="52">
        <v>634561</v>
      </c>
      <c r="C536" s="52" t="s">
        <v>1236</v>
      </c>
      <c r="D536" s="55" t="s">
        <v>26</v>
      </c>
      <c r="E536" s="55" t="s">
        <v>27</v>
      </c>
      <c r="F536" s="55" t="s">
        <v>1237</v>
      </c>
      <c r="G536" s="52" t="s">
        <v>76</v>
      </c>
      <c r="H536" s="54" t="s">
        <v>30</v>
      </c>
      <c r="I536" s="53">
        <v>45856</v>
      </c>
      <c r="J536" s="52" t="s">
        <v>77</v>
      </c>
      <c r="K536" s="52" t="s">
        <v>1008</v>
      </c>
      <c r="L536" s="52" t="s">
        <v>40</v>
      </c>
      <c r="M536" s="52" t="s">
        <v>30</v>
      </c>
      <c r="N536" s="56">
        <f t="shared" ca="1" si="8"/>
        <v>400</v>
      </c>
    </row>
    <row r="537" spans="1:14" x14ac:dyDescent="0.25">
      <c r="A537" s="52">
        <v>536</v>
      </c>
      <c r="B537" s="52">
        <v>634504</v>
      </c>
      <c r="C537" s="52" t="s">
        <v>1238</v>
      </c>
      <c r="D537" s="55" t="s">
        <v>26</v>
      </c>
      <c r="E537" s="55" t="s">
        <v>27</v>
      </c>
      <c r="F537" s="55" t="s">
        <v>1239</v>
      </c>
      <c r="G537" s="52" t="s">
        <v>76</v>
      </c>
      <c r="H537" s="54" t="s">
        <v>30</v>
      </c>
      <c r="I537" s="53">
        <v>45852</v>
      </c>
      <c r="J537" s="52" t="s">
        <v>372</v>
      </c>
      <c r="K537" s="52" t="s">
        <v>1240</v>
      </c>
      <c r="L537" s="52" t="s">
        <v>66</v>
      </c>
      <c r="M537" s="52" t="s">
        <v>1241</v>
      </c>
      <c r="N537" s="56">
        <f t="shared" ca="1" si="8"/>
        <v>404</v>
      </c>
    </row>
    <row r="538" spans="1:14" x14ac:dyDescent="0.25">
      <c r="A538" s="52">
        <v>537</v>
      </c>
      <c r="B538" s="52">
        <v>507174</v>
      </c>
      <c r="C538" s="52" t="s">
        <v>1242</v>
      </c>
      <c r="D538" s="55" t="s">
        <v>26</v>
      </c>
      <c r="E538" s="55" t="s">
        <v>27</v>
      </c>
      <c r="F538" s="55" t="s">
        <v>1243</v>
      </c>
      <c r="G538" s="52" t="s">
        <v>29</v>
      </c>
      <c r="H538" s="54">
        <v>46200</v>
      </c>
      <c r="I538" s="53">
        <v>46196</v>
      </c>
      <c r="J538" s="52" t="s">
        <v>77</v>
      </c>
      <c r="K538" s="52" t="s">
        <v>1008</v>
      </c>
      <c r="L538" s="52" t="s">
        <v>40</v>
      </c>
      <c r="M538" s="52" t="s">
        <v>30</v>
      </c>
      <c r="N538" s="56">
        <f t="shared" ca="1" si="8"/>
        <v>60</v>
      </c>
    </row>
    <row r="539" spans="1:14" x14ac:dyDescent="0.25">
      <c r="A539" s="52">
        <v>538</v>
      </c>
      <c r="B539" s="52">
        <v>645392</v>
      </c>
      <c r="C539" s="52" t="s">
        <v>1244</v>
      </c>
      <c r="D539" s="55" t="s">
        <v>26</v>
      </c>
      <c r="E539" s="55" t="s">
        <v>27</v>
      </c>
      <c r="F539" s="55" t="s">
        <v>1245</v>
      </c>
      <c r="G539" s="52" t="s">
        <v>29</v>
      </c>
      <c r="H539" s="54">
        <v>46200</v>
      </c>
      <c r="I539" s="53">
        <v>46196</v>
      </c>
      <c r="J539" s="52" t="s">
        <v>202</v>
      </c>
      <c r="K539" s="52" t="s">
        <v>1246</v>
      </c>
      <c r="L539" s="52" t="s">
        <v>40</v>
      </c>
      <c r="M539" s="52"/>
      <c r="N539" s="56">
        <f t="shared" ca="1" si="8"/>
        <v>60</v>
      </c>
    </row>
    <row r="540" spans="1:14" x14ac:dyDescent="0.25">
      <c r="A540" s="52">
        <v>539</v>
      </c>
      <c r="B540" s="52">
        <v>645384</v>
      </c>
      <c r="C540" s="52" t="s">
        <v>1247</v>
      </c>
      <c r="D540" s="55" t="s">
        <v>26</v>
      </c>
      <c r="E540" s="55" t="s">
        <v>27</v>
      </c>
      <c r="F540" s="55" t="s">
        <v>1248</v>
      </c>
      <c r="G540" s="52" t="s">
        <v>29</v>
      </c>
      <c r="H540" s="54">
        <v>46200</v>
      </c>
      <c r="I540" s="53">
        <v>46196</v>
      </c>
      <c r="J540" s="52" t="s">
        <v>77</v>
      </c>
      <c r="K540" s="52" t="s">
        <v>1008</v>
      </c>
      <c r="L540" s="52" t="s">
        <v>40</v>
      </c>
      <c r="M540" s="52" t="s">
        <v>30</v>
      </c>
      <c r="N540" s="56">
        <f t="shared" ca="1" si="8"/>
        <v>60</v>
      </c>
    </row>
    <row r="541" spans="1:14" x14ac:dyDescent="0.25">
      <c r="A541" s="52">
        <v>540</v>
      </c>
      <c r="B541" s="52">
        <v>645389</v>
      </c>
      <c r="C541" s="52" t="s">
        <v>1249</v>
      </c>
      <c r="D541" s="55" t="s">
        <v>26</v>
      </c>
      <c r="E541" s="55" t="s">
        <v>27</v>
      </c>
      <c r="F541" s="55" t="s">
        <v>1250</v>
      </c>
      <c r="G541" s="52" t="s">
        <v>29</v>
      </c>
      <c r="H541" s="54">
        <v>46200</v>
      </c>
      <c r="I541" s="53">
        <v>46196</v>
      </c>
      <c r="J541" s="52" t="s">
        <v>77</v>
      </c>
      <c r="K541" s="52" t="s">
        <v>1202</v>
      </c>
      <c r="L541" s="52" t="s">
        <v>40</v>
      </c>
      <c r="M541" s="52" t="s">
        <v>30</v>
      </c>
      <c r="N541" s="56">
        <f t="shared" ca="1" si="8"/>
        <v>60</v>
      </c>
    </row>
    <row r="542" spans="1:14" x14ac:dyDescent="0.25">
      <c r="A542" s="52">
        <v>541</v>
      </c>
      <c r="B542" s="52">
        <v>645397</v>
      </c>
      <c r="C542" s="52" t="s">
        <v>1251</v>
      </c>
      <c r="D542" s="55" t="s">
        <v>26</v>
      </c>
      <c r="E542" s="55" t="s">
        <v>27</v>
      </c>
      <c r="F542" s="55" t="s">
        <v>1252</v>
      </c>
      <c r="G542" s="52" t="s">
        <v>29</v>
      </c>
      <c r="H542" s="54">
        <v>46200</v>
      </c>
      <c r="I542" s="53">
        <v>46196</v>
      </c>
      <c r="J542" s="52" t="s">
        <v>77</v>
      </c>
      <c r="K542" s="52" t="s">
        <v>1008</v>
      </c>
      <c r="L542" s="52" t="s">
        <v>40</v>
      </c>
      <c r="M542" s="52" t="s">
        <v>30</v>
      </c>
      <c r="N542" s="56">
        <f t="shared" ca="1" si="8"/>
        <v>60</v>
      </c>
    </row>
    <row r="543" spans="1:14" x14ac:dyDescent="0.25">
      <c r="A543" s="52">
        <v>542</v>
      </c>
      <c r="B543" s="52">
        <v>645390</v>
      </c>
      <c r="C543" s="52" t="s">
        <v>1253</v>
      </c>
      <c r="D543" s="55" t="s">
        <v>26</v>
      </c>
      <c r="E543" s="55" t="s">
        <v>27</v>
      </c>
      <c r="F543" s="55" t="s">
        <v>1254</v>
      </c>
      <c r="G543" s="52" t="s">
        <v>29</v>
      </c>
      <c r="H543" s="54" t="s">
        <v>30</v>
      </c>
      <c r="I543" s="53">
        <v>46196</v>
      </c>
      <c r="J543" s="52" t="s">
        <v>30</v>
      </c>
      <c r="K543" s="52" t="s">
        <v>30</v>
      </c>
      <c r="L543" s="52" t="s">
        <v>1255</v>
      </c>
      <c r="M543" s="52" t="s">
        <v>30</v>
      </c>
      <c r="N543" s="56">
        <f t="shared" ca="1" si="8"/>
        <v>60</v>
      </c>
    </row>
    <row r="544" spans="1:14" x14ac:dyDescent="0.25">
      <c r="A544" s="52">
        <v>543</v>
      </c>
      <c r="B544" s="52">
        <v>645388</v>
      </c>
      <c r="C544" s="52" t="s">
        <v>1256</v>
      </c>
      <c r="D544" s="55" t="s">
        <v>26</v>
      </c>
      <c r="E544" s="55" t="s">
        <v>27</v>
      </c>
      <c r="F544" s="55" t="s">
        <v>1257</v>
      </c>
      <c r="G544" s="52" t="s">
        <v>29</v>
      </c>
      <c r="H544" s="54">
        <v>46200</v>
      </c>
      <c r="I544" s="53">
        <v>46196</v>
      </c>
      <c r="J544" s="52" t="s">
        <v>77</v>
      </c>
      <c r="K544" s="52" t="s">
        <v>1008</v>
      </c>
      <c r="L544" s="52" t="s">
        <v>40</v>
      </c>
      <c r="M544" s="52" t="s">
        <v>30</v>
      </c>
      <c r="N544" s="56">
        <f t="shared" ca="1" si="8"/>
        <v>60</v>
      </c>
    </row>
    <row r="545" spans="1:14" x14ac:dyDescent="0.25">
      <c r="A545" s="52">
        <v>544</v>
      </c>
      <c r="B545" s="52">
        <v>645383</v>
      </c>
      <c r="C545" s="52" t="s">
        <v>1258</v>
      </c>
      <c r="D545" s="55" t="s">
        <v>26</v>
      </c>
      <c r="E545" s="55" t="s">
        <v>27</v>
      </c>
      <c r="F545" s="55" t="s">
        <v>1259</v>
      </c>
      <c r="G545" s="52" t="s">
        <v>29</v>
      </c>
      <c r="H545" s="54">
        <v>46203</v>
      </c>
      <c r="I545" s="53">
        <v>46196</v>
      </c>
      <c r="J545" s="52" t="s">
        <v>77</v>
      </c>
      <c r="K545" s="52" t="s">
        <v>1202</v>
      </c>
      <c r="L545" s="52" t="s">
        <v>40</v>
      </c>
      <c r="M545" s="52" t="s">
        <v>30</v>
      </c>
      <c r="N545" s="56">
        <f t="shared" ca="1" si="8"/>
        <v>60</v>
      </c>
    </row>
    <row r="546" spans="1:14" x14ac:dyDescent="0.25">
      <c r="A546" s="52">
        <v>545</v>
      </c>
      <c r="B546" s="52">
        <v>645394</v>
      </c>
      <c r="C546" s="52" t="s">
        <v>1260</v>
      </c>
      <c r="D546" s="55" t="s">
        <v>26</v>
      </c>
      <c r="E546" s="55" t="s">
        <v>27</v>
      </c>
      <c r="F546" s="55" t="s">
        <v>1261</v>
      </c>
      <c r="G546" s="52" t="s">
        <v>29</v>
      </c>
      <c r="H546" s="54">
        <v>46203</v>
      </c>
      <c r="I546" s="53">
        <v>46196</v>
      </c>
      <c r="J546" s="52" t="s">
        <v>202</v>
      </c>
      <c r="K546" s="52" t="s">
        <v>1262</v>
      </c>
      <c r="L546" s="52" t="s">
        <v>40</v>
      </c>
      <c r="M546" s="52" t="s">
        <v>30</v>
      </c>
      <c r="N546" s="56">
        <f t="shared" ca="1" si="8"/>
        <v>60</v>
      </c>
    </row>
    <row r="547" spans="1:14" x14ac:dyDescent="0.25">
      <c r="A547" s="52">
        <v>546</v>
      </c>
      <c r="B547" s="52">
        <v>440766</v>
      </c>
      <c r="C547" s="52" t="s">
        <v>1263</v>
      </c>
      <c r="D547" s="55" t="s">
        <v>63</v>
      </c>
      <c r="E547" s="55" t="s">
        <v>27</v>
      </c>
      <c r="F547" s="55">
        <v>406594876</v>
      </c>
      <c r="G547" s="52" t="s">
        <v>29</v>
      </c>
      <c r="H547" s="54">
        <v>46203</v>
      </c>
      <c r="I547" s="53">
        <v>46197</v>
      </c>
      <c r="J547" s="52" t="s">
        <v>77</v>
      </c>
      <c r="K547" s="52" t="s">
        <v>1202</v>
      </c>
      <c r="L547" s="52" t="s">
        <v>40</v>
      </c>
      <c r="M547" s="52" t="s">
        <v>30</v>
      </c>
      <c r="N547" s="56">
        <f t="shared" ca="1" si="8"/>
        <v>59</v>
      </c>
    </row>
    <row r="548" spans="1:14" x14ac:dyDescent="0.25">
      <c r="A548" s="52">
        <v>547</v>
      </c>
      <c r="B548" s="52">
        <v>645386</v>
      </c>
      <c r="C548" s="52" t="s">
        <v>1264</v>
      </c>
      <c r="D548" s="55" t="s">
        <v>26</v>
      </c>
      <c r="E548" s="55" t="s">
        <v>27</v>
      </c>
      <c r="F548" s="55" t="s">
        <v>1265</v>
      </c>
      <c r="G548" s="52" t="s">
        <v>29</v>
      </c>
      <c r="H548" s="54">
        <v>46200</v>
      </c>
      <c r="I548" s="53">
        <v>46196</v>
      </c>
      <c r="J548" s="52" t="s">
        <v>77</v>
      </c>
      <c r="K548" s="52" t="s">
        <v>1008</v>
      </c>
      <c r="L548" s="52" t="s">
        <v>40</v>
      </c>
      <c r="M548" s="52" t="s">
        <v>30</v>
      </c>
      <c r="N548" s="56">
        <f t="shared" ca="1" si="8"/>
        <v>60</v>
      </c>
    </row>
    <row r="549" spans="1:14" x14ac:dyDescent="0.25">
      <c r="A549" s="52">
        <v>548</v>
      </c>
      <c r="B549" s="52">
        <v>645398</v>
      </c>
      <c r="C549" s="52" t="s">
        <v>1266</v>
      </c>
      <c r="D549" s="55" t="s">
        <v>63</v>
      </c>
      <c r="E549" s="55" t="s">
        <v>27</v>
      </c>
      <c r="F549" s="55">
        <v>404681372</v>
      </c>
      <c r="G549" s="52" t="s">
        <v>29</v>
      </c>
      <c r="H549" s="54">
        <v>46203</v>
      </c>
      <c r="I549" s="53">
        <v>46196</v>
      </c>
      <c r="J549" s="52" t="s">
        <v>202</v>
      </c>
      <c r="K549" s="52" t="s">
        <v>1267</v>
      </c>
      <c r="L549" s="52" t="s">
        <v>66</v>
      </c>
      <c r="M549" s="52" t="s">
        <v>30</v>
      </c>
      <c r="N549" s="56">
        <f t="shared" ca="1" si="8"/>
        <v>60</v>
      </c>
    </row>
    <row r="550" spans="1:14" x14ac:dyDescent="0.25">
      <c r="A550" s="52">
        <v>549</v>
      </c>
      <c r="B550" s="52">
        <v>645391</v>
      </c>
      <c r="C550" s="52" t="s">
        <v>1268</v>
      </c>
      <c r="D550" s="55" t="s">
        <v>26</v>
      </c>
      <c r="E550" s="55" t="s">
        <v>27</v>
      </c>
      <c r="F550" s="55" t="s">
        <v>1269</v>
      </c>
      <c r="G550" s="52" t="s">
        <v>29</v>
      </c>
      <c r="H550" s="54">
        <v>46200</v>
      </c>
      <c r="I550" s="53">
        <v>46196</v>
      </c>
      <c r="J550" s="52" t="s">
        <v>77</v>
      </c>
      <c r="K550" s="52" t="s">
        <v>1008</v>
      </c>
      <c r="L550" s="52" t="s">
        <v>40</v>
      </c>
      <c r="M550" s="52" t="s">
        <v>30</v>
      </c>
      <c r="N550" s="56">
        <f t="shared" ca="1" si="8"/>
        <v>60</v>
      </c>
    </row>
    <row r="551" spans="1:14" x14ac:dyDescent="0.25">
      <c r="A551" s="52">
        <v>550</v>
      </c>
      <c r="B551" s="52">
        <v>596628</v>
      </c>
      <c r="C551" s="52" t="s">
        <v>1270</v>
      </c>
      <c r="D551" s="55" t="s">
        <v>26</v>
      </c>
      <c r="E551" s="55" t="s">
        <v>27</v>
      </c>
      <c r="F551" s="55" t="s">
        <v>1271</v>
      </c>
      <c r="G551" s="52" t="s">
        <v>29</v>
      </c>
      <c r="H551" s="54" t="s">
        <v>30</v>
      </c>
      <c r="I551" s="53">
        <v>46197</v>
      </c>
      <c r="J551" s="52" t="s">
        <v>202</v>
      </c>
      <c r="K551" s="52" t="s">
        <v>1272</v>
      </c>
      <c r="L551" s="52" t="s">
        <v>66</v>
      </c>
      <c r="M551" s="52" t="s">
        <v>30</v>
      </c>
      <c r="N551" s="56">
        <f t="shared" ca="1" si="8"/>
        <v>59</v>
      </c>
    </row>
    <row r="552" spans="1:14" x14ac:dyDescent="0.25">
      <c r="A552" s="52">
        <v>551</v>
      </c>
      <c r="B552" s="52">
        <v>637823</v>
      </c>
      <c r="C552" s="52" t="s">
        <v>1273</v>
      </c>
      <c r="D552" s="55" t="s">
        <v>26</v>
      </c>
      <c r="E552" s="55" t="s">
        <v>27</v>
      </c>
      <c r="F552" s="55" t="s">
        <v>1274</v>
      </c>
      <c r="G552" s="52" t="s">
        <v>76</v>
      </c>
      <c r="H552" s="54" t="s">
        <v>30</v>
      </c>
      <c r="I552" s="53">
        <v>45874</v>
      </c>
      <c r="J552" s="52" t="s">
        <v>77</v>
      </c>
      <c r="K552" s="52" t="s">
        <v>1275</v>
      </c>
      <c r="L552" s="52" t="s">
        <v>40</v>
      </c>
      <c r="M552" s="52" t="s">
        <v>30</v>
      </c>
      <c r="N552" s="56">
        <f t="shared" ca="1" si="8"/>
        <v>382</v>
      </c>
    </row>
    <row r="553" spans="1:14" x14ac:dyDescent="0.25">
      <c r="A553" s="52">
        <v>552</v>
      </c>
      <c r="B553" s="52">
        <v>631638</v>
      </c>
      <c r="C553" s="52" t="s">
        <v>1276</v>
      </c>
      <c r="D553" s="55" t="s">
        <v>26</v>
      </c>
      <c r="E553" s="55" t="s">
        <v>27</v>
      </c>
      <c r="F553" s="55" t="s">
        <v>1277</v>
      </c>
      <c r="G553" s="52" t="s">
        <v>76</v>
      </c>
      <c r="H553" s="54" t="s">
        <v>30</v>
      </c>
      <c r="I553" s="53">
        <v>46188</v>
      </c>
      <c r="J553" s="52" t="s">
        <v>64</v>
      </c>
      <c r="K553" s="52" t="s">
        <v>1278</v>
      </c>
      <c r="L553" s="52" t="s">
        <v>40</v>
      </c>
      <c r="M553" s="52" t="s">
        <v>1241</v>
      </c>
      <c r="N553" s="56">
        <f t="shared" ca="1" si="8"/>
        <v>68</v>
      </c>
    </row>
    <row r="554" spans="1:14" x14ac:dyDescent="0.25">
      <c r="A554" s="52">
        <v>553</v>
      </c>
      <c r="B554" s="52">
        <v>636993</v>
      </c>
      <c r="C554" s="52" t="s">
        <v>1279</v>
      </c>
      <c r="D554" s="55" t="s">
        <v>26</v>
      </c>
      <c r="E554" s="55" t="s">
        <v>27</v>
      </c>
      <c r="F554" s="55" t="s">
        <v>1280</v>
      </c>
      <c r="G554" s="52" t="s">
        <v>76</v>
      </c>
      <c r="H554" s="54" t="s">
        <v>30</v>
      </c>
      <c r="I554" s="53">
        <v>45852</v>
      </c>
      <c r="J554" s="52" t="s">
        <v>30</v>
      </c>
      <c r="K554" s="52" t="s">
        <v>1202</v>
      </c>
      <c r="L554" s="52" t="s">
        <v>40</v>
      </c>
      <c r="M554" s="52" t="s">
        <v>30</v>
      </c>
      <c r="N554" s="56">
        <f t="shared" ca="1" si="8"/>
        <v>404</v>
      </c>
    </row>
    <row r="555" spans="1:14" x14ac:dyDescent="0.25">
      <c r="A555" s="52">
        <v>554</v>
      </c>
      <c r="B555" s="52">
        <v>270946</v>
      </c>
      <c r="C555" s="52" t="s">
        <v>1281</v>
      </c>
      <c r="D555" s="55" t="s">
        <v>26</v>
      </c>
      <c r="E555" s="55" t="s">
        <v>27</v>
      </c>
      <c r="F555" s="55" t="s">
        <v>1282</v>
      </c>
      <c r="G555" s="52" t="s">
        <v>76</v>
      </c>
      <c r="H555" s="54" t="s">
        <v>30</v>
      </c>
      <c r="I555" s="53">
        <v>45873</v>
      </c>
      <c r="J555" s="52" t="s">
        <v>30</v>
      </c>
      <c r="K555" s="52" t="s">
        <v>1283</v>
      </c>
      <c r="L555" s="52" t="s">
        <v>40</v>
      </c>
      <c r="M555" s="52" t="s">
        <v>30</v>
      </c>
      <c r="N555" s="56">
        <f t="shared" ca="1" si="8"/>
        <v>383</v>
      </c>
    </row>
    <row r="556" spans="1:14" x14ac:dyDescent="0.25">
      <c r="A556" s="52">
        <v>555</v>
      </c>
      <c r="B556" s="52">
        <v>429568</v>
      </c>
      <c r="C556" s="52" t="s">
        <v>1284</v>
      </c>
      <c r="D556" s="55" t="s">
        <v>26</v>
      </c>
      <c r="E556" s="55" t="s">
        <v>27</v>
      </c>
      <c r="F556" s="55" t="s">
        <v>1285</v>
      </c>
      <c r="G556" s="52" t="s">
        <v>76</v>
      </c>
      <c r="H556" s="54" t="s">
        <v>30</v>
      </c>
      <c r="I556" s="53">
        <v>46088</v>
      </c>
      <c r="J556" s="52" t="s">
        <v>30</v>
      </c>
      <c r="K556" s="52" t="s">
        <v>1202</v>
      </c>
      <c r="L556" s="52" t="s">
        <v>40</v>
      </c>
      <c r="M556" s="52" t="s">
        <v>30</v>
      </c>
      <c r="N556" s="56">
        <f t="shared" ca="1" si="8"/>
        <v>168</v>
      </c>
    </row>
    <row r="557" spans="1:14" x14ac:dyDescent="0.25">
      <c r="A557" s="52">
        <v>556</v>
      </c>
      <c r="B557" s="52">
        <v>613888</v>
      </c>
      <c r="C557" s="52" t="s">
        <v>1286</v>
      </c>
      <c r="D557" s="55" t="s">
        <v>26</v>
      </c>
      <c r="E557" s="55" t="s">
        <v>27</v>
      </c>
      <c r="F557" s="55" t="s">
        <v>1287</v>
      </c>
      <c r="G557" s="52" t="s">
        <v>76</v>
      </c>
      <c r="H557" s="54" t="s">
        <v>30</v>
      </c>
      <c r="I557" s="53">
        <v>45495</v>
      </c>
      <c r="J557" s="52" t="s">
        <v>77</v>
      </c>
      <c r="K557" s="52" t="s">
        <v>1288</v>
      </c>
      <c r="L557" s="52" t="s">
        <v>40</v>
      </c>
      <c r="M557" s="52" t="s">
        <v>30</v>
      </c>
      <c r="N557" s="56">
        <f t="shared" ca="1" si="8"/>
        <v>761</v>
      </c>
    </row>
    <row r="558" spans="1:14" x14ac:dyDescent="0.25">
      <c r="A558" s="52">
        <v>557</v>
      </c>
      <c r="B558" s="52">
        <v>634712</v>
      </c>
      <c r="C558" s="52" t="s">
        <v>1289</v>
      </c>
      <c r="D558" s="55" t="s">
        <v>26</v>
      </c>
      <c r="E558" s="55" t="s">
        <v>27</v>
      </c>
      <c r="F558" s="55" t="s">
        <v>1290</v>
      </c>
      <c r="G558" s="52" t="s">
        <v>76</v>
      </c>
      <c r="H558" s="54" t="s">
        <v>30</v>
      </c>
      <c r="I558" s="53">
        <v>45867</v>
      </c>
      <c r="J558" s="52" t="s">
        <v>31</v>
      </c>
      <c r="K558" s="52" t="s">
        <v>1283</v>
      </c>
      <c r="L558" s="52" t="s">
        <v>40</v>
      </c>
      <c r="M558" s="52" t="s">
        <v>1241</v>
      </c>
      <c r="N558" s="56">
        <f t="shared" ca="1" si="8"/>
        <v>389</v>
      </c>
    </row>
    <row r="559" spans="1:14" x14ac:dyDescent="0.25">
      <c r="A559" s="52">
        <v>558</v>
      </c>
      <c r="B559" s="52">
        <v>462126</v>
      </c>
      <c r="C559" s="52" t="s">
        <v>1291</v>
      </c>
      <c r="D559" s="55" t="s">
        <v>26</v>
      </c>
      <c r="E559" s="55" t="s">
        <v>27</v>
      </c>
      <c r="F559" s="55" t="s">
        <v>1292</v>
      </c>
      <c r="G559" s="52" t="s">
        <v>76</v>
      </c>
      <c r="H559" s="54" t="s">
        <v>30</v>
      </c>
      <c r="I559" s="53">
        <v>46157</v>
      </c>
      <c r="J559" s="52" t="s">
        <v>30</v>
      </c>
      <c r="K559" s="52" t="s">
        <v>30</v>
      </c>
      <c r="L559" s="52" t="s">
        <v>1177</v>
      </c>
      <c r="M559" s="52" t="s">
        <v>1293</v>
      </c>
      <c r="N559" s="56">
        <f t="shared" ca="1" si="8"/>
        <v>99</v>
      </c>
    </row>
    <row r="560" spans="1:14" x14ac:dyDescent="0.25">
      <c r="A560" s="52">
        <v>559</v>
      </c>
      <c r="B560" s="52">
        <v>645533</v>
      </c>
      <c r="C560" s="52" t="s">
        <v>1294</v>
      </c>
      <c r="D560" s="55" t="s">
        <v>26</v>
      </c>
      <c r="E560" s="55" t="s">
        <v>27</v>
      </c>
      <c r="F560" s="55" t="s">
        <v>1295</v>
      </c>
      <c r="G560" s="52" t="s">
        <v>29</v>
      </c>
      <c r="H560" s="54">
        <v>46203</v>
      </c>
      <c r="I560" s="53">
        <v>46199</v>
      </c>
      <c r="J560" s="52" t="s">
        <v>202</v>
      </c>
      <c r="K560" s="52" t="s">
        <v>1262</v>
      </c>
      <c r="L560" s="52" t="s">
        <v>40</v>
      </c>
      <c r="M560" s="52" t="s">
        <v>30</v>
      </c>
      <c r="N560" s="56">
        <f t="shared" ca="1" si="8"/>
        <v>57</v>
      </c>
    </row>
    <row r="561" spans="1:14" x14ac:dyDescent="0.25">
      <c r="A561" s="52">
        <v>560</v>
      </c>
      <c r="B561" s="52">
        <v>645531</v>
      </c>
      <c r="C561" s="52" t="s">
        <v>1296</v>
      </c>
      <c r="D561" s="55" t="s">
        <v>26</v>
      </c>
      <c r="E561" s="55" t="s">
        <v>27</v>
      </c>
      <c r="F561" s="55" t="s">
        <v>1297</v>
      </c>
      <c r="G561" s="52" t="s">
        <v>29</v>
      </c>
      <c r="H561" s="54">
        <v>46203</v>
      </c>
      <c r="I561" s="53">
        <v>46199</v>
      </c>
      <c r="J561" s="52" t="s">
        <v>202</v>
      </c>
      <c r="K561" s="52" t="s">
        <v>1262</v>
      </c>
      <c r="L561" s="52" t="s">
        <v>40</v>
      </c>
      <c r="M561" s="52" t="s">
        <v>30</v>
      </c>
      <c r="N561" s="56">
        <f t="shared" ca="1" si="8"/>
        <v>57</v>
      </c>
    </row>
    <row r="562" spans="1:14" x14ac:dyDescent="0.25">
      <c r="A562" s="52">
        <v>561</v>
      </c>
      <c r="B562" s="52">
        <v>592789</v>
      </c>
      <c r="C562" s="52" t="s">
        <v>1298</v>
      </c>
      <c r="D562" s="55" t="s">
        <v>26</v>
      </c>
      <c r="E562" s="55" t="s">
        <v>27</v>
      </c>
      <c r="F562" s="55" t="s">
        <v>1299</v>
      </c>
      <c r="G562" s="52" t="s">
        <v>29</v>
      </c>
      <c r="H562" s="54">
        <v>46198</v>
      </c>
      <c r="I562" s="53">
        <v>46197</v>
      </c>
      <c r="J562" s="52" t="s">
        <v>30</v>
      </c>
      <c r="K562" s="52" t="s">
        <v>1202</v>
      </c>
      <c r="L562" s="52" t="s">
        <v>40</v>
      </c>
      <c r="M562" s="52" t="s">
        <v>30</v>
      </c>
      <c r="N562" s="56">
        <f t="shared" ca="1" si="8"/>
        <v>59</v>
      </c>
    </row>
    <row r="563" spans="1:14" x14ac:dyDescent="0.25">
      <c r="A563" s="52">
        <v>562</v>
      </c>
      <c r="B563" s="52">
        <v>645536</v>
      </c>
      <c r="C563" s="52" t="s">
        <v>1300</v>
      </c>
      <c r="D563" s="55" t="s">
        <v>26</v>
      </c>
      <c r="E563" s="55" t="s">
        <v>27</v>
      </c>
      <c r="F563" s="55" t="s">
        <v>1301</v>
      </c>
      <c r="G563" s="52" t="s">
        <v>29</v>
      </c>
      <c r="H563" s="54">
        <v>46203</v>
      </c>
      <c r="I563" s="53">
        <v>46199</v>
      </c>
      <c r="J563" s="52" t="s">
        <v>77</v>
      </c>
      <c r="K563" s="52" t="s">
        <v>1202</v>
      </c>
      <c r="L563" s="52" t="s">
        <v>40</v>
      </c>
      <c r="M563" s="52" t="s">
        <v>30</v>
      </c>
      <c r="N563" s="56">
        <f t="shared" ca="1" si="8"/>
        <v>57</v>
      </c>
    </row>
    <row r="564" spans="1:14" x14ac:dyDescent="0.25">
      <c r="A564" s="52">
        <v>563</v>
      </c>
      <c r="B564" s="52">
        <v>645534</v>
      </c>
      <c r="C564" s="52" t="s">
        <v>1302</v>
      </c>
      <c r="D564" s="55" t="s">
        <v>26</v>
      </c>
      <c r="E564" s="55" t="s">
        <v>27</v>
      </c>
      <c r="F564" s="55" t="s">
        <v>1303</v>
      </c>
      <c r="G564" s="52" t="s">
        <v>29</v>
      </c>
      <c r="H564" s="54">
        <v>46203</v>
      </c>
      <c r="I564" s="53">
        <v>46199</v>
      </c>
      <c r="J564" s="52" t="s">
        <v>77</v>
      </c>
      <c r="K564" s="52" t="s">
        <v>1202</v>
      </c>
      <c r="L564" s="52" t="s">
        <v>40</v>
      </c>
      <c r="M564" s="52" t="s">
        <v>30</v>
      </c>
      <c r="N564" s="56">
        <f t="shared" ca="1" si="8"/>
        <v>57</v>
      </c>
    </row>
    <row r="565" spans="1:14" x14ac:dyDescent="0.25">
      <c r="A565" s="52">
        <v>564</v>
      </c>
      <c r="B565" s="52">
        <v>645538</v>
      </c>
      <c r="C565" s="52" t="s">
        <v>1304</v>
      </c>
      <c r="D565" s="55" t="s">
        <v>26</v>
      </c>
      <c r="E565" s="55" t="s">
        <v>27</v>
      </c>
      <c r="F565" s="55" t="s">
        <v>1305</v>
      </c>
      <c r="G565" s="52" t="s">
        <v>29</v>
      </c>
      <c r="H565" s="54">
        <v>46203</v>
      </c>
      <c r="I565" s="53">
        <v>46196</v>
      </c>
      <c r="J565" s="52" t="s">
        <v>77</v>
      </c>
      <c r="K565" s="52" t="s">
        <v>1288</v>
      </c>
      <c r="L565" s="52" t="s">
        <v>40</v>
      </c>
      <c r="M565" s="52" t="s">
        <v>30</v>
      </c>
      <c r="N565" s="56">
        <f t="shared" ca="1" si="8"/>
        <v>60</v>
      </c>
    </row>
    <row r="566" spans="1:14" x14ac:dyDescent="0.25">
      <c r="A566" s="52">
        <v>565</v>
      </c>
      <c r="B566" s="52">
        <v>645537</v>
      </c>
      <c r="C566" s="52" t="s">
        <v>1306</v>
      </c>
      <c r="D566" s="55" t="s">
        <v>26</v>
      </c>
      <c r="E566" s="55" t="s">
        <v>27</v>
      </c>
      <c r="F566" s="55" t="s">
        <v>1307</v>
      </c>
      <c r="G566" s="52" t="s">
        <v>29</v>
      </c>
      <c r="H566" s="54">
        <v>46203</v>
      </c>
      <c r="I566" s="53">
        <v>46199</v>
      </c>
      <c r="J566" s="52" t="s">
        <v>77</v>
      </c>
      <c r="K566" s="52" t="s">
        <v>1202</v>
      </c>
      <c r="L566" s="52" t="s">
        <v>40</v>
      </c>
      <c r="M566" s="52" t="s">
        <v>30</v>
      </c>
      <c r="N566" s="56">
        <f t="shared" ca="1" si="8"/>
        <v>57</v>
      </c>
    </row>
    <row r="567" spans="1:14" x14ac:dyDescent="0.25">
      <c r="A567" s="52">
        <v>566</v>
      </c>
      <c r="B567" s="52">
        <v>645532</v>
      </c>
      <c r="C567" s="52" t="s">
        <v>1308</v>
      </c>
      <c r="D567" s="55" t="s">
        <v>26</v>
      </c>
      <c r="E567" s="55" t="s">
        <v>27</v>
      </c>
      <c r="F567" s="55" t="s">
        <v>1309</v>
      </c>
      <c r="G567" s="52" t="s">
        <v>29</v>
      </c>
      <c r="H567" s="54">
        <v>46203</v>
      </c>
      <c r="I567" s="53">
        <v>46198</v>
      </c>
      <c r="J567" s="52" t="s">
        <v>77</v>
      </c>
      <c r="K567" s="52" t="s">
        <v>1202</v>
      </c>
      <c r="L567" s="52" t="s">
        <v>40</v>
      </c>
      <c r="M567" s="52" t="s">
        <v>30</v>
      </c>
      <c r="N567" s="56">
        <f t="shared" ca="1" si="8"/>
        <v>58</v>
      </c>
    </row>
    <row r="568" spans="1:14" x14ac:dyDescent="0.25">
      <c r="A568" s="52">
        <v>567</v>
      </c>
      <c r="B568" s="52">
        <v>645529</v>
      </c>
      <c r="C568" s="52" t="s">
        <v>1310</v>
      </c>
      <c r="D568" s="55" t="s">
        <v>26</v>
      </c>
      <c r="E568" s="55" t="s">
        <v>27</v>
      </c>
      <c r="F568" s="55" t="s">
        <v>1311</v>
      </c>
      <c r="G568" s="52" t="s">
        <v>29</v>
      </c>
      <c r="H568" s="54">
        <v>46203</v>
      </c>
      <c r="I568" s="53">
        <v>46198</v>
      </c>
      <c r="J568" s="52" t="s">
        <v>77</v>
      </c>
      <c r="K568" s="52" t="s">
        <v>1202</v>
      </c>
      <c r="L568" s="52" t="s">
        <v>40</v>
      </c>
      <c r="M568" s="52" t="s">
        <v>30</v>
      </c>
      <c r="N568" s="56">
        <f t="shared" ca="1" si="8"/>
        <v>58</v>
      </c>
    </row>
    <row r="569" spans="1:14" x14ac:dyDescent="0.25">
      <c r="A569" s="52">
        <v>568</v>
      </c>
      <c r="B569" s="52">
        <v>555905</v>
      </c>
      <c r="C569" s="52" t="s">
        <v>1312</v>
      </c>
      <c r="D569" s="55" t="s">
        <v>26</v>
      </c>
      <c r="E569" s="55" t="s">
        <v>27</v>
      </c>
      <c r="F569" s="55" t="s">
        <v>1313</v>
      </c>
      <c r="G569" s="52" t="s">
        <v>76</v>
      </c>
      <c r="H569" s="54" t="s">
        <v>30</v>
      </c>
      <c r="I569" s="53">
        <v>45857</v>
      </c>
      <c r="J569" s="52" t="s">
        <v>31</v>
      </c>
      <c r="K569" s="52" t="s">
        <v>1283</v>
      </c>
      <c r="L569" s="52" t="s">
        <v>40</v>
      </c>
      <c r="M569" s="52" t="s">
        <v>1241</v>
      </c>
      <c r="N569" s="56">
        <f t="shared" ca="1" si="8"/>
        <v>399</v>
      </c>
    </row>
    <row r="570" spans="1:14" x14ac:dyDescent="0.25">
      <c r="A570" s="52">
        <v>569</v>
      </c>
      <c r="B570" s="52">
        <v>489494</v>
      </c>
      <c r="C570" s="52" t="s">
        <v>1314</v>
      </c>
      <c r="D570" s="55" t="s">
        <v>26</v>
      </c>
      <c r="E570" s="55" t="s">
        <v>27</v>
      </c>
      <c r="F570" s="55" t="s">
        <v>1315</v>
      </c>
      <c r="G570" s="52" t="s">
        <v>76</v>
      </c>
      <c r="H570" s="54" t="s">
        <v>30</v>
      </c>
      <c r="I570" s="53">
        <v>45217</v>
      </c>
      <c r="J570" s="52" t="s">
        <v>30</v>
      </c>
      <c r="K570" s="52" t="s">
        <v>1288</v>
      </c>
      <c r="L570" s="52" t="s">
        <v>40</v>
      </c>
      <c r="M570" s="52" t="s">
        <v>30</v>
      </c>
      <c r="N570" s="56">
        <f t="shared" ca="1" si="8"/>
        <v>1039</v>
      </c>
    </row>
    <row r="571" spans="1:14" x14ac:dyDescent="0.25">
      <c r="A571" s="52">
        <v>570</v>
      </c>
      <c r="B571" s="52">
        <v>645598</v>
      </c>
      <c r="C571" s="52" t="s">
        <v>1316</v>
      </c>
      <c r="D571" s="55" t="s">
        <v>26</v>
      </c>
      <c r="E571" s="55" t="s">
        <v>27</v>
      </c>
      <c r="F571" s="55" t="s">
        <v>1317</v>
      </c>
      <c r="G571" s="52" t="s">
        <v>29</v>
      </c>
      <c r="H571" s="54">
        <v>46205</v>
      </c>
      <c r="I571" s="53">
        <v>46201</v>
      </c>
      <c r="J571" s="52" t="s">
        <v>202</v>
      </c>
      <c r="K571" s="52" t="s">
        <v>1318</v>
      </c>
      <c r="L571" s="52" t="s">
        <v>40</v>
      </c>
      <c r="M571" s="52" t="s">
        <v>30</v>
      </c>
      <c r="N571" s="56">
        <f t="shared" ref="N571:N634" ca="1" si="9">IFERROR(TODAY()-I571,"-")</f>
        <v>55</v>
      </c>
    </row>
    <row r="572" spans="1:14" x14ac:dyDescent="0.25">
      <c r="A572" s="52">
        <v>571</v>
      </c>
      <c r="B572" s="52">
        <v>645603</v>
      </c>
      <c r="C572" s="52" t="s">
        <v>1319</v>
      </c>
      <c r="D572" s="55" t="s">
        <v>26</v>
      </c>
      <c r="E572" s="55" t="s">
        <v>27</v>
      </c>
      <c r="F572" s="55" t="s">
        <v>1320</v>
      </c>
      <c r="G572" s="52" t="s">
        <v>29</v>
      </c>
      <c r="H572" s="54">
        <v>46205</v>
      </c>
      <c r="I572" s="53">
        <v>46201</v>
      </c>
      <c r="J572" s="52" t="s">
        <v>77</v>
      </c>
      <c r="K572" s="52" t="s">
        <v>1202</v>
      </c>
      <c r="L572" s="52" t="s">
        <v>40</v>
      </c>
      <c r="M572" s="52" t="s">
        <v>30</v>
      </c>
      <c r="N572" s="56">
        <f t="shared" ca="1" si="9"/>
        <v>55</v>
      </c>
    </row>
    <row r="573" spans="1:14" x14ac:dyDescent="0.25">
      <c r="A573" s="52">
        <v>572</v>
      </c>
      <c r="B573" s="52">
        <v>645601</v>
      </c>
      <c r="C573" s="52" t="s">
        <v>1321</v>
      </c>
      <c r="D573" s="55" t="s">
        <v>26</v>
      </c>
      <c r="E573" s="55" t="s">
        <v>27</v>
      </c>
      <c r="F573" s="55" t="s">
        <v>1322</v>
      </c>
      <c r="G573" s="52" t="s">
        <v>29</v>
      </c>
      <c r="H573" s="54">
        <v>46205</v>
      </c>
      <c r="I573" s="53">
        <v>46201</v>
      </c>
      <c r="J573" s="52" t="s">
        <v>77</v>
      </c>
      <c r="K573" s="52" t="s">
        <v>1323</v>
      </c>
      <c r="L573" s="52" t="s">
        <v>40</v>
      </c>
      <c r="M573" s="52" t="s">
        <v>30</v>
      </c>
      <c r="N573" s="56">
        <f t="shared" ca="1" si="9"/>
        <v>55</v>
      </c>
    </row>
    <row r="574" spans="1:14" x14ac:dyDescent="0.25">
      <c r="A574" s="52">
        <v>573</v>
      </c>
      <c r="B574" s="52">
        <v>645630</v>
      </c>
      <c r="C574" s="52" t="s">
        <v>1324</v>
      </c>
      <c r="D574" s="55" t="s">
        <v>26</v>
      </c>
      <c r="E574" s="55" t="s">
        <v>27</v>
      </c>
      <c r="F574" s="55" t="s">
        <v>1325</v>
      </c>
      <c r="G574" s="52" t="s">
        <v>29</v>
      </c>
      <c r="H574" s="54">
        <v>46205</v>
      </c>
      <c r="I574" s="53">
        <v>46202</v>
      </c>
      <c r="J574" s="52" t="s">
        <v>77</v>
      </c>
      <c r="K574" s="52" t="s">
        <v>1202</v>
      </c>
      <c r="L574" s="52" t="s">
        <v>40</v>
      </c>
      <c r="M574" s="52" t="s">
        <v>30</v>
      </c>
      <c r="N574" s="56">
        <f t="shared" ca="1" si="9"/>
        <v>54</v>
      </c>
    </row>
    <row r="575" spans="1:14" x14ac:dyDescent="0.25">
      <c r="A575" s="52">
        <v>574</v>
      </c>
      <c r="B575" s="52">
        <v>645617</v>
      </c>
      <c r="C575" s="52" t="s">
        <v>1326</v>
      </c>
      <c r="D575" s="55" t="s">
        <v>26</v>
      </c>
      <c r="E575" s="55" t="s">
        <v>27</v>
      </c>
      <c r="F575" s="55" t="s">
        <v>1327</v>
      </c>
      <c r="G575" s="52" t="s">
        <v>29</v>
      </c>
      <c r="H575" s="54">
        <v>46205</v>
      </c>
      <c r="I575" s="53">
        <v>46202</v>
      </c>
      <c r="J575" s="52" t="s">
        <v>77</v>
      </c>
      <c r="K575" s="52" t="s">
        <v>1202</v>
      </c>
      <c r="L575" s="52" t="s">
        <v>40</v>
      </c>
      <c r="M575" s="52" t="s">
        <v>30</v>
      </c>
      <c r="N575" s="56">
        <f t="shared" ca="1" si="9"/>
        <v>54</v>
      </c>
    </row>
    <row r="576" spans="1:14" x14ac:dyDescent="0.25">
      <c r="A576" s="52">
        <v>575</v>
      </c>
      <c r="B576" s="52">
        <v>599574</v>
      </c>
      <c r="C576" s="52" t="s">
        <v>1328</v>
      </c>
      <c r="D576" s="55" t="s">
        <v>26</v>
      </c>
      <c r="E576" s="55" t="s">
        <v>27</v>
      </c>
      <c r="F576" s="55" t="s">
        <v>1329</v>
      </c>
      <c r="G576" s="52" t="s">
        <v>29</v>
      </c>
      <c r="H576" s="54">
        <v>46205</v>
      </c>
      <c r="I576" s="53">
        <v>46202</v>
      </c>
      <c r="J576" s="52" t="s">
        <v>372</v>
      </c>
      <c r="K576" s="52" t="s">
        <v>1330</v>
      </c>
      <c r="L576" s="52" t="s">
        <v>66</v>
      </c>
      <c r="M576" s="52"/>
      <c r="N576" s="56">
        <f t="shared" ca="1" si="9"/>
        <v>54</v>
      </c>
    </row>
    <row r="577" spans="1:14" x14ac:dyDescent="0.25">
      <c r="A577" s="52">
        <v>576</v>
      </c>
      <c r="B577" s="52">
        <v>645613</v>
      </c>
      <c r="C577" s="52" t="s">
        <v>1331</v>
      </c>
      <c r="D577" s="55" t="s">
        <v>26</v>
      </c>
      <c r="E577" s="55" t="s">
        <v>27</v>
      </c>
      <c r="F577" s="55" t="s">
        <v>1332</v>
      </c>
      <c r="G577" s="52" t="s">
        <v>29</v>
      </c>
      <c r="H577" s="54">
        <v>46205</v>
      </c>
      <c r="I577" s="53">
        <v>46202</v>
      </c>
      <c r="J577" s="52" t="s">
        <v>77</v>
      </c>
      <c r="K577" s="52" t="s">
        <v>1202</v>
      </c>
      <c r="L577" s="52" t="s">
        <v>40</v>
      </c>
      <c r="M577" s="52" t="s">
        <v>30</v>
      </c>
      <c r="N577" s="56">
        <f t="shared" ca="1" si="9"/>
        <v>54</v>
      </c>
    </row>
    <row r="578" spans="1:14" x14ac:dyDescent="0.25">
      <c r="A578" s="52">
        <v>577</v>
      </c>
      <c r="B578" s="52">
        <v>645614</v>
      </c>
      <c r="C578" s="52" t="s">
        <v>1333</v>
      </c>
      <c r="D578" s="55" t="s">
        <v>26</v>
      </c>
      <c r="E578" s="55" t="s">
        <v>27</v>
      </c>
      <c r="F578" s="55" t="s">
        <v>1334</v>
      </c>
      <c r="G578" s="52" t="s">
        <v>29</v>
      </c>
      <c r="H578" s="54">
        <v>46205</v>
      </c>
      <c r="I578" s="53">
        <v>46202</v>
      </c>
      <c r="J578" s="52" t="s">
        <v>372</v>
      </c>
      <c r="K578" s="52" t="s">
        <v>1335</v>
      </c>
      <c r="L578" s="52" t="s">
        <v>40</v>
      </c>
      <c r="M578" s="52" t="s">
        <v>30</v>
      </c>
      <c r="N578" s="56">
        <f t="shared" ca="1" si="9"/>
        <v>54</v>
      </c>
    </row>
    <row r="579" spans="1:14" x14ac:dyDescent="0.25">
      <c r="A579" s="52">
        <v>578</v>
      </c>
      <c r="B579" s="52">
        <v>645643</v>
      </c>
      <c r="C579" s="52" t="s">
        <v>1336</v>
      </c>
      <c r="D579" s="55" t="s">
        <v>26</v>
      </c>
      <c r="E579" s="55" t="s">
        <v>27</v>
      </c>
      <c r="F579" s="55" t="s">
        <v>1337</v>
      </c>
      <c r="G579" s="52" t="s">
        <v>29</v>
      </c>
      <c r="H579" s="54">
        <v>46205</v>
      </c>
      <c r="I579" s="53">
        <v>46202</v>
      </c>
      <c r="J579" s="52" t="s">
        <v>372</v>
      </c>
      <c r="K579" s="52" t="s">
        <v>1330</v>
      </c>
      <c r="L579" s="52" t="s">
        <v>66</v>
      </c>
      <c r="M579" s="52"/>
      <c r="N579" s="56">
        <f t="shared" ca="1" si="9"/>
        <v>54</v>
      </c>
    </row>
    <row r="580" spans="1:14" x14ac:dyDescent="0.25">
      <c r="A580" s="52">
        <v>579</v>
      </c>
      <c r="B580" s="52">
        <v>645627</v>
      </c>
      <c r="C580" s="52" t="s">
        <v>1338</v>
      </c>
      <c r="D580" s="55" t="s">
        <v>26</v>
      </c>
      <c r="E580" s="55" t="s">
        <v>27</v>
      </c>
      <c r="F580" s="55" t="s">
        <v>1339</v>
      </c>
      <c r="G580" s="52" t="s">
        <v>29</v>
      </c>
      <c r="H580" s="54">
        <v>46205</v>
      </c>
      <c r="I580" s="53">
        <v>46202</v>
      </c>
      <c r="J580" s="52" t="s">
        <v>372</v>
      </c>
      <c r="K580" s="52" t="s">
        <v>1335</v>
      </c>
      <c r="L580" s="52" t="s">
        <v>40</v>
      </c>
      <c r="M580" s="52" t="s">
        <v>30</v>
      </c>
      <c r="N580" s="56">
        <f t="shared" ca="1" si="9"/>
        <v>54</v>
      </c>
    </row>
    <row r="581" spans="1:14" x14ac:dyDescent="0.25">
      <c r="A581" s="52">
        <v>580</v>
      </c>
      <c r="B581" s="52">
        <v>645636</v>
      </c>
      <c r="C581" s="52" t="s">
        <v>1340</v>
      </c>
      <c r="D581" s="55" t="s">
        <v>26</v>
      </c>
      <c r="E581" s="55" t="s">
        <v>27</v>
      </c>
      <c r="F581" s="55" t="s">
        <v>1341</v>
      </c>
      <c r="G581" s="52" t="s">
        <v>29</v>
      </c>
      <c r="H581" s="54">
        <v>46205</v>
      </c>
      <c r="I581" s="53">
        <v>46202</v>
      </c>
      <c r="J581" s="52" t="s">
        <v>372</v>
      </c>
      <c r="K581" s="52" t="s">
        <v>1342</v>
      </c>
      <c r="L581" s="52" t="s">
        <v>40</v>
      </c>
      <c r="M581" s="52" t="s">
        <v>30</v>
      </c>
      <c r="N581" s="56">
        <f t="shared" ca="1" si="9"/>
        <v>54</v>
      </c>
    </row>
    <row r="582" spans="1:14" x14ac:dyDescent="0.25">
      <c r="A582" s="52">
        <v>581</v>
      </c>
      <c r="B582" s="52">
        <v>569635</v>
      </c>
      <c r="C582" s="52" t="s">
        <v>1343</v>
      </c>
      <c r="D582" s="55" t="s">
        <v>26</v>
      </c>
      <c r="E582" s="55" t="s">
        <v>27</v>
      </c>
      <c r="F582" s="55" t="s">
        <v>1344</v>
      </c>
      <c r="G582" s="52" t="s">
        <v>29</v>
      </c>
      <c r="H582" s="54">
        <v>46205</v>
      </c>
      <c r="I582" s="53">
        <v>46202</v>
      </c>
      <c r="J582" s="52" t="s">
        <v>372</v>
      </c>
      <c r="K582" s="52" t="s">
        <v>1342</v>
      </c>
      <c r="L582" s="52" t="s">
        <v>40</v>
      </c>
      <c r="M582" s="52" t="s">
        <v>30</v>
      </c>
      <c r="N582" s="56">
        <f t="shared" ca="1" si="9"/>
        <v>54</v>
      </c>
    </row>
    <row r="583" spans="1:14" x14ac:dyDescent="0.25">
      <c r="A583" s="52">
        <v>582</v>
      </c>
      <c r="B583" s="52">
        <v>645645</v>
      </c>
      <c r="C583" s="52" t="s">
        <v>1345</v>
      </c>
      <c r="D583" s="55" t="s">
        <v>26</v>
      </c>
      <c r="E583" s="55" t="s">
        <v>27</v>
      </c>
      <c r="F583" s="55" t="s">
        <v>1346</v>
      </c>
      <c r="G583" s="52" t="s">
        <v>29</v>
      </c>
      <c r="H583" s="54">
        <v>46205</v>
      </c>
      <c r="I583" s="53">
        <v>46202</v>
      </c>
      <c r="J583" s="52" t="s">
        <v>77</v>
      </c>
      <c r="K583" s="52" t="s">
        <v>1202</v>
      </c>
      <c r="L583" s="52" t="s">
        <v>40</v>
      </c>
      <c r="M583" s="52" t="s">
        <v>30</v>
      </c>
      <c r="N583" s="56">
        <f t="shared" ca="1" si="9"/>
        <v>54</v>
      </c>
    </row>
    <row r="584" spans="1:14" x14ac:dyDescent="0.25">
      <c r="A584" s="52">
        <v>583</v>
      </c>
      <c r="B584" s="52">
        <v>645612</v>
      </c>
      <c r="C584" s="52" t="s">
        <v>1347</v>
      </c>
      <c r="D584" s="55" t="s">
        <v>26</v>
      </c>
      <c r="E584" s="55" t="s">
        <v>27</v>
      </c>
      <c r="F584" s="55" t="s">
        <v>1348</v>
      </c>
      <c r="G584" s="52" t="s">
        <v>29</v>
      </c>
      <c r="H584" s="54">
        <v>46205</v>
      </c>
      <c r="I584" s="53">
        <v>46202</v>
      </c>
      <c r="J584" s="52" t="s">
        <v>77</v>
      </c>
      <c r="K584" s="52" t="s">
        <v>1202</v>
      </c>
      <c r="L584" s="52" t="s">
        <v>40</v>
      </c>
      <c r="M584" s="52" t="s">
        <v>30</v>
      </c>
      <c r="N584" s="56">
        <f t="shared" ca="1" si="9"/>
        <v>54</v>
      </c>
    </row>
    <row r="585" spans="1:14" x14ac:dyDescent="0.25">
      <c r="A585" s="52">
        <v>584</v>
      </c>
      <c r="B585" s="52">
        <v>645644</v>
      </c>
      <c r="C585" s="52" t="s">
        <v>1349</v>
      </c>
      <c r="D585" s="55" t="s">
        <v>26</v>
      </c>
      <c r="E585" s="55" t="s">
        <v>27</v>
      </c>
      <c r="F585" s="55" t="s">
        <v>1350</v>
      </c>
      <c r="G585" s="52" t="s">
        <v>29</v>
      </c>
      <c r="H585" s="54">
        <v>46205</v>
      </c>
      <c r="I585" s="53">
        <v>46202</v>
      </c>
      <c r="J585" s="52" t="s">
        <v>372</v>
      </c>
      <c r="K585" s="52" t="s">
        <v>1351</v>
      </c>
      <c r="L585" s="52" t="s">
        <v>40</v>
      </c>
      <c r="M585" s="52" t="s">
        <v>1352</v>
      </c>
      <c r="N585" s="56">
        <f t="shared" ca="1" si="9"/>
        <v>54</v>
      </c>
    </row>
    <row r="586" spans="1:14" x14ac:dyDescent="0.25">
      <c r="A586" s="52">
        <v>585</v>
      </c>
      <c r="B586" s="52">
        <v>645642</v>
      </c>
      <c r="C586" s="52" t="s">
        <v>1353</v>
      </c>
      <c r="D586" s="55" t="s">
        <v>26</v>
      </c>
      <c r="E586" s="55" t="s">
        <v>27</v>
      </c>
      <c r="F586" s="55" t="s">
        <v>1354</v>
      </c>
      <c r="G586" s="52" t="s">
        <v>29</v>
      </c>
      <c r="H586" s="54">
        <v>46205</v>
      </c>
      <c r="I586" s="53">
        <v>46202</v>
      </c>
      <c r="J586" s="52" t="s">
        <v>77</v>
      </c>
      <c r="K586" s="52" t="s">
        <v>1202</v>
      </c>
      <c r="L586" s="52" t="s">
        <v>40</v>
      </c>
      <c r="M586" s="52" t="s">
        <v>30</v>
      </c>
      <c r="N586" s="56">
        <f t="shared" ca="1" si="9"/>
        <v>54</v>
      </c>
    </row>
    <row r="587" spans="1:14" x14ac:dyDescent="0.25">
      <c r="A587" s="52">
        <v>586</v>
      </c>
      <c r="B587" s="52">
        <v>251955</v>
      </c>
      <c r="C587" s="52" t="s">
        <v>1355</v>
      </c>
      <c r="D587" s="55" t="s">
        <v>26</v>
      </c>
      <c r="E587" s="55" t="s">
        <v>27</v>
      </c>
      <c r="F587" s="55" t="s">
        <v>30</v>
      </c>
      <c r="G587" s="52" t="s">
        <v>30</v>
      </c>
      <c r="H587" s="54">
        <v>46205</v>
      </c>
      <c r="I587" s="53" t="s">
        <v>30</v>
      </c>
      <c r="J587" s="52" t="s">
        <v>30</v>
      </c>
      <c r="K587" s="52" t="s">
        <v>30</v>
      </c>
      <c r="L587" s="52" t="s">
        <v>1177</v>
      </c>
      <c r="M587" s="52" t="s">
        <v>1293</v>
      </c>
      <c r="N587" s="56" t="str">
        <f t="shared" ca="1" si="9"/>
        <v>-</v>
      </c>
    </row>
    <row r="588" spans="1:14" x14ac:dyDescent="0.25">
      <c r="A588" s="52">
        <v>587</v>
      </c>
      <c r="B588" s="52">
        <v>407121</v>
      </c>
      <c r="C588" s="52" t="s">
        <v>1356</v>
      </c>
      <c r="D588" s="55" t="s">
        <v>26</v>
      </c>
      <c r="E588" s="55" t="s">
        <v>27</v>
      </c>
      <c r="F588" s="55" t="s">
        <v>1357</v>
      </c>
      <c r="G588" s="52" t="s">
        <v>29</v>
      </c>
      <c r="H588" s="54">
        <v>46206</v>
      </c>
      <c r="I588" s="53">
        <v>46203</v>
      </c>
      <c r="J588" s="52" t="s">
        <v>202</v>
      </c>
      <c r="K588" s="52" t="s">
        <v>1358</v>
      </c>
      <c r="L588" s="52" t="s">
        <v>40</v>
      </c>
      <c r="M588" s="52" t="s">
        <v>30</v>
      </c>
      <c r="N588" s="56">
        <f t="shared" ca="1" si="9"/>
        <v>53</v>
      </c>
    </row>
    <row r="589" spans="1:14" x14ac:dyDescent="0.25">
      <c r="A589" s="52">
        <v>588</v>
      </c>
      <c r="B589" s="52">
        <v>645634</v>
      </c>
      <c r="C589" s="52" t="s">
        <v>1359</v>
      </c>
      <c r="D589" s="55" t="s">
        <v>26</v>
      </c>
      <c r="E589" s="55" t="s">
        <v>27</v>
      </c>
      <c r="F589" s="55" t="s">
        <v>1360</v>
      </c>
      <c r="G589" s="52" t="s">
        <v>29</v>
      </c>
      <c r="H589" s="54">
        <v>46205</v>
      </c>
      <c r="I589" s="53">
        <v>46202</v>
      </c>
      <c r="J589" s="52" t="s">
        <v>202</v>
      </c>
      <c r="K589" s="52" t="s">
        <v>1361</v>
      </c>
      <c r="L589" s="52" t="s">
        <v>40</v>
      </c>
      <c r="M589" s="52" t="s">
        <v>1362</v>
      </c>
      <c r="N589" s="56">
        <f t="shared" ca="1" si="9"/>
        <v>54</v>
      </c>
    </row>
    <row r="590" spans="1:14" x14ac:dyDescent="0.25">
      <c r="A590" s="52">
        <v>589</v>
      </c>
      <c r="B590" s="52">
        <v>645658</v>
      </c>
      <c r="C590" s="52" t="s">
        <v>1363</v>
      </c>
      <c r="D590" s="55" t="s">
        <v>26</v>
      </c>
      <c r="E590" s="55" t="s">
        <v>27</v>
      </c>
      <c r="F590" s="55" t="s">
        <v>1364</v>
      </c>
      <c r="G590" s="52" t="s">
        <v>29</v>
      </c>
      <c r="H590" s="54">
        <v>46206</v>
      </c>
      <c r="I590" s="53">
        <v>46203</v>
      </c>
      <c r="J590" s="52" t="s">
        <v>31</v>
      </c>
      <c r="K590" s="52" t="s">
        <v>1283</v>
      </c>
      <c r="L590" s="52" t="s">
        <v>40</v>
      </c>
      <c r="M590" s="52" t="s">
        <v>1365</v>
      </c>
      <c r="N590" s="56">
        <f t="shared" ca="1" si="9"/>
        <v>53</v>
      </c>
    </row>
    <row r="591" spans="1:14" x14ac:dyDescent="0.25">
      <c r="A591" s="52">
        <v>590</v>
      </c>
      <c r="B591" s="52">
        <v>645638</v>
      </c>
      <c r="C591" s="52" t="s">
        <v>1366</v>
      </c>
      <c r="D591" s="55" t="s">
        <v>26</v>
      </c>
      <c r="E591" s="55" t="s">
        <v>27</v>
      </c>
      <c r="F591" s="55" t="s">
        <v>1367</v>
      </c>
      <c r="G591" s="52" t="s">
        <v>29</v>
      </c>
      <c r="H591" s="54">
        <v>46206</v>
      </c>
      <c r="I591" s="53">
        <v>46202</v>
      </c>
      <c r="J591" s="52" t="s">
        <v>64</v>
      </c>
      <c r="K591" s="52" t="s">
        <v>1368</v>
      </c>
      <c r="L591" s="52" t="s">
        <v>40</v>
      </c>
      <c r="M591" s="52" t="s">
        <v>1365</v>
      </c>
      <c r="N591" s="56">
        <f t="shared" ca="1" si="9"/>
        <v>54</v>
      </c>
    </row>
    <row r="592" spans="1:14" x14ac:dyDescent="0.25">
      <c r="A592" s="52">
        <v>591</v>
      </c>
      <c r="B592" s="52">
        <v>645663</v>
      </c>
      <c r="C592" s="52" t="s">
        <v>1369</v>
      </c>
      <c r="D592" s="55" t="s">
        <v>26</v>
      </c>
      <c r="E592" s="55" t="s">
        <v>27</v>
      </c>
      <c r="F592" s="55" t="s">
        <v>1370</v>
      </c>
      <c r="G592" s="52" t="s">
        <v>29</v>
      </c>
      <c r="H592" s="54">
        <v>46206</v>
      </c>
      <c r="I592" s="53">
        <v>46203</v>
      </c>
      <c r="J592" s="52" t="s">
        <v>77</v>
      </c>
      <c r="K592" s="52" t="s">
        <v>1275</v>
      </c>
      <c r="L592" s="52" t="s">
        <v>40</v>
      </c>
      <c r="M592" s="52" t="s">
        <v>30</v>
      </c>
      <c r="N592" s="56">
        <f t="shared" ca="1" si="9"/>
        <v>53</v>
      </c>
    </row>
    <row r="593" spans="1:14" x14ac:dyDescent="0.25">
      <c r="A593" s="52">
        <v>592</v>
      </c>
      <c r="B593" s="52">
        <v>645661</v>
      </c>
      <c r="C593" s="52" t="s">
        <v>1371</v>
      </c>
      <c r="D593" s="55" t="s">
        <v>26</v>
      </c>
      <c r="E593" s="55" t="s">
        <v>27</v>
      </c>
      <c r="F593" s="55" t="s">
        <v>1372</v>
      </c>
      <c r="G593" s="52" t="s">
        <v>29</v>
      </c>
      <c r="H593" s="54">
        <v>46206</v>
      </c>
      <c r="I593" s="53">
        <v>46203</v>
      </c>
      <c r="J593" s="52" t="s">
        <v>31</v>
      </c>
      <c r="K593" s="52" t="s">
        <v>1283</v>
      </c>
      <c r="L593" s="52" t="s">
        <v>40</v>
      </c>
      <c r="M593" s="52" t="s">
        <v>1373</v>
      </c>
      <c r="N593" s="56">
        <f t="shared" ca="1" si="9"/>
        <v>53</v>
      </c>
    </row>
    <row r="594" spans="1:14" x14ac:dyDescent="0.25">
      <c r="A594" s="52">
        <v>593</v>
      </c>
      <c r="B594" s="52">
        <v>645667</v>
      </c>
      <c r="C594" s="52" t="s">
        <v>1374</v>
      </c>
      <c r="D594" s="55" t="s">
        <v>26</v>
      </c>
      <c r="E594" s="55" t="s">
        <v>27</v>
      </c>
      <c r="F594" s="55" t="s">
        <v>1375</v>
      </c>
      <c r="G594" s="52" t="s">
        <v>29</v>
      </c>
      <c r="H594" s="54">
        <v>46206</v>
      </c>
      <c r="I594" s="53">
        <v>46203</v>
      </c>
      <c r="J594" s="52" t="s">
        <v>202</v>
      </c>
      <c r="K594" s="52" t="s">
        <v>1376</v>
      </c>
      <c r="L594" s="52" t="s">
        <v>40</v>
      </c>
      <c r="M594" s="52" t="s">
        <v>718</v>
      </c>
      <c r="N594" s="56">
        <f t="shared" ca="1" si="9"/>
        <v>53</v>
      </c>
    </row>
    <row r="595" spans="1:14" x14ac:dyDescent="0.25">
      <c r="A595" s="52">
        <v>594</v>
      </c>
      <c r="B595" s="52">
        <v>645664</v>
      </c>
      <c r="C595" s="52" t="s">
        <v>1377</v>
      </c>
      <c r="D595" s="55" t="s">
        <v>26</v>
      </c>
      <c r="E595" s="55" t="s">
        <v>27</v>
      </c>
      <c r="F595" s="55" t="s">
        <v>1378</v>
      </c>
      <c r="G595" s="52" t="s">
        <v>29</v>
      </c>
      <c r="H595" s="54">
        <v>46206</v>
      </c>
      <c r="I595" s="53">
        <v>46203</v>
      </c>
      <c r="J595" s="52" t="s">
        <v>31</v>
      </c>
      <c r="K595" s="52" t="s">
        <v>1283</v>
      </c>
      <c r="L595" s="52" t="s">
        <v>40</v>
      </c>
      <c r="M595" s="52" t="s">
        <v>1373</v>
      </c>
      <c r="N595" s="56">
        <f t="shared" ca="1" si="9"/>
        <v>53</v>
      </c>
    </row>
    <row r="596" spans="1:14" x14ac:dyDescent="0.25">
      <c r="A596" s="52">
        <v>595</v>
      </c>
      <c r="B596" s="52">
        <v>634711</v>
      </c>
      <c r="C596" s="52" t="s">
        <v>1379</v>
      </c>
      <c r="D596" s="55" t="s">
        <v>26</v>
      </c>
      <c r="E596" s="55" t="s">
        <v>27</v>
      </c>
      <c r="F596" s="55" t="s">
        <v>1380</v>
      </c>
      <c r="G596" s="52" t="s">
        <v>76</v>
      </c>
      <c r="H596" s="54" t="s">
        <v>30</v>
      </c>
      <c r="I596" s="53">
        <v>46205</v>
      </c>
      <c r="J596" s="52" t="s">
        <v>77</v>
      </c>
      <c r="K596" s="52" t="s">
        <v>1323</v>
      </c>
      <c r="L596" s="52" t="s">
        <v>40</v>
      </c>
      <c r="M596" s="52" t="s">
        <v>30</v>
      </c>
      <c r="N596" s="56">
        <f t="shared" ca="1" si="9"/>
        <v>51</v>
      </c>
    </row>
    <row r="597" spans="1:14" x14ac:dyDescent="0.25">
      <c r="A597" s="52">
        <v>596</v>
      </c>
      <c r="B597" s="52">
        <v>644691</v>
      </c>
      <c r="C597" s="52" t="s">
        <v>1381</v>
      </c>
      <c r="D597" s="55" t="s">
        <v>26</v>
      </c>
      <c r="E597" s="55" t="s">
        <v>27</v>
      </c>
      <c r="F597" s="55" t="s">
        <v>1382</v>
      </c>
      <c r="G597" s="52" t="s">
        <v>29</v>
      </c>
      <c r="H597" s="54">
        <v>46210</v>
      </c>
      <c r="I597" s="53">
        <v>46205</v>
      </c>
      <c r="J597" s="52" t="s">
        <v>77</v>
      </c>
      <c r="K597" s="52" t="s">
        <v>1323</v>
      </c>
      <c r="L597" s="52" t="s">
        <v>40</v>
      </c>
      <c r="M597" s="52" t="s">
        <v>30</v>
      </c>
      <c r="N597" s="56">
        <f t="shared" ca="1" si="9"/>
        <v>51</v>
      </c>
    </row>
    <row r="598" spans="1:14" x14ac:dyDescent="0.25">
      <c r="A598" s="52">
        <v>597</v>
      </c>
      <c r="B598" s="52">
        <v>645814</v>
      </c>
      <c r="C598" s="52" t="s">
        <v>1383</v>
      </c>
      <c r="D598" s="55" t="s">
        <v>26</v>
      </c>
      <c r="E598" s="55" t="s">
        <v>27</v>
      </c>
      <c r="F598" s="55" t="s">
        <v>1384</v>
      </c>
      <c r="G598" s="52" t="s">
        <v>29</v>
      </c>
      <c r="H598" s="54">
        <v>46210</v>
      </c>
      <c r="I598" s="53">
        <v>46205</v>
      </c>
      <c r="J598" s="52" t="s">
        <v>77</v>
      </c>
      <c r="K598" s="52" t="s">
        <v>30</v>
      </c>
      <c r="L598" s="52" t="s">
        <v>1177</v>
      </c>
      <c r="M598" s="52" t="s">
        <v>30</v>
      </c>
      <c r="N598" s="56">
        <f t="shared" ca="1" si="9"/>
        <v>51</v>
      </c>
    </row>
    <row r="599" spans="1:14" x14ac:dyDescent="0.25">
      <c r="A599" s="52">
        <v>598</v>
      </c>
      <c r="B599" s="52">
        <v>645656</v>
      </c>
      <c r="C599" s="52" t="s">
        <v>1385</v>
      </c>
      <c r="D599" s="55" t="s">
        <v>26</v>
      </c>
      <c r="E599" s="55" t="s">
        <v>27</v>
      </c>
      <c r="F599" s="55" t="s">
        <v>1386</v>
      </c>
      <c r="G599" s="52" t="s">
        <v>29</v>
      </c>
      <c r="H599" s="54">
        <v>46210</v>
      </c>
      <c r="I599" s="53">
        <v>46203</v>
      </c>
      <c r="J599" s="52" t="s">
        <v>77</v>
      </c>
      <c r="K599" s="52" t="s">
        <v>1275</v>
      </c>
      <c r="L599" s="52" t="s">
        <v>40</v>
      </c>
      <c r="M599" s="52" t="s">
        <v>30</v>
      </c>
      <c r="N599" s="56">
        <f t="shared" ca="1" si="9"/>
        <v>53</v>
      </c>
    </row>
    <row r="600" spans="1:14" x14ac:dyDescent="0.25">
      <c r="A600" s="52">
        <v>599</v>
      </c>
      <c r="B600" s="52">
        <v>609388</v>
      </c>
      <c r="C600" s="52" t="s">
        <v>1387</v>
      </c>
      <c r="D600" s="55" t="s">
        <v>26</v>
      </c>
      <c r="E600" s="55" t="s">
        <v>27</v>
      </c>
      <c r="F600" s="55" t="s">
        <v>1388</v>
      </c>
      <c r="G600" s="52" t="s">
        <v>29</v>
      </c>
      <c r="H600" s="54">
        <v>46207</v>
      </c>
      <c r="I600" s="53">
        <v>46207</v>
      </c>
      <c r="J600" s="52" t="s">
        <v>77</v>
      </c>
      <c r="K600" s="52" t="s">
        <v>1275</v>
      </c>
      <c r="L600" s="52" t="s">
        <v>40</v>
      </c>
      <c r="M600" s="52" t="s">
        <v>30</v>
      </c>
      <c r="N600" s="56">
        <f t="shared" ca="1" si="9"/>
        <v>49</v>
      </c>
    </row>
    <row r="601" spans="1:14" x14ac:dyDescent="0.25">
      <c r="A601" s="52">
        <v>600</v>
      </c>
      <c r="B601" s="52">
        <v>645816</v>
      </c>
      <c r="C601" s="52" t="s">
        <v>1389</v>
      </c>
      <c r="D601" s="55" t="s">
        <v>26</v>
      </c>
      <c r="E601" s="55" t="s">
        <v>27</v>
      </c>
      <c r="F601" s="55" t="s">
        <v>1390</v>
      </c>
      <c r="G601" s="52" t="s">
        <v>29</v>
      </c>
      <c r="H601" s="54">
        <v>46210</v>
      </c>
      <c r="I601" s="53">
        <v>46201</v>
      </c>
      <c r="J601" s="52" t="s">
        <v>77</v>
      </c>
      <c r="K601" s="52" t="s">
        <v>1275</v>
      </c>
      <c r="L601" s="52" t="s">
        <v>40</v>
      </c>
      <c r="M601" s="52" t="s">
        <v>30</v>
      </c>
      <c r="N601" s="56">
        <f t="shared" ca="1" si="9"/>
        <v>55</v>
      </c>
    </row>
    <row r="602" spans="1:14" x14ac:dyDescent="0.25">
      <c r="A602" s="52">
        <v>601</v>
      </c>
      <c r="B602" s="52">
        <v>605797</v>
      </c>
      <c r="C602" s="52" t="s">
        <v>1391</v>
      </c>
      <c r="D602" s="55" t="s">
        <v>26</v>
      </c>
      <c r="E602" s="55" t="s">
        <v>27</v>
      </c>
      <c r="F602" s="55" t="s">
        <v>1392</v>
      </c>
      <c r="G602" s="52" t="s">
        <v>29</v>
      </c>
      <c r="H602" s="54">
        <v>46242</v>
      </c>
      <c r="I602" s="53">
        <v>46207</v>
      </c>
      <c r="J602" s="52" t="s">
        <v>77</v>
      </c>
      <c r="K602" s="52" t="s">
        <v>1275</v>
      </c>
      <c r="L602" s="52" t="s">
        <v>40</v>
      </c>
      <c r="M602" s="52" t="s">
        <v>30</v>
      </c>
      <c r="N602" s="56">
        <f t="shared" ca="1" si="9"/>
        <v>49</v>
      </c>
    </row>
    <row r="603" spans="1:14" x14ac:dyDescent="0.25">
      <c r="A603" s="52">
        <v>602</v>
      </c>
      <c r="B603" s="52">
        <v>530253</v>
      </c>
      <c r="C603" s="52" t="s">
        <v>1393</v>
      </c>
      <c r="D603" s="55" t="s">
        <v>26</v>
      </c>
      <c r="E603" s="55" t="s">
        <v>27</v>
      </c>
      <c r="F603" s="55" t="s">
        <v>1394</v>
      </c>
      <c r="G603" s="52" t="s">
        <v>29</v>
      </c>
      <c r="H603" s="54">
        <v>46242</v>
      </c>
      <c r="I603" s="53">
        <v>46207</v>
      </c>
      <c r="J603" s="52" t="s">
        <v>77</v>
      </c>
      <c r="K603" s="52" t="s">
        <v>1323</v>
      </c>
      <c r="L603" s="52" t="s">
        <v>40</v>
      </c>
      <c r="M603" s="52" t="s">
        <v>30</v>
      </c>
      <c r="N603" s="56">
        <f t="shared" ca="1" si="9"/>
        <v>49</v>
      </c>
    </row>
    <row r="604" spans="1:14" x14ac:dyDescent="0.25">
      <c r="A604" s="52">
        <v>603</v>
      </c>
      <c r="B604" s="52">
        <v>645981</v>
      </c>
      <c r="C604" s="52" t="s">
        <v>1395</v>
      </c>
      <c r="D604" s="55" t="s">
        <v>26</v>
      </c>
      <c r="E604" s="55" t="s">
        <v>27</v>
      </c>
      <c r="F604" s="55" t="s">
        <v>1396</v>
      </c>
      <c r="G604" s="52" t="s">
        <v>29</v>
      </c>
      <c r="H604" s="54">
        <v>46212</v>
      </c>
      <c r="I604" s="53">
        <v>46208</v>
      </c>
      <c r="J604" s="52" t="s">
        <v>202</v>
      </c>
      <c r="K604" s="52" t="s">
        <v>1397</v>
      </c>
      <c r="L604" s="52" t="s">
        <v>40</v>
      </c>
      <c r="M604" s="52" t="s">
        <v>718</v>
      </c>
      <c r="N604" s="56">
        <f t="shared" ca="1" si="9"/>
        <v>48</v>
      </c>
    </row>
    <row r="605" spans="1:14" x14ac:dyDescent="0.25">
      <c r="A605" s="52">
        <v>604</v>
      </c>
      <c r="B605" s="52">
        <v>645984</v>
      </c>
      <c r="C605" s="52" t="s">
        <v>1398</v>
      </c>
      <c r="D605" s="55" t="s">
        <v>26</v>
      </c>
      <c r="E605" s="55" t="s">
        <v>27</v>
      </c>
      <c r="F605" s="55" t="s">
        <v>1399</v>
      </c>
      <c r="G605" s="52" t="s">
        <v>29</v>
      </c>
      <c r="H605" s="54">
        <v>46212</v>
      </c>
      <c r="I605" s="53">
        <v>46208</v>
      </c>
      <c r="J605" s="52" t="s">
        <v>202</v>
      </c>
      <c r="K605" s="52" t="s">
        <v>1397</v>
      </c>
      <c r="L605" s="52" t="s">
        <v>40</v>
      </c>
      <c r="M605" s="52" t="s">
        <v>718</v>
      </c>
      <c r="N605" s="56">
        <f t="shared" ca="1" si="9"/>
        <v>48</v>
      </c>
    </row>
    <row r="606" spans="1:14" x14ac:dyDescent="0.25">
      <c r="A606" s="52">
        <v>605</v>
      </c>
      <c r="B606" s="52">
        <v>478303</v>
      </c>
      <c r="C606" s="52" t="s">
        <v>1400</v>
      </c>
      <c r="D606" s="55" t="s">
        <v>26</v>
      </c>
      <c r="E606" s="55" t="s">
        <v>27</v>
      </c>
      <c r="F606" s="55" t="s">
        <v>1401</v>
      </c>
      <c r="G606" s="52" t="s">
        <v>29</v>
      </c>
      <c r="H606" s="54">
        <v>46212</v>
      </c>
      <c r="I606" s="53">
        <v>46208</v>
      </c>
      <c r="J606" s="52" t="s">
        <v>77</v>
      </c>
      <c r="K606" s="52" t="s">
        <v>1323</v>
      </c>
      <c r="L606" s="52" t="s">
        <v>40</v>
      </c>
      <c r="M606" s="52" t="s">
        <v>30</v>
      </c>
      <c r="N606" s="56">
        <f t="shared" ca="1" si="9"/>
        <v>48</v>
      </c>
    </row>
    <row r="607" spans="1:14" x14ac:dyDescent="0.25">
      <c r="A607" s="52">
        <v>606</v>
      </c>
      <c r="B607" s="52">
        <v>609472</v>
      </c>
      <c r="C607" s="52" t="s">
        <v>1402</v>
      </c>
      <c r="D607" s="55" t="s">
        <v>26</v>
      </c>
      <c r="E607" s="55" t="s">
        <v>27</v>
      </c>
      <c r="F607" s="55" t="s">
        <v>1403</v>
      </c>
      <c r="G607" s="52" t="s">
        <v>29</v>
      </c>
      <c r="H607" s="54">
        <v>46212</v>
      </c>
      <c r="I607" s="53">
        <v>46208</v>
      </c>
      <c r="J607" s="52" t="s">
        <v>202</v>
      </c>
      <c r="K607" s="52" t="s">
        <v>1404</v>
      </c>
      <c r="L607" s="52" t="s">
        <v>66</v>
      </c>
      <c r="M607" s="52" t="s">
        <v>718</v>
      </c>
      <c r="N607" s="56">
        <f t="shared" ca="1" si="9"/>
        <v>48</v>
      </c>
    </row>
    <row r="608" spans="1:14" x14ac:dyDescent="0.25">
      <c r="A608" s="52">
        <v>607</v>
      </c>
      <c r="B608" s="52">
        <v>600855</v>
      </c>
      <c r="C608" s="52" t="s">
        <v>1405</v>
      </c>
      <c r="D608" s="55" t="s">
        <v>63</v>
      </c>
      <c r="E608" s="55" t="s">
        <v>27</v>
      </c>
      <c r="F608" s="55">
        <v>403856475</v>
      </c>
      <c r="G608" s="52" t="s">
        <v>29</v>
      </c>
      <c r="H608" s="54">
        <v>46212</v>
      </c>
      <c r="I608" s="53">
        <v>46209</v>
      </c>
      <c r="J608" s="52" t="s">
        <v>202</v>
      </c>
      <c r="K608" s="52" t="s">
        <v>1404</v>
      </c>
      <c r="L608" s="52" t="s">
        <v>66</v>
      </c>
      <c r="M608" s="52" t="s">
        <v>30</v>
      </c>
      <c r="N608" s="56">
        <f t="shared" ca="1" si="9"/>
        <v>47</v>
      </c>
    </row>
    <row r="609" spans="1:14" x14ac:dyDescent="0.25">
      <c r="A609" s="52">
        <v>608</v>
      </c>
      <c r="B609" s="52">
        <v>268006</v>
      </c>
      <c r="C609" s="52" t="s">
        <v>1406</v>
      </c>
      <c r="D609" s="55" t="s">
        <v>63</v>
      </c>
      <c r="E609" s="55" t="s">
        <v>27</v>
      </c>
      <c r="F609" s="55">
        <v>405812914</v>
      </c>
      <c r="G609" s="52" t="s">
        <v>29</v>
      </c>
      <c r="H609" s="54">
        <v>46212</v>
      </c>
      <c r="I609" s="53">
        <v>46209</v>
      </c>
      <c r="J609" s="52" t="s">
        <v>77</v>
      </c>
      <c r="K609" s="52" t="s">
        <v>1323</v>
      </c>
      <c r="L609" s="52" t="s">
        <v>40</v>
      </c>
      <c r="M609" s="52" t="s">
        <v>30</v>
      </c>
      <c r="N609" s="56">
        <f t="shared" ca="1" si="9"/>
        <v>47</v>
      </c>
    </row>
    <row r="610" spans="1:14" x14ac:dyDescent="0.25">
      <c r="A610" s="52">
        <v>609</v>
      </c>
      <c r="B610" s="52">
        <v>645983</v>
      </c>
      <c r="C610" s="52" t="s">
        <v>1407</v>
      </c>
      <c r="D610" s="55" t="s">
        <v>26</v>
      </c>
      <c r="E610" s="55" t="s">
        <v>27</v>
      </c>
      <c r="F610" s="55" t="s">
        <v>1408</v>
      </c>
      <c r="G610" s="52" t="s">
        <v>29</v>
      </c>
      <c r="H610" s="54">
        <v>46212</v>
      </c>
      <c r="I610" s="53">
        <v>46208</v>
      </c>
      <c r="J610" s="52" t="s">
        <v>77</v>
      </c>
      <c r="K610" s="52" t="s">
        <v>1323</v>
      </c>
      <c r="L610" s="52" t="s">
        <v>40</v>
      </c>
      <c r="M610" s="52" t="s">
        <v>30</v>
      </c>
      <c r="N610" s="56">
        <f t="shared" ca="1" si="9"/>
        <v>48</v>
      </c>
    </row>
    <row r="611" spans="1:14" x14ac:dyDescent="0.25">
      <c r="A611" s="52">
        <v>610</v>
      </c>
      <c r="B611" s="52">
        <v>646004</v>
      </c>
      <c r="C611" s="52" t="s">
        <v>1409</v>
      </c>
      <c r="D611" s="55" t="s">
        <v>26</v>
      </c>
      <c r="E611" s="55" t="s">
        <v>27</v>
      </c>
      <c r="F611" s="55" t="s">
        <v>1410</v>
      </c>
      <c r="G611" s="52" t="s">
        <v>29</v>
      </c>
      <c r="H611" s="54">
        <v>46213</v>
      </c>
      <c r="I611" s="53">
        <v>46209</v>
      </c>
      <c r="J611" s="52" t="s">
        <v>30</v>
      </c>
      <c r="K611" s="52" t="s">
        <v>30</v>
      </c>
      <c r="L611" s="52" t="s">
        <v>1177</v>
      </c>
      <c r="M611" s="52" t="s">
        <v>30</v>
      </c>
      <c r="N611" s="56">
        <f t="shared" ca="1" si="9"/>
        <v>47</v>
      </c>
    </row>
    <row r="612" spans="1:14" x14ac:dyDescent="0.25">
      <c r="A612" s="52">
        <v>611</v>
      </c>
      <c r="B612" s="52">
        <v>635640</v>
      </c>
      <c r="C612" s="52" t="s">
        <v>1411</v>
      </c>
      <c r="D612" s="55" t="s">
        <v>26</v>
      </c>
      <c r="E612" s="55" t="s">
        <v>27</v>
      </c>
      <c r="F612" s="55" t="s">
        <v>1412</v>
      </c>
      <c r="G612" s="52" t="s">
        <v>29</v>
      </c>
      <c r="H612" s="54">
        <v>46213</v>
      </c>
      <c r="I612" s="53">
        <v>46209</v>
      </c>
      <c r="J612" s="52" t="s">
        <v>30</v>
      </c>
      <c r="K612" s="52" t="s">
        <v>30</v>
      </c>
      <c r="L612" s="52" t="s">
        <v>176</v>
      </c>
      <c r="M612" s="52" t="s">
        <v>30</v>
      </c>
      <c r="N612" s="56">
        <f t="shared" ca="1" si="9"/>
        <v>47</v>
      </c>
    </row>
    <row r="613" spans="1:14" x14ac:dyDescent="0.25">
      <c r="A613" s="52">
        <v>612</v>
      </c>
      <c r="B613" s="52">
        <v>646003</v>
      </c>
      <c r="C613" s="52" t="s">
        <v>1413</v>
      </c>
      <c r="D613" s="55" t="s">
        <v>26</v>
      </c>
      <c r="E613" s="55" t="s">
        <v>27</v>
      </c>
      <c r="F613" s="55" t="s">
        <v>1414</v>
      </c>
      <c r="G613" s="52" t="s">
        <v>29</v>
      </c>
      <c r="H613" s="54">
        <v>46213</v>
      </c>
      <c r="I613" s="53">
        <v>46209</v>
      </c>
      <c r="J613" s="52" t="s">
        <v>77</v>
      </c>
      <c r="K613" s="52" t="s">
        <v>1323</v>
      </c>
      <c r="L613" s="52" t="s">
        <v>40</v>
      </c>
      <c r="M613" s="52" t="s">
        <v>30</v>
      </c>
      <c r="N613" s="56">
        <f t="shared" ca="1" si="9"/>
        <v>47</v>
      </c>
    </row>
    <row r="614" spans="1:14" x14ac:dyDescent="0.25">
      <c r="A614" s="52">
        <v>613</v>
      </c>
      <c r="B614" s="52">
        <v>645997</v>
      </c>
      <c r="C614" s="52" t="s">
        <v>1415</v>
      </c>
      <c r="D614" s="55" t="s">
        <v>26</v>
      </c>
      <c r="E614" s="55" t="s">
        <v>27</v>
      </c>
      <c r="F614" s="55" t="s">
        <v>1416</v>
      </c>
      <c r="G614" s="52" t="s">
        <v>29</v>
      </c>
      <c r="H614" s="54">
        <v>46213</v>
      </c>
      <c r="I614" s="53">
        <v>46209</v>
      </c>
      <c r="J614" s="52" t="s">
        <v>202</v>
      </c>
      <c r="K614" s="52" t="s">
        <v>1404</v>
      </c>
      <c r="L614" s="52" t="s">
        <v>66</v>
      </c>
      <c r="M614" s="52" t="s">
        <v>718</v>
      </c>
      <c r="N614" s="56">
        <f t="shared" ca="1" si="9"/>
        <v>47</v>
      </c>
    </row>
    <row r="615" spans="1:14" x14ac:dyDescent="0.25">
      <c r="A615" s="52">
        <v>614</v>
      </c>
      <c r="B615" s="52">
        <v>646000</v>
      </c>
      <c r="C615" s="52" t="s">
        <v>1417</v>
      </c>
      <c r="D615" s="55" t="s">
        <v>26</v>
      </c>
      <c r="E615" s="55" t="s">
        <v>27</v>
      </c>
      <c r="F615" s="55" t="s">
        <v>1418</v>
      </c>
      <c r="G615" s="52" t="s">
        <v>29</v>
      </c>
      <c r="H615" s="54">
        <v>46213</v>
      </c>
      <c r="I615" s="53">
        <v>46210</v>
      </c>
      <c r="J615" s="52" t="s">
        <v>30</v>
      </c>
      <c r="K615" s="52" t="s">
        <v>30</v>
      </c>
      <c r="L615" s="52" t="s">
        <v>1177</v>
      </c>
      <c r="M615" s="52" t="s">
        <v>30</v>
      </c>
      <c r="N615" s="56">
        <f t="shared" ca="1" si="9"/>
        <v>46</v>
      </c>
    </row>
    <row r="616" spans="1:14" x14ac:dyDescent="0.25">
      <c r="A616" s="52">
        <v>615</v>
      </c>
      <c r="B616" s="52">
        <v>646158</v>
      </c>
      <c r="C616" s="52" t="s">
        <v>1419</v>
      </c>
      <c r="D616" s="55" t="s">
        <v>26</v>
      </c>
      <c r="E616" s="55" t="s">
        <v>27</v>
      </c>
      <c r="F616" s="55" t="s">
        <v>1420</v>
      </c>
      <c r="G616" s="52" t="s">
        <v>29</v>
      </c>
      <c r="H616" s="54">
        <v>46217</v>
      </c>
      <c r="I616" s="53">
        <v>46210</v>
      </c>
      <c r="J616" s="52" t="s">
        <v>31</v>
      </c>
      <c r="K616" s="52" t="s">
        <v>1421</v>
      </c>
      <c r="L616" s="52" t="s">
        <v>40</v>
      </c>
      <c r="M616" s="52" t="s">
        <v>30</v>
      </c>
      <c r="N616" s="56">
        <f t="shared" ca="1" si="9"/>
        <v>46</v>
      </c>
    </row>
    <row r="617" spans="1:14" x14ac:dyDescent="0.25">
      <c r="A617" s="52">
        <v>616</v>
      </c>
      <c r="B617" s="52">
        <v>617058</v>
      </c>
      <c r="C617" s="52" t="s">
        <v>1422</v>
      </c>
      <c r="D617" s="55" t="s">
        <v>26</v>
      </c>
      <c r="E617" s="55" t="s">
        <v>27</v>
      </c>
      <c r="F617" s="55" t="s">
        <v>1423</v>
      </c>
      <c r="G617" s="52" t="s">
        <v>29</v>
      </c>
      <c r="H617" s="54">
        <v>46214</v>
      </c>
      <c r="I617" s="53">
        <v>46210</v>
      </c>
      <c r="J617" s="52" t="s">
        <v>77</v>
      </c>
      <c r="K617" s="52" t="s">
        <v>1424</v>
      </c>
      <c r="L617" s="52" t="s">
        <v>40</v>
      </c>
      <c r="M617" s="52" t="s">
        <v>30</v>
      </c>
      <c r="N617" s="56">
        <f t="shared" ca="1" si="9"/>
        <v>46</v>
      </c>
    </row>
    <row r="618" spans="1:14" x14ac:dyDescent="0.25">
      <c r="A618" s="52">
        <v>617</v>
      </c>
      <c r="B618" s="52">
        <v>646167</v>
      </c>
      <c r="C618" s="52" t="s">
        <v>1425</v>
      </c>
      <c r="D618" s="55" t="s">
        <v>26</v>
      </c>
      <c r="E618" s="55" t="s">
        <v>27</v>
      </c>
      <c r="F618" s="55" t="s">
        <v>1426</v>
      </c>
      <c r="G618" s="52" t="s">
        <v>29</v>
      </c>
      <c r="H618" s="54" t="s">
        <v>30</v>
      </c>
      <c r="I618" s="53">
        <v>46210</v>
      </c>
      <c r="J618" s="52" t="s">
        <v>77</v>
      </c>
      <c r="K618" s="52" t="s">
        <v>1424</v>
      </c>
      <c r="L618" s="52" t="s">
        <v>40</v>
      </c>
      <c r="M618" s="52" t="s">
        <v>30</v>
      </c>
      <c r="N618" s="56">
        <f t="shared" ca="1" si="9"/>
        <v>46</v>
      </c>
    </row>
    <row r="619" spans="1:14" x14ac:dyDescent="0.25">
      <c r="A619" s="52">
        <v>618</v>
      </c>
      <c r="B619" s="52">
        <v>495512</v>
      </c>
      <c r="C619" s="52" t="s">
        <v>1427</v>
      </c>
      <c r="D619" s="55" t="s">
        <v>63</v>
      </c>
      <c r="E619" s="55" t="s">
        <v>27</v>
      </c>
      <c r="F619" s="55">
        <v>406323070</v>
      </c>
      <c r="G619" s="52" t="s">
        <v>29</v>
      </c>
      <c r="H619" s="54">
        <v>46214</v>
      </c>
      <c r="I619" s="53">
        <v>46211</v>
      </c>
      <c r="J619" s="52" t="s">
        <v>64</v>
      </c>
      <c r="K619" s="52" t="s">
        <v>1428</v>
      </c>
      <c r="L619" s="52" t="s">
        <v>66</v>
      </c>
      <c r="M619" s="52" t="s">
        <v>30</v>
      </c>
      <c r="N619" s="56">
        <f t="shared" ca="1" si="9"/>
        <v>45</v>
      </c>
    </row>
    <row r="620" spans="1:14" x14ac:dyDescent="0.25">
      <c r="A620" s="52">
        <v>619</v>
      </c>
      <c r="B620" s="52">
        <v>646161</v>
      </c>
      <c r="C620" s="52" t="s">
        <v>1429</v>
      </c>
      <c r="D620" s="55" t="s">
        <v>26</v>
      </c>
      <c r="E620" s="55" t="s">
        <v>27</v>
      </c>
      <c r="F620" s="55" t="s">
        <v>1430</v>
      </c>
      <c r="G620" s="52" t="s">
        <v>29</v>
      </c>
      <c r="H620" s="54">
        <v>46214</v>
      </c>
      <c r="I620" s="53">
        <v>46210</v>
      </c>
      <c r="J620" s="52" t="s">
        <v>77</v>
      </c>
      <c r="K620" s="52" t="s">
        <v>1431</v>
      </c>
      <c r="L620" s="52" t="s">
        <v>40</v>
      </c>
      <c r="M620" s="52" t="s">
        <v>1432</v>
      </c>
      <c r="N620" s="56">
        <f t="shared" ca="1" si="9"/>
        <v>46</v>
      </c>
    </row>
    <row r="621" spans="1:14" x14ac:dyDescent="0.25">
      <c r="A621" s="52">
        <v>620</v>
      </c>
      <c r="B621" s="52">
        <v>646162</v>
      </c>
      <c r="C621" s="52" t="s">
        <v>1433</v>
      </c>
      <c r="D621" s="55" t="s">
        <v>26</v>
      </c>
      <c r="E621" s="55" t="s">
        <v>27</v>
      </c>
      <c r="F621" s="55" t="s">
        <v>1434</v>
      </c>
      <c r="G621" s="52" t="s">
        <v>29</v>
      </c>
      <c r="H621" s="54">
        <v>46217</v>
      </c>
      <c r="I621" s="53">
        <v>46210</v>
      </c>
      <c r="J621" s="52" t="s">
        <v>31</v>
      </c>
      <c r="K621" s="52" t="s">
        <v>1421</v>
      </c>
      <c r="L621" s="52" t="s">
        <v>40</v>
      </c>
      <c r="M621" s="52" t="s">
        <v>30</v>
      </c>
      <c r="N621" s="56">
        <f t="shared" ca="1" si="9"/>
        <v>46</v>
      </c>
    </row>
    <row r="622" spans="1:14" x14ac:dyDescent="0.25">
      <c r="A622" s="52">
        <v>621</v>
      </c>
      <c r="B622" s="52">
        <v>646168</v>
      </c>
      <c r="C622" s="52" t="s">
        <v>1435</v>
      </c>
      <c r="D622" s="55" t="s">
        <v>163</v>
      </c>
      <c r="E622" s="55" t="s">
        <v>27</v>
      </c>
      <c r="F622" s="55" t="s">
        <v>1436</v>
      </c>
      <c r="G622" s="52" t="s">
        <v>29</v>
      </c>
      <c r="H622" s="54">
        <v>46217</v>
      </c>
      <c r="I622" s="53">
        <v>46210</v>
      </c>
      <c r="J622" s="52" t="s">
        <v>31</v>
      </c>
      <c r="K622" s="52" t="s">
        <v>1421</v>
      </c>
      <c r="L622" s="52" t="s">
        <v>40</v>
      </c>
      <c r="M622" s="52" t="s">
        <v>30</v>
      </c>
      <c r="N622" s="56">
        <f t="shared" ca="1" si="9"/>
        <v>46</v>
      </c>
    </row>
    <row r="623" spans="1:14" x14ac:dyDescent="0.25">
      <c r="A623" s="52">
        <v>622</v>
      </c>
      <c r="B623" s="52">
        <v>646159</v>
      </c>
      <c r="C623" s="52" t="s">
        <v>1437</v>
      </c>
      <c r="D623" s="55" t="s">
        <v>26</v>
      </c>
      <c r="E623" s="55" t="s">
        <v>27</v>
      </c>
      <c r="F623" s="55" t="s">
        <v>1438</v>
      </c>
      <c r="G623" s="52" t="s">
        <v>29</v>
      </c>
      <c r="H623" s="54">
        <v>46214</v>
      </c>
      <c r="I623" s="53">
        <v>46210</v>
      </c>
      <c r="J623" s="52" t="s">
        <v>77</v>
      </c>
      <c r="K623" s="52" t="s">
        <v>1424</v>
      </c>
      <c r="L623" s="52" t="s">
        <v>40</v>
      </c>
      <c r="M623" s="52" t="s">
        <v>1432</v>
      </c>
      <c r="N623" s="56">
        <f t="shared" ca="1" si="9"/>
        <v>46</v>
      </c>
    </row>
    <row r="624" spans="1:14" x14ac:dyDescent="0.25">
      <c r="A624" s="52">
        <v>623</v>
      </c>
      <c r="B624" s="52">
        <v>646217</v>
      </c>
      <c r="C624" s="52" t="s">
        <v>1439</v>
      </c>
      <c r="D624" s="55" t="s">
        <v>26</v>
      </c>
      <c r="E624" s="55" t="s">
        <v>27</v>
      </c>
      <c r="F624" s="55" t="s">
        <v>1440</v>
      </c>
      <c r="G624" s="52" t="s">
        <v>29</v>
      </c>
      <c r="H624" s="54">
        <v>46217</v>
      </c>
      <c r="I624" s="53">
        <v>46212</v>
      </c>
      <c r="J624" s="52" t="s">
        <v>31</v>
      </c>
      <c r="K624" s="52" t="s">
        <v>1441</v>
      </c>
      <c r="L624" s="52" t="s">
        <v>40</v>
      </c>
      <c r="M624" s="52" t="s">
        <v>30</v>
      </c>
      <c r="N624" s="56">
        <f t="shared" ca="1" si="9"/>
        <v>44</v>
      </c>
    </row>
    <row r="625" spans="1:14" x14ac:dyDescent="0.25">
      <c r="A625" s="52">
        <v>624</v>
      </c>
      <c r="B625" s="52">
        <v>646215</v>
      </c>
      <c r="C625" s="52" t="s">
        <v>1442</v>
      </c>
      <c r="D625" s="55" t="s">
        <v>26</v>
      </c>
      <c r="E625" s="55" t="s">
        <v>27</v>
      </c>
      <c r="F625" s="55" t="s">
        <v>1443</v>
      </c>
      <c r="G625" s="52" t="s">
        <v>29</v>
      </c>
      <c r="H625" s="54">
        <v>46217</v>
      </c>
      <c r="I625" s="53">
        <v>46212</v>
      </c>
      <c r="J625" s="52" t="s">
        <v>31</v>
      </c>
      <c r="K625" s="52" t="s">
        <v>1441</v>
      </c>
      <c r="L625" s="52" t="s">
        <v>40</v>
      </c>
      <c r="M625" s="52" t="s">
        <v>30</v>
      </c>
      <c r="N625" s="56">
        <f t="shared" ca="1" si="9"/>
        <v>44</v>
      </c>
    </row>
    <row r="626" spans="1:14" x14ac:dyDescent="0.25">
      <c r="A626" s="52">
        <v>625</v>
      </c>
      <c r="B626" s="52">
        <v>517368</v>
      </c>
      <c r="C626" s="52" t="s">
        <v>1444</v>
      </c>
      <c r="D626" s="55" t="s">
        <v>26</v>
      </c>
      <c r="E626" s="55" t="s">
        <v>27</v>
      </c>
      <c r="F626" s="55" t="s">
        <v>1445</v>
      </c>
      <c r="G626" s="52" t="s">
        <v>29</v>
      </c>
      <c r="H626" s="54">
        <v>46217</v>
      </c>
      <c r="I626" s="53">
        <v>46215</v>
      </c>
      <c r="J626" s="52" t="s">
        <v>31</v>
      </c>
      <c r="K626" s="52" t="s">
        <v>1421</v>
      </c>
      <c r="L626" s="52" t="s">
        <v>40</v>
      </c>
      <c r="M626" s="52" t="s">
        <v>30</v>
      </c>
      <c r="N626" s="56">
        <f t="shared" ca="1" si="9"/>
        <v>41</v>
      </c>
    </row>
    <row r="627" spans="1:14" x14ac:dyDescent="0.25">
      <c r="A627" s="52">
        <v>626</v>
      </c>
      <c r="B627" s="52">
        <v>568824</v>
      </c>
      <c r="C627" s="52" t="s">
        <v>1446</v>
      </c>
      <c r="D627" s="55" t="s">
        <v>26</v>
      </c>
      <c r="E627" s="55" t="s">
        <v>27</v>
      </c>
      <c r="F627" s="55" t="s">
        <v>1447</v>
      </c>
      <c r="G627" s="52" t="s">
        <v>29</v>
      </c>
      <c r="H627" s="54">
        <v>46217</v>
      </c>
      <c r="I627" s="53">
        <v>46215</v>
      </c>
      <c r="J627" s="52" t="s">
        <v>31</v>
      </c>
      <c r="K627" s="52" t="s">
        <v>1421</v>
      </c>
      <c r="L627" s="52" t="s">
        <v>40</v>
      </c>
      <c r="M627" s="52" t="s">
        <v>30</v>
      </c>
      <c r="N627" s="56">
        <f t="shared" ca="1" si="9"/>
        <v>41</v>
      </c>
    </row>
    <row r="628" spans="1:14" x14ac:dyDescent="0.25">
      <c r="A628" s="52">
        <v>627</v>
      </c>
      <c r="B628" s="52">
        <v>646219</v>
      </c>
      <c r="C628" s="52" t="s">
        <v>1448</v>
      </c>
      <c r="D628" s="55" t="s">
        <v>26</v>
      </c>
      <c r="E628" s="55" t="s">
        <v>27</v>
      </c>
      <c r="F628" s="55" t="s">
        <v>1449</v>
      </c>
      <c r="G628" s="52" t="s">
        <v>29</v>
      </c>
      <c r="H628" s="54">
        <v>46217</v>
      </c>
      <c r="I628" s="53">
        <v>46212</v>
      </c>
      <c r="J628" s="52" t="s">
        <v>31</v>
      </c>
      <c r="K628" s="52" t="s">
        <v>1441</v>
      </c>
      <c r="L628" s="52" t="s">
        <v>40</v>
      </c>
      <c r="M628" s="52" t="s">
        <v>30</v>
      </c>
      <c r="N628" s="56">
        <f t="shared" ca="1" si="9"/>
        <v>44</v>
      </c>
    </row>
    <row r="629" spans="1:14" x14ac:dyDescent="0.25">
      <c r="A629" s="52">
        <v>628</v>
      </c>
      <c r="B629" s="52">
        <v>552887</v>
      </c>
      <c r="C629" s="52" t="s">
        <v>1450</v>
      </c>
      <c r="D629" s="55" t="s">
        <v>26</v>
      </c>
      <c r="E629" s="55" t="s">
        <v>27</v>
      </c>
      <c r="F629" s="55" t="s">
        <v>1451</v>
      </c>
      <c r="G629" s="52" t="s">
        <v>29</v>
      </c>
      <c r="H629" s="54">
        <v>46217</v>
      </c>
      <c r="I629" s="53">
        <v>46212</v>
      </c>
      <c r="J629" s="52" t="s">
        <v>31</v>
      </c>
      <c r="K629" s="52" t="s">
        <v>1421</v>
      </c>
      <c r="L629" s="52" t="s">
        <v>40</v>
      </c>
      <c r="M629" s="52" t="s">
        <v>30</v>
      </c>
      <c r="N629" s="56">
        <f t="shared" ca="1" si="9"/>
        <v>44</v>
      </c>
    </row>
    <row r="630" spans="1:14" x14ac:dyDescent="0.25">
      <c r="A630" s="52">
        <v>629</v>
      </c>
      <c r="B630" s="52">
        <v>646293</v>
      </c>
      <c r="C630" s="52" t="s">
        <v>1452</v>
      </c>
      <c r="D630" s="55" t="s">
        <v>26</v>
      </c>
      <c r="E630" s="55" t="s">
        <v>27</v>
      </c>
      <c r="F630" s="55" t="s">
        <v>1453</v>
      </c>
      <c r="G630" s="52" t="s">
        <v>29</v>
      </c>
      <c r="H630" s="54">
        <v>46219</v>
      </c>
      <c r="I630" s="53">
        <v>46216</v>
      </c>
      <c r="J630" s="52" t="s">
        <v>64</v>
      </c>
      <c r="K630" s="52" t="s">
        <v>1454</v>
      </c>
      <c r="L630" s="52" t="s">
        <v>66</v>
      </c>
      <c r="M630" s="52" t="s">
        <v>30</v>
      </c>
      <c r="N630" s="56">
        <f t="shared" ca="1" si="9"/>
        <v>40</v>
      </c>
    </row>
    <row r="631" spans="1:14" x14ac:dyDescent="0.25">
      <c r="A631" s="52">
        <v>630</v>
      </c>
      <c r="B631" s="52">
        <v>646291</v>
      </c>
      <c r="C631" s="52" t="s">
        <v>1455</v>
      </c>
      <c r="D631" s="55" t="s">
        <v>26</v>
      </c>
      <c r="E631" s="55" t="s">
        <v>129</v>
      </c>
      <c r="F631" s="55" t="s">
        <v>1456</v>
      </c>
      <c r="G631" s="52" t="s">
        <v>29</v>
      </c>
      <c r="H631" s="54">
        <v>46219</v>
      </c>
      <c r="I631" s="53">
        <v>46216</v>
      </c>
      <c r="J631" s="52" t="s">
        <v>64</v>
      </c>
      <c r="K631" s="52" t="s">
        <v>1457</v>
      </c>
      <c r="L631" s="52" t="s">
        <v>40</v>
      </c>
      <c r="M631" s="52" t="s">
        <v>30</v>
      </c>
      <c r="N631" s="56">
        <f t="shared" ca="1" si="9"/>
        <v>40</v>
      </c>
    </row>
    <row r="632" spans="1:14" x14ac:dyDescent="0.25">
      <c r="A632" s="52">
        <v>631</v>
      </c>
      <c r="B632" s="52">
        <v>610441</v>
      </c>
      <c r="C632" s="52" t="s">
        <v>1458</v>
      </c>
      <c r="D632" s="55" t="s">
        <v>63</v>
      </c>
      <c r="E632" s="55" t="s">
        <v>27</v>
      </c>
      <c r="F632" s="55">
        <v>403693958</v>
      </c>
      <c r="G632" s="52" t="s">
        <v>29</v>
      </c>
      <c r="H632" s="54">
        <v>46218</v>
      </c>
      <c r="I632" s="53">
        <v>46087</v>
      </c>
      <c r="J632" s="52" t="s">
        <v>31</v>
      </c>
      <c r="K632" s="52" t="s">
        <v>1421</v>
      </c>
      <c r="L632" s="52" t="s">
        <v>40</v>
      </c>
      <c r="M632" s="52" t="s">
        <v>30</v>
      </c>
      <c r="N632" s="56">
        <f t="shared" ca="1" si="9"/>
        <v>169</v>
      </c>
    </row>
    <row r="633" spans="1:14" x14ac:dyDescent="0.25">
      <c r="A633" s="52">
        <v>632</v>
      </c>
      <c r="B633" s="52">
        <v>549784</v>
      </c>
      <c r="C633" s="52" t="s">
        <v>1459</v>
      </c>
      <c r="D633" s="55" t="s">
        <v>26</v>
      </c>
      <c r="E633" s="55" t="s">
        <v>129</v>
      </c>
      <c r="F633" s="55" t="s">
        <v>1460</v>
      </c>
      <c r="G633" s="52" t="s">
        <v>29</v>
      </c>
      <c r="H633" s="54">
        <v>46219</v>
      </c>
      <c r="I633" s="53">
        <v>46216</v>
      </c>
      <c r="J633" s="52" t="s">
        <v>31</v>
      </c>
      <c r="K633" s="52" t="s">
        <v>1461</v>
      </c>
      <c r="L633" s="52" t="s">
        <v>40</v>
      </c>
      <c r="M633" s="52" t="s">
        <v>30</v>
      </c>
      <c r="N633" s="56">
        <f t="shared" ca="1" si="9"/>
        <v>40</v>
      </c>
    </row>
    <row r="634" spans="1:14" x14ac:dyDescent="0.25">
      <c r="A634" s="52">
        <v>633</v>
      </c>
      <c r="B634" s="52">
        <v>646309</v>
      </c>
      <c r="C634" s="52" t="s">
        <v>1462</v>
      </c>
      <c r="D634" s="55" t="s">
        <v>26</v>
      </c>
      <c r="E634" s="55" t="s">
        <v>27</v>
      </c>
      <c r="F634" s="55" t="s">
        <v>1463</v>
      </c>
      <c r="G634" s="52" t="s">
        <v>29</v>
      </c>
      <c r="H634" s="54" t="s">
        <v>30</v>
      </c>
      <c r="I634" s="53">
        <v>46217</v>
      </c>
      <c r="J634" s="52" t="s">
        <v>30</v>
      </c>
      <c r="K634" s="52" t="s">
        <v>30</v>
      </c>
      <c r="L634" s="52" t="s">
        <v>1464</v>
      </c>
      <c r="M634" s="52" t="s">
        <v>30</v>
      </c>
      <c r="N634" s="56">
        <f t="shared" ca="1" si="9"/>
        <v>39</v>
      </c>
    </row>
    <row r="635" spans="1:14" x14ac:dyDescent="0.25">
      <c r="A635" s="52">
        <v>634</v>
      </c>
      <c r="B635" s="52">
        <v>646303</v>
      </c>
      <c r="C635" s="52" t="s">
        <v>1465</v>
      </c>
      <c r="D635" s="55" t="s">
        <v>26</v>
      </c>
      <c r="E635" s="55" t="s">
        <v>27</v>
      </c>
      <c r="F635" s="55" t="s">
        <v>1466</v>
      </c>
      <c r="G635" s="52" t="s">
        <v>29</v>
      </c>
      <c r="H635" s="54">
        <v>46220</v>
      </c>
      <c r="I635" s="53">
        <v>46217</v>
      </c>
      <c r="J635" s="52" t="s">
        <v>31</v>
      </c>
      <c r="K635" s="52" t="s">
        <v>1421</v>
      </c>
      <c r="L635" s="52" t="s">
        <v>40</v>
      </c>
      <c r="M635" s="52" t="s">
        <v>30</v>
      </c>
      <c r="N635" s="56">
        <f t="shared" ref="N635:N698" ca="1" si="10">IFERROR(TODAY()-I635,"-")</f>
        <v>39</v>
      </c>
    </row>
    <row r="636" spans="1:14" x14ac:dyDescent="0.25">
      <c r="A636" s="52">
        <v>635</v>
      </c>
      <c r="B636" s="52">
        <v>646302</v>
      </c>
      <c r="C636" s="52" t="s">
        <v>1467</v>
      </c>
      <c r="D636" s="55" t="s">
        <v>26</v>
      </c>
      <c r="E636" s="55" t="s">
        <v>27</v>
      </c>
      <c r="F636" s="55" t="s">
        <v>1468</v>
      </c>
      <c r="G636" s="52" t="s">
        <v>29</v>
      </c>
      <c r="H636" s="54">
        <v>46220</v>
      </c>
      <c r="I636" s="53">
        <v>46217</v>
      </c>
      <c r="J636" s="52" t="s">
        <v>64</v>
      </c>
      <c r="K636" s="52" t="s">
        <v>1457</v>
      </c>
      <c r="L636" s="52" t="s">
        <v>40</v>
      </c>
      <c r="M636" s="52" t="s">
        <v>30</v>
      </c>
      <c r="N636" s="56">
        <f t="shared" ca="1" si="10"/>
        <v>39</v>
      </c>
    </row>
    <row r="637" spans="1:14" x14ac:dyDescent="0.25">
      <c r="A637" s="52">
        <v>636</v>
      </c>
      <c r="B637" s="52">
        <v>635334</v>
      </c>
      <c r="C637" s="52" t="s">
        <v>1469</v>
      </c>
      <c r="D637" s="55" t="s">
        <v>63</v>
      </c>
      <c r="E637" s="55" t="s">
        <v>27</v>
      </c>
      <c r="F637" s="55">
        <v>402498001</v>
      </c>
      <c r="G637" s="52" t="s">
        <v>29</v>
      </c>
      <c r="H637" s="54">
        <v>46220</v>
      </c>
      <c r="I637" s="53">
        <v>46217</v>
      </c>
      <c r="J637" s="52" t="s">
        <v>31</v>
      </c>
      <c r="K637" s="52" t="s">
        <v>1421</v>
      </c>
      <c r="L637" s="52" t="s">
        <v>40</v>
      </c>
      <c r="M637" s="52" t="s">
        <v>30</v>
      </c>
      <c r="N637" s="56">
        <f t="shared" ca="1" si="10"/>
        <v>39</v>
      </c>
    </row>
    <row r="638" spans="1:14" x14ac:dyDescent="0.25">
      <c r="A638" s="52">
        <v>637</v>
      </c>
      <c r="B638" s="52">
        <v>549707</v>
      </c>
      <c r="C638" s="52" t="s">
        <v>1470</v>
      </c>
      <c r="D638" s="55" t="s">
        <v>26</v>
      </c>
      <c r="E638" s="55" t="s">
        <v>27</v>
      </c>
      <c r="F638" s="55" t="s">
        <v>1471</v>
      </c>
      <c r="G638" s="52" t="s">
        <v>29</v>
      </c>
      <c r="H638" s="54">
        <v>46220</v>
      </c>
      <c r="I638" s="53">
        <v>46217</v>
      </c>
      <c r="J638" s="52" t="s">
        <v>31</v>
      </c>
      <c r="K638" s="52" t="s">
        <v>1421</v>
      </c>
      <c r="L638" s="52" t="s">
        <v>40</v>
      </c>
      <c r="M638" s="52" t="s">
        <v>30</v>
      </c>
      <c r="N638" s="56">
        <f t="shared" ca="1" si="10"/>
        <v>39</v>
      </c>
    </row>
    <row r="639" spans="1:14" x14ac:dyDescent="0.25">
      <c r="A639" s="52">
        <v>638</v>
      </c>
      <c r="B639" s="52">
        <v>646312</v>
      </c>
      <c r="C639" s="52" t="s">
        <v>1472</v>
      </c>
      <c r="D639" s="55" t="s">
        <v>26</v>
      </c>
      <c r="E639" s="55" t="s">
        <v>27</v>
      </c>
      <c r="F639" s="55" t="s">
        <v>1473</v>
      </c>
      <c r="G639" s="52" t="s">
        <v>29</v>
      </c>
      <c r="H639" s="54">
        <v>46220</v>
      </c>
      <c r="I639" s="53">
        <v>46217</v>
      </c>
      <c r="J639" s="52" t="s">
        <v>31</v>
      </c>
      <c r="K639" s="52" t="s">
        <v>1421</v>
      </c>
      <c r="L639" s="52" t="s">
        <v>40</v>
      </c>
      <c r="M639" s="52" t="s">
        <v>30</v>
      </c>
      <c r="N639" s="56">
        <f t="shared" ca="1" si="10"/>
        <v>39</v>
      </c>
    </row>
    <row r="640" spans="1:14" x14ac:dyDescent="0.25">
      <c r="A640" s="52">
        <v>639</v>
      </c>
      <c r="B640" s="52">
        <v>646301</v>
      </c>
      <c r="C640" s="52" t="s">
        <v>1474</v>
      </c>
      <c r="D640" s="55" t="s">
        <v>26</v>
      </c>
      <c r="E640" s="55" t="s">
        <v>27</v>
      </c>
      <c r="F640" s="55" t="s">
        <v>1475</v>
      </c>
      <c r="G640" s="52" t="s">
        <v>29</v>
      </c>
      <c r="H640" s="54">
        <v>46220</v>
      </c>
      <c r="I640" s="53">
        <v>46217</v>
      </c>
      <c r="J640" s="52" t="s">
        <v>31</v>
      </c>
      <c r="K640" s="52" t="s">
        <v>1421</v>
      </c>
      <c r="L640" s="52" t="s">
        <v>40</v>
      </c>
      <c r="M640" s="52" t="s">
        <v>30</v>
      </c>
      <c r="N640" s="56">
        <f t="shared" ca="1" si="10"/>
        <v>39</v>
      </c>
    </row>
    <row r="641" spans="1:14" x14ac:dyDescent="0.25">
      <c r="A641" s="52">
        <v>640</v>
      </c>
      <c r="B641" s="52">
        <v>646427</v>
      </c>
      <c r="C641" s="52" t="s">
        <v>1476</v>
      </c>
      <c r="D641" s="55" t="s">
        <v>26</v>
      </c>
      <c r="E641" s="55" t="s">
        <v>27</v>
      </c>
      <c r="F641" s="55" t="s">
        <v>1477</v>
      </c>
      <c r="G641" s="52" t="s">
        <v>29</v>
      </c>
      <c r="H641" s="54">
        <v>46226</v>
      </c>
      <c r="I641" s="53">
        <v>46224</v>
      </c>
      <c r="J641" s="52" t="s">
        <v>202</v>
      </c>
      <c r="K641" s="52" t="s">
        <v>1478</v>
      </c>
      <c r="L641" s="52" t="s">
        <v>40</v>
      </c>
      <c r="M641" s="52" t="s">
        <v>30</v>
      </c>
      <c r="N641" s="56">
        <f t="shared" ca="1" si="10"/>
        <v>32</v>
      </c>
    </row>
    <row r="642" spans="1:14" x14ac:dyDescent="0.25">
      <c r="A642" s="52">
        <v>641</v>
      </c>
      <c r="B642" s="52">
        <v>646438</v>
      </c>
      <c r="C642" s="52" t="s">
        <v>1479</v>
      </c>
      <c r="D642" s="55" t="s">
        <v>26</v>
      </c>
      <c r="E642" s="55" t="s">
        <v>27</v>
      </c>
      <c r="F642" s="55" t="s">
        <v>1480</v>
      </c>
      <c r="G642" s="52" t="s">
        <v>29</v>
      </c>
      <c r="H642" s="54">
        <v>46226</v>
      </c>
      <c r="I642" s="53">
        <v>46224</v>
      </c>
      <c r="J642" s="52" t="s">
        <v>77</v>
      </c>
      <c r="K642" s="52" t="s">
        <v>1421</v>
      </c>
      <c r="L642" s="52" t="s">
        <v>40</v>
      </c>
      <c r="M642" s="52" t="s">
        <v>30</v>
      </c>
      <c r="N642" s="56">
        <f t="shared" ca="1" si="10"/>
        <v>32</v>
      </c>
    </row>
    <row r="643" spans="1:14" x14ac:dyDescent="0.25">
      <c r="A643" s="52">
        <v>642</v>
      </c>
      <c r="B643" s="52">
        <v>646431</v>
      </c>
      <c r="C643" s="52" t="s">
        <v>1481</v>
      </c>
      <c r="D643" s="55" t="s">
        <v>26</v>
      </c>
      <c r="E643" s="55" t="s">
        <v>27</v>
      </c>
      <c r="F643" s="55" t="s">
        <v>1482</v>
      </c>
      <c r="G643" s="52" t="s">
        <v>29</v>
      </c>
      <c r="H643" s="54">
        <v>46226</v>
      </c>
      <c r="I643" s="53">
        <v>46224</v>
      </c>
      <c r="J643" s="52" t="s">
        <v>30</v>
      </c>
      <c r="K643" s="52" t="s">
        <v>30</v>
      </c>
      <c r="L643" s="52" t="s">
        <v>579</v>
      </c>
      <c r="M643" s="52" t="s">
        <v>30</v>
      </c>
      <c r="N643" s="56">
        <f t="shared" ca="1" si="10"/>
        <v>32</v>
      </c>
    </row>
    <row r="644" spans="1:14" x14ac:dyDescent="0.25">
      <c r="A644" s="52">
        <v>643</v>
      </c>
      <c r="B644" s="52">
        <v>646387</v>
      </c>
      <c r="C644" s="52" t="s">
        <v>1483</v>
      </c>
      <c r="D644" s="55" t="s">
        <v>26</v>
      </c>
      <c r="E644" s="55" t="s">
        <v>27</v>
      </c>
      <c r="F644" s="55" t="s">
        <v>1484</v>
      </c>
      <c r="G644" s="52" t="s">
        <v>29</v>
      </c>
      <c r="H644" s="54">
        <v>46226</v>
      </c>
      <c r="I644" s="53">
        <v>46223</v>
      </c>
      <c r="J644" s="52" t="s">
        <v>77</v>
      </c>
      <c r="K644" s="52" t="s">
        <v>1441</v>
      </c>
      <c r="L644" s="52" t="s">
        <v>40</v>
      </c>
      <c r="M644" s="52" t="s">
        <v>30</v>
      </c>
      <c r="N644" s="56">
        <f t="shared" ca="1" si="10"/>
        <v>33</v>
      </c>
    </row>
    <row r="645" spans="1:14" x14ac:dyDescent="0.25">
      <c r="A645" s="52">
        <v>644</v>
      </c>
      <c r="B645" s="52">
        <v>646388</v>
      </c>
      <c r="C645" s="52" t="s">
        <v>1485</v>
      </c>
      <c r="D645" s="55" t="s">
        <v>26</v>
      </c>
      <c r="E645" s="55" t="s">
        <v>27</v>
      </c>
      <c r="F645" s="55" t="s">
        <v>1486</v>
      </c>
      <c r="G645" s="52" t="s">
        <v>29</v>
      </c>
      <c r="H645" s="54">
        <v>46226</v>
      </c>
      <c r="I645" s="53">
        <v>46223</v>
      </c>
      <c r="J645" s="52" t="s">
        <v>77</v>
      </c>
      <c r="K645" s="52" t="s">
        <v>1441</v>
      </c>
      <c r="L645" s="52" t="s">
        <v>40</v>
      </c>
      <c r="M645" s="52" t="s">
        <v>30</v>
      </c>
      <c r="N645" s="56">
        <f t="shared" ca="1" si="10"/>
        <v>33</v>
      </c>
    </row>
    <row r="646" spans="1:14" x14ac:dyDescent="0.25">
      <c r="A646" s="52">
        <v>645</v>
      </c>
      <c r="B646" s="52">
        <v>646385</v>
      </c>
      <c r="C646" s="52" t="s">
        <v>1487</v>
      </c>
      <c r="D646" s="55" t="s">
        <v>26</v>
      </c>
      <c r="E646" s="55" t="s">
        <v>27</v>
      </c>
      <c r="F646" s="55" t="s">
        <v>1488</v>
      </c>
      <c r="G646" s="52" t="s">
        <v>29</v>
      </c>
      <c r="H646" s="54">
        <v>46226</v>
      </c>
      <c r="I646" s="53">
        <v>46223</v>
      </c>
      <c r="J646" s="52" t="s">
        <v>202</v>
      </c>
      <c r="K646" s="52" t="s">
        <v>1489</v>
      </c>
      <c r="L646" s="52" t="s">
        <v>40</v>
      </c>
      <c r="M646" s="52" t="s">
        <v>30</v>
      </c>
      <c r="N646" s="56">
        <f t="shared" ca="1" si="10"/>
        <v>33</v>
      </c>
    </row>
    <row r="647" spans="1:14" x14ac:dyDescent="0.25">
      <c r="A647" s="52">
        <v>646</v>
      </c>
      <c r="B647" s="52">
        <v>576702</v>
      </c>
      <c r="C647" s="52" t="s">
        <v>1490</v>
      </c>
      <c r="D647" s="55" t="s">
        <v>26</v>
      </c>
      <c r="E647" s="55" t="s">
        <v>27</v>
      </c>
      <c r="F647" s="55" t="s">
        <v>1491</v>
      </c>
      <c r="G647" s="52" t="s">
        <v>29</v>
      </c>
      <c r="H647" s="54">
        <v>46226</v>
      </c>
      <c r="I647" s="53">
        <v>46224</v>
      </c>
      <c r="J647" s="52" t="s">
        <v>77</v>
      </c>
      <c r="K647" s="52" t="s">
        <v>1441</v>
      </c>
      <c r="L647" s="52" t="s">
        <v>40</v>
      </c>
      <c r="M647" s="52" t="s">
        <v>30</v>
      </c>
      <c r="N647" s="56">
        <f t="shared" ca="1" si="10"/>
        <v>32</v>
      </c>
    </row>
    <row r="648" spans="1:14" x14ac:dyDescent="0.25">
      <c r="A648" s="52">
        <v>647</v>
      </c>
      <c r="B648" s="52">
        <v>646395</v>
      </c>
      <c r="C648" s="52" t="s">
        <v>1492</v>
      </c>
      <c r="D648" s="55" t="s">
        <v>26</v>
      </c>
      <c r="E648" s="55" t="s">
        <v>27</v>
      </c>
      <c r="F648" s="55" t="s">
        <v>1493</v>
      </c>
      <c r="G648" s="52" t="s">
        <v>29</v>
      </c>
      <c r="H648" s="54">
        <v>46226</v>
      </c>
      <c r="I648" s="53">
        <v>46223</v>
      </c>
      <c r="J648" s="52" t="s">
        <v>77</v>
      </c>
      <c r="K648" s="52" t="s">
        <v>1441</v>
      </c>
      <c r="L648" s="52" t="s">
        <v>40</v>
      </c>
      <c r="M648" s="52" t="s">
        <v>30</v>
      </c>
      <c r="N648" s="56">
        <f t="shared" ca="1" si="10"/>
        <v>33</v>
      </c>
    </row>
    <row r="649" spans="1:14" x14ac:dyDescent="0.25">
      <c r="A649" s="52">
        <v>648</v>
      </c>
      <c r="B649" s="52">
        <v>646391</v>
      </c>
      <c r="C649" s="52" t="s">
        <v>1494</v>
      </c>
      <c r="D649" s="55" t="s">
        <v>26</v>
      </c>
      <c r="E649" s="55" t="s">
        <v>27</v>
      </c>
      <c r="F649" s="55" t="s">
        <v>1495</v>
      </c>
      <c r="G649" s="52" t="s">
        <v>29</v>
      </c>
      <c r="H649" s="54">
        <v>46226</v>
      </c>
      <c r="I649" s="53">
        <v>46223</v>
      </c>
      <c r="J649" s="52" t="s">
        <v>30</v>
      </c>
      <c r="K649" s="52" t="s">
        <v>30</v>
      </c>
      <c r="L649" s="52" t="s">
        <v>579</v>
      </c>
      <c r="M649" s="52" t="s">
        <v>30</v>
      </c>
      <c r="N649" s="56">
        <f t="shared" ca="1" si="10"/>
        <v>33</v>
      </c>
    </row>
    <row r="650" spans="1:14" x14ac:dyDescent="0.25">
      <c r="A650" s="52">
        <v>649</v>
      </c>
      <c r="B650" s="52">
        <v>646379</v>
      </c>
      <c r="C650" s="52" t="s">
        <v>1496</v>
      </c>
      <c r="D650" s="55" t="s">
        <v>26</v>
      </c>
      <c r="E650" s="55" t="s">
        <v>27</v>
      </c>
      <c r="F650" s="55" t="s">
        <v>1497</v>
      </c>
      <c r="G650" s="52" t="s">
        <v>29</v>
      </c>
      <c r="H650" s="54">
        <v>46226</v>
      </c>
      <c r="I650" s="53">
        <v>46223</v>
      </c>
      <c r="J650" s="52" t="s">
        <v>30</v>
      </c>
      <c r="K650" s="52" t="s">
        <v>30</v>
      </c>
      <c r="L650" s="52" t="s">
        <v>579</v>
      </c>
      <c r="M650" s="52" t="s">
        <v>30</v>
      </c>
      <c r="N650" s="56">
        <f t="shared" ca="1" si="10"/>
        <v>33</v>
      </c>
    </row>
    <row r="651" spans="1:14" x14ac:dyDescent="0.25">
      <c r="A651" s="52">
        <v>650</v>
      </c>
      <c r="B651" s="52">
        <v>646392</v>
      </c>
      <c r="C651" s="52" t="s">
        <v>1498</v>
      </c>
      <c r="D651" s="55" t="s">
        <v>26</v>
      </c>
      <c r="E651" s="55" t="s">
        <v>27</v>
      </c>
      <c r="F651" s="55" t="s">
        <v>1499</v>
      </c>
      <c r="G651" s="52" t="s">
        <v>29</v>
      </c>
      <c r="H651" s="54">
        <v>46226</v>
      </c>
      <c r="I651" s="53">
        <v>46223</v>
      </c>
      <c r="J651" s="52" t="s">
        <v>202</v>
      </c>
      <c r="K651" s="52" t="s">
        <v>1478</v>
      </c>
      <c r="L651" s="52" t="s">
        <v>40</v>
      </c>
      <c r="M651" s="52" t="s">
        <v>30</v>
      </c>
      <c r="N651" s="56">
        <f t="shared" ca="1" si="10"/>
        <v>33</v>
      </c>
    </row>
    <row r="652" spans="1:14" x14ac:dyDescent="0.25">
      <c r="A652" s="52">
        <v>651</v>
      </c>
      <c r="B652" s="52">
        <v>646458</v>
      </c>
      <c r="C652" s="52" t="s">
        <v>1500</v>
      </c>
      <c r="D652" s="55" t="s">
        <v>26</v>
      </c>
      <c r="E652" s="55" t="s">
        <v>27</v>
      </c>
      <c r="F652" s="55" t="s">
        <v>1501</v>
      </c>
      <c r="G652" s="52" t="s">
        <v>29</v>
      </c>
      <c r="H652" s="54">
        <v>46226</v>
      </c>
      <c r="I652" s="53">
        <v>46224</v>
      </c>
      <c r="J652" s="52" t="s">
        <v>202</v>
      </c>
      <c r="K652" s="52" t="s">
        <v>1478</v>
      </c>
      <c r="L652" s="52" t="s">
        <v>40</v>
      </c>
      <c r="M652" s="52" t="s">
        <v>30</v>
      </c>
      <c r="N652" s="56">
        <f t="shared" ca="1" si="10"/>
        <v>32</v>
      </c>
    </row>
    <row r="653" spans="1:14" x14ac:dyDescent="0.25">
      <c r="A653" s="52">
        <v>652</v>
      </c>
      <c r="B653" s="52">
        <v>646396</v>
      </c>
      <c r="C653" s="52" t="s">
        <v>1502</v>
      </c>
      <c r="D653" s="55" t="s">
        <v>26</v>
      </c>
      <c r="E653" s="55" t="s">
        <v>27</v>
      </c>
      <c r="F653" s="55" t="s">
        <v>1503</v>
      </c>
      <c r="G653" s="52" t="s">
        <v>29</v>
      </c>
      <c r="H653" s="54">
        <v>46226</v>
      </c>
      <c r="I653" s="53">
        <v>46223</v>
      </c>
      <c r="J653" s="52" t="s">
        <v>202</v>
      </c>
      <c r="K653" s="52" t="s">
        <v>1478</v>
      </c>
      <c r="L653" s="52" t="s">
        <v>40</v>
      </c>
      <c r="M653" s="52" t="s">
        <v>30</v>
      </c>
      <c r="N653" s="56">
        <f t="shared" ca="1" si="10"/>
        <v>33</v>
      </c>
    </row>
    <row r="654" spans="1:14" x14ac:dyDescent="0.25">
      <c r="A654" s="52">
        <v>653</v>
      </c>
      <c r="B654" s="52">
        <v>513819</v>
      </c>
      <c r="C654" s="52" t="s">
        <v>1504</v>
      </c>
      <c r="D654" s="55" t="s">
        <v>26</v>
      </c>
      <c r="E654" s="55" t="s">
        <v>27</v>
      </c>
      <c r="F654" s="55" t="s">
        <v>1505</v>
      </c>
      <c r="G654" s="52" t="s">
        <v>29</v>
      </c>
      <c r="H654" s="54">
        <v>46226</v>
      </c>
      <c r="I654" s="53">
        <v>46224</v>
      </c>
      <c r="J654" s="52" t="s">
        <v>30</v>
      </c>
      <c r="K654" s="52" t="s">
        <v>30</v>
      </c>
      <c r="L654" s="52" t="s">
        <v>579</v>
      </c>
      <c r="M654" s="52" t="s">
        <v>30</v>
      </c>
      <c r="N654" s="56">
        <f t="shared" ca="1" si="10"/>
        <v>32</v>
      </c>
    </row>
    <row r="655" spans="1:14" x14ac:dyDescent="0.25">
      <c r="A655" s="52">
        <v>654</v>
      </c>
      <c r="B655" s="52">
        <v>646441</v>
      </c>
      <c r="C655" s="52" t="s">
        <v>1506</v>
      </c>
      <c r="D655" s="55" t="s">
        <v>26</v>
      </c>
      <c r="E655" s="55" t="s">
        <v>27</v>
      </c>
      <c r="F655" s="55" t="s">
        <v>1507</v>
      </c>
      <c r="G655" s="52" t="s">
        <v>29</v>
      </c>
      <c r="H655" s="54">
        <v>46226</v>
      </c>
      <c r="I655" s="53">
        <v>46224</v>
      </c>
      <c r="J655" s="52" t="s">
        <v>30</v>
      </c>
      <c r="K655" s="52" t="s">
        <v>30</v>
      </c>
      <c r="L655" s="52" t="s">
        <v>579</v>
      </c>
      <c r="M655" s="52" t="s">
        <v>30</v>
      </c>
      <c r="N655" s="56">
        <f t="shared" ca="1" si="10"/>
        <v>32</v>
      </c>
    </row>
    <row r="656" spans="1:14" x14ac:dyDescent="0.25">
      <c r="A656" s="52">
        <v>655</v>
      </c>
      <c r="B656" s="52">
        <v>646393</v>
      </c>
      <c r="C656" s="52" t="s">
        <v>1508</v>
      </c>
      <c r="D656" s="55" t="s">
        <v>26</v>
      </c>
      <c r="E656" s="55" t="s">
        <v>27</v>
      </c>
      <c r="F656" s="55" t="s">
        <v>1509</v>
      </c>
      <c r="G656" s="52" t="s">
        <v>29</v>
      </c>
      <c r="H656" s="54">
        <v>46226</v>
      </c>
      <c r="I656" s="53">
        <v>46223</v>
      </c>
      <c r="J656" s="52" t="s">
        <v>30</v>
      </c>
      <c r="K656" s="52" t="s">
        <v>30</v>
      </c>
      <c r="L656" s="52" t="s">
        <v>579</v>
      </c>
      <c r="M656" s="52" t="s">
        <v>30</v>
      </c>
      <c r="N656" s="56">
        <f t="shared" ca="1" si="10"/>
        <v>33</v>
      </c>
    </row>
    <row r="657" spans="1:14" x14ac:dyDescent="0.25">
      <c r="A657" s="52">
        <v>656</v>
      </c>
      <c r="B657" s="52">
        <v>646439</v>
      </c>
      <c r="C657" s="52" t="s">
        <v>1510</v>
      </c>
      <c r="D657" s="55" t="s">
        <v>26</v>
      </c>
      <c r="E657" s="55" t="s">
        <v>27</v>
      </c>
      <c r="F657" s="55" t="s">
        <v>1511</v>
      </c>
      <c r="G657" s="52" t="s">
        <v>29</v>
      </c>
      <c r="H657" s="54">
        <v>46226</v>
      </c>
      <c r="I657" s="53">
        <v>46224</v>
      </c>
      <c r="J657" s="52" t="s">
        <v>202</v>
      </c>
      <c r="K657" s="52" t="s">
        <v>1478</v>
      </c>
      <c r="L657" s="52" t="s">
        <v>40</v>
      </c>
      <c r="M657" s="52" t="s">
        <v>30</v>
      </c>
      <c r="N657" s="56">
        <f t="shared" ca="1" si="10"/>
        <v>32</v>
      </c>
    </row>
    <row r="658" spans="1:14" x14ac:dyDescent="0.25">
      <c r="A658" s="52">
        <v>657</v>
      </c>
      <c r="B658" s="52">
        <v>646378</v>
      </c>
      <c r="C658" s="52" t="s">
        <v>1512</v>
      </c>
      <c r="D658" s="55" t="s">
        <v>26</v>
      </c>
      <c r="E658" s="55" t="s">
        <v>27</v>
      </c>
      <c r="F658" s="55" t="s">
        <v>1513</v>
      </c>
      <c r="G658" s="52" t="s">
        <v>29</v>
      </c>
      <c r="H658" s="54">
        <v>46225</v>
      </c>
      <c r="I658" s="53">
        <v>46223</v>
      </c>
      <c r="J658" s="52" t="s">
        <v>202</v>
      </c>
      <c r="K658" s="52" t="s">
        <v>1478</v>
      </c>
      <c r="L658" s="52" t="s">
        <v>40</v>
      </c>
      <c r="M658" s="52" t="s">
        <v>30</v>
      </c>
      <c r="N658" s="56">
        <f t="shared" ca="1" si="10"/>
        <v>33</v>
      </c>
    </row>
    <row r="659" spans="1:14" x14ac:dyDescent="0.25">
      <c r="A659" s="52">
        <v>658</v>
      </c>
      <c r="B659" s="52">
        <v>646398</v>
      </c>
      <c r="C659" s="52" t="s">
        <v>1514</v>
      </c>
      <c r="D659" s="55" t="s">
        <v>26</v>
      </c>
      <c r="E659" s="55" t="s">
        <v>27</v>
      </c>
      <c r="F659" s="55" t="s">
        <v>1515</v>
      </c>
      <c r="G659" s="52" t="s">
        <v>29</v>
      </c>
      <c r="H659" s="54">
        <v>46226</v>
      </c>
      <c r="I659" s="53">
        <v>46223</v>
      </c>
      <c r="J659" s="52" t="s">
        <v>77</v>
      </c>
      <c r="K659" s="52" t="s">
        <v>1441</v>
      </c>
      <c r="L659" s="52" t="s">
        <v>40</v>
      </c>
      <c r="M659" s="52" t="s">
        <v>30</v>
      </c>
      <c r="N659" s="56">
        <f t="shared" ca="1" si="10"/>
        <v>33</v>
      </c>
    </row>
    <row r="660" spans="1:14" x14ac:dyDescent="0.25">
      <c r="A660" s="52">
        <v>659</v>
      </c>
      <c r="B660" s="52">
        <v>646389</v>
      </c>
      <c r="C660" s="52" t="s">
        <v>1516</v>
      </c>
      <c r="D660" s="55" t="s">
        <v>26</v>
      </c>
      <c r="E660" s="55" t="s">
        <v>27</v>
      </c>
      <c r="F660" s="55" t="s">
        <v>1517</v>
      </c>
      <c r="G660" s="52" t="s">
        <v>29</v>
      </c>
      <c r="H660" s="54">
        <v>46226</v>
      </c>
      <c r="I660" s="53">
        <v>46223</v>
      </c>
      <c r="J660" s="52" t="s">
        <v>202</v>
      </c>
      <c r="K660" s="52" t="s">
        <v>1518</v>
      </c>
      <c r="L660" s="52" t="s">
        <v>40</v>
      </c>
      <c r="M660" s="52" t="s">
        <v>30</v>
      </c>
      <c r="N660" s="56">
        <f t="shared" ca="1" si="10"/>
        <v>33</v>
      </c>
    </row>
    <row r="661" spans="1:14" x14ac:dyDescent="0.25">
      <c r="A661" s="52">
        <v>660</v>
      </c>
      <c r="B661" s="52">
        <v>646394</v>
      </c>
      <c r="C661" s="52" t="s">
        <v>1519</v>
      </c>
      <c r="D661" s="55" t="s">
        <v>26</v>
      </c>
      <c r="E661" s="55" t="s">
        <v>27</v>
      </c>
      <c r="F661" s="55" t="s">
        <v>1520</v>
      </c>
      <c r="G661" s="52" t="s">
        <v>29</v>
      </c>
      <c r="H661" s="54">
        <v>46226</v>
      </c>
      <c r="I661" s="53">
        <v>46223</v>
      </c>
      <c r="J661" s="52" t="s">
        <v>30</v>
      </c>
      <c r="K661" s="52" t="s">
        <v>30</v>
      </c>
      <c r="L661" s="52" t="s">
        <v>579</v>
      </c>
      <c r="M661" s="52" t="s">
        <v>30</v>
      </c>
      <c r="N661" s="56">
        <f t="shared" ca="1" si="10"/>
        <v>33</v>
      </c>
    </row>
    <row r="662" spans="1:14" x14ac:dyDescent="0.25">
      <c r="A662" s="52">
        <v>661</v>
      </c>
      <c r="B662" s="52">
        <v>631439</v>
      </c>
      <c r="C662" s="52" t="s">
        <v>1521</v>
      </c>
      <c r="D662" s="55" t="s">
        <v>26</v>
      </c>
      <c r="E662" s="55" t="s">
        <v>27</v>
      </c>
      <c r="F662" s="55" t="s">
        <v>1522</v>
      </c>
      <c r="G662" s="52" t="s">
        <v>29</v>
      </c>
      <c r="H662" s="54">
        <v>46226</v>
      </c>
      <c r="I662" s="53">
        <v>46223</v>
      </c>
      <c r="J662" s="52" t="s">
        <v>30</v>
      </c>
      <c r="K662" s="52" t="s">
        <v>30</v>
      </c>
      <c r="L662" s="52" t="s">
        <v>579</v>
      </c>
      <c r="M662" s="52" t="s">
        <v>30</v>
      </c>
      <c r="N662" s="56">
        <f t="shared" ca="1" si="10"/>
        <v>33</v>
      </c>
    </row>
    <row r="663" spans="1:14" x14ac:dyDescent="0.25">
      <c r="A663" s="52">
        <v>662</v>
      </c>
      <c r="B663" s="52">
        <v>646383</v>
      </c>
      <c r="C663" s="52" t="s">
        <v>1523</v>
      </c>
      <c r="D663" s="55" t="s">
        <v>26</v>
      </c>
      <c r="E663" s="55" t="s">
        <v>27</v>
      </c>
      <c r="F663" s="55" t="s">
        <v>1524</v>
      </c>
      <c r="G663" s="52" t="s">
        <v>29</v>
      </c>
      <c r="H663" s="54">
        <v>46226</v>
      </c>
      <c r="I663" s="53">
        <v>46223</v>
      </c>
      <c r="J663" s="52" t="s">
        <v>77</v>
      </c>
      <c r="K663" s="52" t="s">
        <v>1441</v>
      </c>
      <c r="L663" s="52" t="s">
        <v>40</v>
      </c>
      <c r="M663" s="52"/>
      <c r="N663" s="56">
        <f t="shared" ca="1" si="10"/>
        <v>33</v>
      </c>
    </row>
    <row r="664" spans="1:14" x14ac:dyDescent="0.25">
      <c r="A664" s="52">
        <v>663</v>
      </c>
      <c r="B664" s="52">
        <v>463620</v>
      </c>
      <c r="C664" s="52" t="s">
        <v>1525</v>
      </c>
      <c r="D664" s="55" t="s">
        <v>26</v>
      </c>
      <c r="E664" s="55" t="s">
        <v>27</v>
      </c>
      <c r="F664" s="55" t="s">
        <v>1526</v>
      </c>
      <c r="G664" s="52" t="s">
        <v>29</v>
      </c>
      <c r="H664" s="54" t="s">
        <v>30</v>
      </c>
      <c r="I664" s="53">
        <v>46224</v>
      </c>
      <c r="J664" s="52" t="s">
        <v>202</v>
      </c>
      <c r="K664" s="52" t="s">
        <v>1527</v>
      </c>
      <c r="L664" s="52" t="s">
        <v>40</v>
      </c>
      <c r="M664" s="52" t="s">
        <v>1528</v>
      </c>
      <c r="N664" s="56">
        <f t="shared" ca="1" si="10"/>
        <v>32</v>
      </c>
    </row>
    <row r="665" spans="1:14" x14ac:dyDescent="0.25">
      <c r="A665" s="52">
        <v>664</v>
      </c>
      <c r="B665" s="52">
        <v>626627</v>
      </c>
      <c r="C665" s="52" t="s">
        <v>1529</v>
      </c>
      <c r="D665" s="55" t="s">
        <v>163</v>
      </c>
      <c r="E665" s="55" t="s">
        <v>27</v>
      </c>
      <c r="F665" s="55" t="s">
        <v>1530</v>
      </c>
      <c r="G665" s="52" t="s">
        <v>29</v>
      </c>
      <c r="H665" s="54" t="s">
        <v>30</v>
      </c>
      <c r="I665" s="53">
        <v>46221</v>
      </c>
      <c r="J665" s="52" t="s">
        <v>77</v>
      </c>
      <c r="K665" s="52" t="s">
        <v>1531</v>
      </c>
      <c r="L665" s="52" t="s">
        <v>1464</v>
      </c>
      <c r="M665" s="52" t="s">
        <v>30</v>
      </c>
      <c r="N665" s="56">
        <f t="shared" ca="1" si="10"/>
        <v>35</v>
      </c>
    </row>
    <row r="666" spans="1:14" x14ac:dyDescent="0.25">
      <c r="A666" s="52">
        <v>665</v>
      </c>
      <c r="B666" s="52">
        <v>420560</v>
      </c>
      <c r="C666" s="52" t="s">
        <v>1532</v>
      </c>
      <c r="D666" s="55" t="s">
        <v>26</v>
      </c>
      <c r="E666" s="55" t="s">
        <v>27</v>
      </c>
      <c r="F666" s="55" t="s">
        <v>1533</v>
      </c>
      <c r="G666" s="52" t="s">
        <v>29</v>
      </c>
      <c r="H666" s="54">
        <v>46232</v>
      </c>
      <c r="I666" s="53">
        <v>46226</v>
      </c>
      <c r="J666" s="52" t="s">
        <v>77</v>
      </c>
      <c r="K666" s="52" t="s">
        <v>1534</v>
      </c>
      <c r="L666" s="52" t="s">
        <v>40</v>
      </c>
      <c r="M666" s="52" t="s">
        <v>30</v>
      </c>
      <c r="N666" s="56">
        <f t="shared" ca="1" si="10"/>
        <v>30</v>
      </c>
    </row>
    <row r="667" spans="1:14" x14ac:dyDescent="0.25">
      <c r="A667" s="52">
        <v>666</v>
      </c>
      <c r="B667" s="52">
        <v>646581</v>
      </c>
      <c r="C667" s="52" t="s">
        <v>1535</v>
      </c>
      <c r="D667" s="55" t="s">
        <v>26</v>
      </c>
      <c r="E667" s="55" t="s">
        <v>27</v>
      </c>
      <c r="F667" s="55" t="s">
        <v>1536</v>
      </c>
      <c r="G667" s="52" t="s">
        <v>29</v>
      </c>
      <c r="H667" s="54">
        <v>46232</v>
      </c>
      <c r="I667" s="53">
        <v>46230</v>
      </c>
      <c r="J667" s="52" t="s">
        <v>202</v>
      </c>
      <c r="K667" s="52" t="s">
        <v>1537</v>
      </c>
      <c r="L667" s="52" t="s">
        <v>40</v>
      </c>
      <c r="M667" s="52" t="s">
        <v>30</v>
      </c>
      <c r="N667" s="56">
        <f t="shared" ca="1" si="10"/>
        <v>26</v>
      </c>
    </row>
    <row r="668" spans="1:14" x14ac:dyDescent="0.25">
      <c r="A668" s="52">
        <v>667</v>
      </c>
      <c r="B668" s="52">
        <v>646522</v>
      </c>
      <c r="C668" s="52" t="s">
        <v>1538</v>
      </c>
      <c r="D668" s="55" t="s">
        <v>26</v>
      </c>
      <c r="E668" s="55" t="s">
        <v>27</v>
      </c>
      <c r="F668" s="55" t="s">
        <v>1539</v>
      </c>
      <c r="G668" s="52" t="s">
        <v>29</v>
      </c>
      <c r="H668" s="54">
        <v>46232</v>
      </c>
      <c r="I668" s="53">
        <v>46226</v>
      </c>
      <c r="J668" s="52" t="s">
        <v>77</v>
      </c>
      <c r="K668" s="52" t="s">
        <v>1540</v>
      </c>
      <c r="L668" s="52" t="s">
        <v>40</v>
      </c>
      <c r="M668" s="52" t="s">
        <v>30</v>
      </c>
      <c r="N668" s="56">
        <f t="shared" ca="1" si="10"/>
        <v>30</v>
      </c>
    </row>
    <row r="669" spans="1:14" x14ac:dyDescent="0.25">
      <c r="A669" s="52">
        <v>668</v>
      </c>
      <c r="B669" s="52">
        <v>423989</v>
      </c>
      <c r="C669" s="52" t="s">
        <v>1541</v>
      </c>
      <c r="D669" s="55" t="s">
        <v>26</v>
      </c>
      <c r="E669" s="55" t="s">
        <v>27</v>
      </c>
      <c r="F669" s="55" t="s">
        <v>1542</v>
      </c>
      <c r="G669" s="52" t="s">
        <v>29</v>
      </c>
      <c r="H669" s="54">
        <v>46232</v>
      </c>
      <c r="I669" s="53">
        <v>46226</v>
      </c>
      <c r="J669" s="52" t="s">
        <v>77</v>
      </c>
      <c r="K669" s="52" t="s">
        <v>1534</v>
      </c>
      <c r="L669" s="52" t="s">
        <v>40</v>
      </c>
      <c r="M669" s="52" t="s">
        <v>30</v>
      </c>
      <c r="N669" s="56">
        <f t="shared" ca="1" si="10"/>
        <v>30</v>
      </c>
    </row>
    <row r="670" spans="1:14" x14ac:dyDescent="0.25">
      <c r="A670" s="52">
        <v>669</v>
      </c>
      <c r="B670" s="52">
        <v>481272</v>
      </c>
      <c r="C670" s="52" t="s">
        <v>1543</v>
      </c>
      <c r="D670" s="55" t="s">
        <v>26</v>
      </c>
      <c r="E670" s="55" t="s">
        <v>27</v>
      </c>
      <c r="F670" s="55" t="s">
        <v>1544</v>
      </c>
      <c r="G670" s="52" t="s">
        <v>29</v>
      </c>
      <c r="H670" s="54">
        <v>46232</v>
      </c>
      <c r="I670" s="53">
        <v>46230</v>
      </c>
      <c r="J670" s="52" t="s">
        <v>77</v>
      </c>
      <c r="K670" s="52" t="s">
        <v>1534</v>
      </c>
      <c r="L670" s="52" t="s">
        <v>40</v>
      </c>
      <c r="M670" s="52" t="s">
        <v>30</v>
      </c>
      <c r="N670" s="56">
        <f t="shared" ca="1" si="10"/>
        <v>26</v>
      </c>
    </row>
    <row r="671" spans="1:14" x14ac:dyDescent="0.25">
      <c r="A671" s="52">
        <v>670</v>
      </c>
      <c r="B671" s="52">
        <v>272235</v>
      </c>
      <c r="C671" s="52" t="s">
        <v>1545</v>
      </c>
      <c r="D671" s="55" t="s">
        <v>26</v>
      </c>
      <c r="E671" s="55" t="s">
        <v>27</v>
      </c>
      <c r="F671" s="55" t="s">
        <v>1546</v>
      </c>
      <c r="G671" s="52" t="s">
        <v>29</v>
      </c>
      <c r="H671" s="54" t="s">
        <v>30</v>
      </c>
      <c r="I671" s="53">
        <v>46223</v>
      </c>
      <c r="J671" s="52" t="s">
        <v>77</v>
      </c>
      <c r="K671" s="52" t="s">
        <v>1441</v>
      </c>
      <c r="L671" s="52" t="s">
        <v>40</v>
      </c>
      <c r="M671" s="52" t="s">
        <v>30</v>
      </c>
      <c r="N671" s="56">
        <f t="shared" ca="1" si="10"/>
        <v>33</v>
      </c>
    </row>
    <row r="672" spans="1:14" x14ac:dyDescent="0.25">
      <c r="A672" s="52">
        <v>671</v>
      </c>
      <c r="B672" s="52">
        <v>646593</v>
      </c>
      <c r="C672" s="52" t="s">
        <v>1547</v>
      </c>
      <c r="D672" s="55" t="s">
        <v>26</v>
      </c>
      <c r="E672" s="55" t="s">
        <v>27</v>
      </c>
      <c r="F672" s="55" t="s">
        <v>1548</v>
      </c>
      <c r="G672" s="52" t="s">
        <v>29</v>
      </c>
      <c r="H672" s="54">
        <v>46233</v>
      </c>
      <c r="I672" s="53">
        <v>46231</v>
      </c>
      <c r="J672" s="52" t="s">
        <v>77</v>
      </c>
      <c r="K672" s="52" t="s">
        <v>1531</v>
      </c>
      <c r="L672" s="52" t="s">
        <v>1464</v>
      </c>
      <c r="M672" s="52" t="s">
        <v>1549</v>
      </c>
      <c r="N672" s="56">
        <f t="shared" ca="1" si="10"/>
        <v>25</v>
      </c>
    </row>
    <row r="673" spans="1:14" x14ac:dyDescent="0.25">
      <c r="A673" s="52">
        <v>672</v>
      </c>
      <c r="B673" s="52">
        <v>646595</v>
      </c>
      <c r="C673" s="52" t="s">
        <v>1550</v>
      </c>
      <c r="D673" s="55" t="s">
        <v>26</v>
      </c>
      <c r="E673" s="55" t="s">
        <v>27</v>
      </c>
      <c r="F673" s="55" t="s">
        <v>1551</v>
      </c>
      <c r="G673" s="52" t="s">
        <v>29</v>
      </c>
      <c r="H673" s="54">
        <v>46233</v>
      </c>
      <c r="I673" s="53">
        <v>46230</v>
      </c>
      <c r="J673" s="52" t="s">
        <v>77</v>
      </c>
      <c r="K673" s="52" t="s">
        <v>1534</v>
      </c>
      <c r="L673" s="52" t="s">
        <v>40</v>
      </c>
      <c r="M673" s="52" t="s">
        <v>30</v>
      </c>
      <c r="N673" s="56">
        <f t="shared" ca="1" si="10"/>
        <v>26</v>
      </c>
    </row>
    <row r="674" spans="1:14" x14ac:dyDescent="0.25">
      <c r="A674" s="52">
        <v>673</v>
      </c>
      <c r="B674" s="52">
        <v>646597</v>
      </c>
      <c r="C674" s="52" t="s">
        <v>1552</v>
      </c>
      <c r="D674" s="55" t="s">
        <v>26</v>
      </c>
      <c r="E674" s="55" t="s">
        <v>27</v>
      </c>
      <c r="F674" s="55" t="s">
        <v>1553</v>
      </c>
      <c r="G674" s="52" t="s">
        <v>29</v>
      </c>
      <c r="H674" s="54">
        <v>46233</v>
      </c>
      <c r="I674" s="53">
        <v>46231</v>
      </c>
      <c r="J674" s="52" t="s">
        <v>202</v>
      </c>
      <c r="K674" s="52" t="s">
        <v>1554</v>
      </c>
      <c r="L674" s="52" t="s">
        <v>40</v>
      </c>
      <c r="M674" s="52" t="s">
        <v>1555</v>
      </c>
      <c r="N674" s="56">
        <f t="shared" ca="1" si="10"/>
        <v>25</v>
      </c>
    </row>
    <row r="675" spans="1:14" x14ac:dyDescent="0.25">
      <c r="A675" s="52">
        <v>674</v>
      </c>
      <c r="B675" s="52">
        <v>646598</v>
      </c>
      <c r="C675" s="52" t="s">
        <v>1556</v>
      </c>
      <c r="D675" s="55" t="s">
        <v>26</v>
      </c>
      <c r="E675" s="55" t="s">
        <v>27</v>
      </c>
      <c r="F675" s="55" t="s">
        <v>1557</v>
      </c>
      <c r="G675" s="52" t="s">
        <v>29</v>
      </c>
      <c r="H675" s="54">
        <v>46233</v>
      </c>
      <c r="I675" s="53">
        <v>46231</v>
      </c>
      <c r="J675" s="52" t="s">
        <v>202</v>
      </c>
      <c r="K675" s="52" t="s">
        <v>1558</v>
      </c>
      <c r="L675" s="52" t="s">
        <v>40</v>
      </c>
      <c r="M675" s="52" t="s">
        <v>1555</v>
      </c>
      <c r="N675" s="56">
        <f t="shared" ca="1" si="10"/>
        <v>25</v>
      </c>
    </row>
    <row r="676" spans="1:14" x14ac:dyDescent="0.25">
      <c r="A676" s="52">
        <v>675</v>
      </c>
      <c r="B676" s="52">
        <v>524371</v>
      </c>
      <c r="C676" s="52" t="s">
        <v>1559</v>
      </c>
      <c r="D676" s="55" t="s">
        <v>26</v>
      </c>
      <c r="E676" s="55" t="s">
        <v>27</v>
      </c>
      <c r="F676" s="55" t="s">
        <v>1560</v>
      </c>
      <c r="G676" s="52" t="s">
        <v>29</v>
      </c>
      <c r="H676" s="54">
        <v>46233</v>
      </c>
      <c r="I676" s="53">
        <v>46231</v>
      </c>
      <c r="J676" s="52" t="s">
        <v>202</v>
      </c>
      <c r="K676" s="52" t="s">
        <v>1561</v>
      </c>
      <c r="L676" s="52" t="s">
        <v>40</v>
      </c>
      <c r="M676" s="52" t="s">
        <v>1555</v>
      </c>
      <c r="N676" s="56">
        <f t="shared" ca="1" si="10"/>
        <v>25</v>
      </c>
    </row>
    <row r="677" spans="1:14" x14ac:dyDescent="0.25">
      <c r="A677" s="52">
        <v>676</v>
      </c>
      <c r="B677" s="52">
        <v>646600</v>
      </c>
      <c r="C677" s="52" t="s">
        <v>1562</v>
      </c>
      <c r="D677" s="55" t="s">
        <v>26</v>
      </c>
      <c r="E677" s="55" t="s">
        <v>27</v>
      </c>
      <c r="F677" s="55" t="s">
        <v>1563</v>
      </c>
      <c r="G677" s="52" t="s">
        <v>29</v>
      </c>
      <c r="H677" s="54">
        <v>46233</v>
      </c>
      <c r="I677" s="53">
        <v>46230</v>
      </c>
      <c r="J677" s="52" t="s">
        <v>202</v>
      </c>
      <c r="K677" s="52" t="s">
        <v>1564</v>
      </c>
      <c r="L677" s="52" t="s">
        <v>40</v>
      </c>
      <c r="M677" s="52" t="s">
        <v>1555</v>
      </c>
      <c r="N677" s="56">
        <f t="shared" ca="1" si="10"/>
        <v>26</v>
      </c>
    </row>
    <row r="678" spans="1:14" x14ac:dyDescent="0.25">
      <c r="A678" s="52">
        <v>677</v>
      </c>
      <c r="B678" s="52">
        <v>555902</v>
      </c>
      <c r="C678" s="52" t="s">
        <v>1565</v>
      </c>
      <c r="D678" s="55" t="s">
        <v>26</v>
      </c>
      <c r="E678" s="55" t="s">
        <v>27</v>
      </c>
      <c r="F678" s="55" t="s">
        <v>1566</v>
      </c>
      <c r="G678" s="52" t="s">
        <v>29</v>
      </c>
      <c r="H678" s="54">
        <v>46233</v>
      </c>
      <c r="I678" s="53">
        <v>46230</v>
      </c>
      <c r="J678" s="52" t="s">
        <v>30</v>
      </c>
      <c r="K678" s="52" t="s">
        <v>30</v>
      </c>
      <c r="L678" s="52" t="s">
        <v>1177</v>
      </c>
      <c r="M678" s="52" t="s">
        <v>30</v>
      </c>
      <c r="N678" s="56">
        <f t="shared" ca="1" si="10"/>
        <v>26</v>
      </c>
    </row>
    <row r="679" spans="1:14" x14ac:dyDescent="0.25">
      <c r="A679" s="52">
        <v>678</v>
      </c>
      <c r="B679" s="52">
        <v>646603</v>
      </c>
      <c r="C679" s="52" t="s">
        <v>1567</v>
      </c>
      <c r="D679" s="55" t="s">
        <v>26</v>
      </c>
      <c r="E679" s="55" t="s">
        <v>27</v>
      </c>
      <c r="F679" s="55" t="s">
        <v>1568</v>
      </c>
      <c r="G679" s="52" t="s">
        <v>29</v>
      </c>
      <c r="H679" s="54">
        <v>46233</v>
      </c>
      <c r="I679" s="53">
        <v>46230</v>
      </c>
      <c r="J679" s="52" t="s">
        <v>202</v>
      </c>
      <c r="K679" s="52" t="s">
        <v>1537</v>
      </c>
      <c r="L679" s="52" t="s">
        <v>40</v>
      </c>
      <c r="M679" s="52" t="s">
        <v>30</v>
      </c>
      <c r="N679" s="56">
        <f t="shared" ca="1" si="10"/>
        <v>26</v>
      </c>
    </row>
    <row r="680" spans="1:14" x14ac:dyDescent="0.25">
      <c r="A680" s="52">
        <v>679</v>
      </c>
      <c r="B680" s="52">
        <v>646605</v>
      </c>
      <c r="C680" s="52" t="s">
        <v>1569</v>
      </c>
      <c r="D680" s="55" t="s">
        <v>26</v>
      </c>
      <c r="E680" s="55" t="s">
        <v>27</v>
      </c>
      <c r="F680" s="55" t="s">
        <v>1570</v>
      </c>
      <c r="G680" s="52" t="s">
        <v>29</v>
      </c>
      <c r="H680" s="54">
        <v>46233</v>
      </c>
      <c r="I680" s="53">
        <v>46231</v>
      </c>
      <c r="J680" s="52" t="s">
        <v>77</v>
      </c>
      <c r="K680" s="52" t="s">
        <v>1531</v>
      </c>
      <c r="L680" s="52" t="s">
        <v>1255</v>
      </c>
      <c r="M680" s="52" t="s">
        <v>30</v>
      </c>
      <c r="N680" s="56">
        <f t="shared" ca="1" si="10"/>
        <v>25</v>
      </c>
    </row>
    <row r="681" spans="1:14" x14ac:dyDescent="0.25">
      <c r="A681" s="52">
        <v>680</v>
      </c>
      <c r="B681" s="52">
        <v>646609</v>
      </c>
      <c r="C681" s="52" t="s">
        <v>1571</v>
      </c>
      <c r="D681" s="55" t="s">
        <v>26</v>
      </c>
      <c r="E681" s="55" t="s">
        <v>27</v>
      </c>
      <c r="F681" s="55" t="s">
        <v>1572</v>
      </c>
      <c r="G681" s="52" t="s">
        <v>29</v>
      </c>
      <c r="H681" s="54">
        <v>46233</v>
      </c>
      <c r="I681" s="53">
        <v>46230</v>
      </c>
      <c r="J681" s="52" t="s">
        <v>77</v>
      </c>
      <c r="K681" s="52" t="s">
        <v>1573</v>
      </c>
      <c r="L681" s="52" t="s">
        <v>40</v>
      </c>
      <c r="M681" s="52" t="s">
        <v>30</v>
      </c>
      <c r="N681" s="56">
        <f t="shared" ca="1" si="10"/>
        <v>26</v>
      </c>
    </row>
    <row r="682" spans="1:14" x14ac:dyDescent="0.25">
      <c r="A682" s="52">
        <v>681</v>
      </c>
      <c r="B682" s="52">
        <v>625673</v>
      </c>
      <c r="C682" s="52" t="s">
        <v>1574</v>
      </c>
      <c r="D682" s="55" t="s">
        <v>26</v>
      </c>
      <c r="E682" s="55" t="s">
        <v>129</v>
      </c>
      <c r="F682" s="55" t="s">
        <v>1575</v>
      </c>
      <c r="G682" s="52" t="s">
        <v>76</v>
      </c>
      <c r="H682" s="54" t="s">
        <v>30</v>
      </c>
      <c r="I682" s="53">
        <v>46029</v>
      </c>
      <c r="J682" s="52" t="s">
        <v>77</v>
      </c>
      <c r="K682" s="52" t="s">
        <v>1576</v>
      </c>
      <c r="L682" s="52" t="s">
        <v>40</v>
      </c>
      <c r="M682" s="52" t="s">
        <v>30</v>
      </c>
      <c r="N682" s="56">
        <f t="shared" ca="1" si="10"/>
        <v>227</v>
      </c>
    </row>
    <row r="683" spans="1:14" x14ac:dyDescent="0.25">
      <c r="A683" s="52">
        <v>682</v>
      </c>
      <c r="B683" s="52">
        <v>445728</v>
      </c>
      <c r="C683" s="52" t="s">
        <v>1577</v>
      </c>
      <c r="D683" s="55" t="s">
        <v>26</v>
      </c>
      <c r="E683" s="55" t="s">
        <v>27</v>
      </c>
      <c r="F683" s="55" t="s">
        <v>1578</v>
      </c>
      <c r="G683" s="52" t="s">
        <v>76</v>
      </c>
      <c r="H683" s="54" t="s">
        <v>30</v>
      </c>
      <c r="I683" s="53">
        <v>46164</v>
      </c>
      <c r="J683" s="52" t="s">
        <v>77</v>
      </c>
      <c r="K683" s="52" t="s">
        <v>1576</v>
      </c>
      <c r="L683" s="52" t="s">
        <v>40</v>
      </c>
      <c r="M683" s="52" t="s">
        <v>30</v>
      </c>
      <c r="N683" s="56">
        <f t="shared" ca="1" si="10"/>
        <v>92</v>
      </c>
    </row>
    <row r="684" spans="1:14" x14ac:dyDescent="0.25">
      <c r="A684" s="52">
        <v>683</v>
      </c>
      <c r="B684" s="52">
        <v>635071</v>
      </c>
      <c r="C684" s="52" t="s">
        <v>1579</v>
      </c>
      <c r="D684" s="55" t="s">
        <v>26</v>
      </c>
      <c r="E684" s="55" t="s">
        <v>27</v>
      </c>
      <c r="F684" s="55" t="s">
        <v>1580</v>
      </c>
      <c r="G684" s="52" t="s">
        <v>76</v>
      </c>
      <c r="H684" s="54" t="s">
        <v>30</v>
      </c>
      <c r="I684" s="53">
        <v>45892</v>
      </c>
      <c r="J684" s="52" t="s">
        <v>202</v>
      </c>
      <c r="K684" s="52" t="s">
        <v>1581</v>
      </c>
      <c r="L684" s="52" t="s">
        <v>66</v>
      </c>
      <c r="M684" s="52" t="s">
        <v>30</v>
      </c>
      <c r="N684" s="56">
        <f t="shared" ca="1" si="10"/>
        <v>364</v>
      </c>
    </row>
    <row r="685" spans="1:14" x14ac:dyDescent="0.25">
      <c r="A685" s="52">
        <v>684</v>
      </c>
      <c r="B685" s="52">
        <v>443534</v>
      </c>
      <c r="C685" s="52" t="s">
        <v>1582</v>
      </c>
      <c r="D685" s="55" t="s">
        <v>26</v>
      </c>
      <c r="E685" s="55" t="s">
        <v>854</v>
      </c>
      <c r="F685" s="55" t="s">
        <v>1583</v>
      </c>
      <c r="G685" s="52" t="s">
        <v>76</v>
      </c>
      <c r="H685" s="54" t="s">
        <v>30</v>
      </c>
      <c r="I685" s="53">
        <v>45896</v>
      </c>
      <c r="J685" s="52" t="s">
        <v>77</v>
      </c>
      <c r="K685" s="52" t="s">
        <v>1576</v>
      </c>
      <c r="L685" s="52" t="s">
        <v>40</v>
      </c>
      <c r="M685" s="52" t="s">
        <v>30</v>
      </c>
      <c r="N685" s="56">
        <f t="shared" ca="1" si="10"/>
        <v>360</v>
      </c>
    </row>
    <row r="686" spans="1:14" x14ac:dyDescent="0.25">
      <c r="A686" s="52">
        <v>685</v>
      </c>
      <c r="B686" s="52">
        <v>508443</v>
      </c>
      <c r="C686" s="52" t="s">
        <v>1584</v>
      </c>
      <c r="D686" s="55" t="s">
        <v>26</v>
      </c>
      <c r="E686" s="55" t="s">
        <v>27</v>
      </c>
      <c r="F686" s="55" t="s">
        <v>1585</v>
      </c>
      <c r="G686" s="52" t="s">
        <v>76</v>
      </c>
      <c r="H686" s="54" t="s">
        <v>30</v>
      </c>
      <c r="I686" s="53">
        <v>45880</v>
      </c>
      <c r="J686" s="52" t="s">
        <v>77</v>
      </c>
      <c r="K686" s="52" t="s">
        <v>1576</v>
      </c>
      <c r="L686" s="52" t="s">
        <v>40</v>
      </c>
      <c r="M686" s="52" t="s">
        <v>30</v>
      </c>
      <c r="N686" s="56">
        <f t="shared" ca="1" si="10"/>
        <v>376</v>
      </c>
    </row>
    <row r="687" spans="1:14" x14ac:dyDescent="0.25">
      <c r="A687" s="52">
        <v>686</v>
      </c>
      <c r="B687" s="52">
        <v>635081</v>
      </c>
      <c r="C687" s="52" t="s">
        <v>1586</v>
      </c>
      <c r="D687" s="55" t="s">
        <v>26</v>
      </c>
      <c r="E687" s="55" t="s">
        <v>27</v>
      </c>
      <c r="F687" s="55" t="s">
        <v>1587</v>
      </c>
      <c r="G687" s="52" t="s">
        <v>76</v>
      </c>
      <c r="H687" s="54" t="s">
        <v>30</v>
      </c>
      <c r="I687" s="53">
        <v>45894</v>
      </c>
      <c r="J687" s="52" t="s">
        <v>77</v>
      </c>
      <c r="K687" s="52" t="s">
        <v>1576</v>
      </c>
      <c r="L687" s="52" t="s">
        <v>40</v>
      </c>
      <c r="M687" s="52" t="s">
        <v>30</v>
      </c>
      <c r="N687" s="56">
        <f t="shared" ca="1" si="10"/>
        <v>362</v>
      </c>
    </row>
    <row r="688" spans="1:14" x14ac:dyDescent="0.25">
      <c r="A688" s="52">
        <v>687</v>
      </c>
      <c r="B688" s="52">
        <v>618866</v>
      </c>
      <c r="C688" s="52" t="s">
        <v>1588</v>
      </c>
      <c r="D688" s="55" t="s">
        <v>26</v>
      </c>
      <c r="E688" s="55" t="s">
        <v>27</v>
      </c>
      <c r="F688" s="55" t="s">
        <v>1589</v>
      </c>
      <c r="G688" s="52" t="s">
        <v>76</v>
      </c>
      <c r="H688" s="54" t="s">
        <v>30</v>
      </c>
      <c r="I688" s="53">
        <v>45883</v>
      </c>
      <c r="J688" s="52" t="s">
        <v>77</v>
      </c>
      <c r="K688" s="52" t="s">
        <v>1590</v>
      </c>
      <c r="L688" s="52" t="s">
        <v>40</v>
      </c>
      <c r="M688" s="52" t="s">
        <v>30</v>
      </c>
      <c r="N688" s="56">
        <f t="shared" ca="1" si="10"/>
        <v>373</v>
      </c>
    </row>
    <row r="689" spans="1:14" x14ac:dyDescent="0.25">
      <c r="A689" s="52">
        <v>688</v>
      </c>
      <c r="B689" s="52">
        <v>634978</v>
      </c>
      <c r="C689" s="52" t="s">
        <v>1591</v>
      </c>
      <c r="D689" s="55" t="s">
        <v>26</v>
      </c>
      <c r="E689" s="55" t="s">
        <v>27</v>
      </c>
      <c r="F689" s="55" t="s">
        <v>1592</v>
      </c>
      <c r="G689" s="52" t="s">
        <v>76</v>
      </c>
      <c r="H689" s="54" t="s">
        <v>30</v>
      </c>
      <c r="I689" s="53">
        <v>45885</v>
      </c>
      <c r="J689" s="52" t="s">
        <v>202</v>
      </c>
      <c r="K689" s="52" t="s">
        <v>1593</v>
      </c>
      <c r="L689" s="52" t="s">
        <v>66</v>
      </c>
      <c r="M689" s="52" t="s">
        <v>30</v>
      </c>
      <c r="N689" s="56">
        <f t="shared" ca="1" si="10"/>
        <v>371</v>
      </c>
    </row>
    <row r="690" spans="1:14" x14ac:dyDescent="0.25">
      <c r="A690" s="52">
        <v>689</v>
      </c>
      <c r="B690" s="52">
        <v>646665</v>
      </c>
      <c r="C690" s="52" t="s">
        <v>1594</v>
      </c>
      <c r="D690" s="55" t="s">
        <v>26</v>
      </c>
      <c r="E690" s="55" t="s">
        <v>27</v>
      </c>
      <c r="F690" s="55" t="s">
        <v>1595</v>
      </c>
      <c r="G690" s="52" t="s">
        <v>29</v>
      </c>
      <c r="H690" s="54">
        <v>46239</v>
      </c>
      <c r="I690" s="53">
        <v>46236</v>
      </c>
      <c r="J690" s="52" t="s">
        <v>202</v>
      </c>
      <c r="K690" s="52" t="s">
        <v>1596</v>
      </c>
      <c r="L690" s="52" t="s">
        <v>7</v>
      </c>
      <c r="M690" s="52" t="s">
        <v>1555</v>
      </c>
      <c r="N690" s="56">
        <f t="shared" ca="1" si="10"/>
        <v>20</v>
      </c>
    </row>
    <row r="691" spans="1:14" x14ac:dyDescent="0.25">
      <c r="A691" s="52">
        <v>690</v>
      </c>
      <c r="B691" s="52">
        <v>646642</v>
      </c>
      <c r="C691" s="52" t="s">
        <v>1597</v>
      </c>
      <c r="D691" s="55" t="s">
        <v>26</v>
      </c>
      <c r="E691" s="55" t="s">
        <v>129</v>
      </c>
      <c r="F691" s="55" t="s">
        <v>1598</v>
      </c>
      <c r="G691" s="52" t="s">
        <v>29</v>
      </c>
      <c r="H691" s="54">
        <v>46238</v>
      </c>
      <c r="I691" s="53">
        <v>46234</v>
      </c>
      <c r="J691" s="52" t="s">
        <v>202</v>
      </c>
      <c r="K691" s="52" t="s">
        <v>1599</v>
      </c>
      <c r="L691" s="52" t="s">
        <v>40</v>
      </c>
      <c r="M691" s="52" t="s">
        <v>1555</v>
      </c>
      <c r="N691" s="56">
        <f t="shared" ca="1" si="10"/>
        <v>22</v>
      </c>
    </row>
    <row r="692" spans="1:14" x14ac:dyDescent="0.25">
      <c r="A692" s="52">
        <v>691</v>
      </c>
      <c r="B692" s="52">
        <v>646661</v>
      </c>
      <c r="C692" s="52" t="s">
        <v>1600</v>
      </c>
      <c r="D692" s="55" t="s">
        <v>26</v>
      </c>
      <c r="E692" s="55" t="s">
        <v>129</v>
      </c>
      <c r="F692" s="55" t="s">
        <v>1601</v>
      </c>
      <c r="G692" s="52" t="s">
        <v>29</v>
      </c>
      <c r="H692" s="54">
        <v>46239</v>
      </c>
      <c r="I692" s="53">
        <v>46236</v>
      </c>
      <c r="J692" s="52" t="s">
        <v>30</v>
      </c>
      <c r="K692" s="52" t="s">
        <v>30</v>
      </c>
      <c r="L692" s="52" t="s">
        <v>579</v>
      </c>
      <c r="M692" s="52" t="s">
        <v>30</v>
      </c>
      <c r="N692" s="56">
        <f t="shared" ca="1" si="10"/>
        <v>20</v>
      </c>
    </row>
    <row r="693" spans="1:14" x14ac:dyDescent="0.25">
      <c r="A693" s="52">
        <v>692</v>
      </c>
      <c r="B693" s="52">
        <v>646663</v>
      </c>
      <c r="C693" s="52" t="s">
        <v>1602</v>
      </c>
      <c r="D693" s="55" t="s">
        <v>26</v>
      </c>
      <c r="E693" s="55" t="s">
        <v>27</v>
      </c>
      <c r="F693" s="55" t="s">
        <v>1603</v>
      </c>
      <c r="G693" s="52" t="s">
        <v>29</v>
      </c>
      <c r="H693" s="54">
        <v>46241</v>
      </c>
      <c r="I693" s="53">
        <v>46236</v>
      </c>
      <c r="J693" s="52" t="s">
        <v>30</v>
      </c>
      <c r="K693" s="52" t="s">
        <v>30</v>
      </c>
      <c r="L693" s="52" t="s">
        <v>579</v>
      </c>
      <c r="M693" s="52" t="s">
        <v>30</v>
      </c>
      <c r="N693" s="56">
        <f t="shared" ca="1" si="10"/>
        <v>20</v>
      </c>
    </row>
    <row r="694" spans="1:14" x14ac:dyDescent="0.25">
      <c r="A694" s="52">
        <v>693</v>
      </c>
      <c r="B694" s="52">
        <v>646660</v>
      </c>
      <c r="C694" s="52" t="s">
        <v>1604</v>
      </c>
      <c r="D694" s="55" t="s">
        <v>26</v>
      </c>
      <c r="E694" s="55" t="s">
        <v>27</v>
      </c>
      <c r="F694" s="55" t="s">
        <v>1605</v>
      </c>
      <c r="G694" s="52" t="s">
        <v>29</v>
      </c>
      <c r="H694" s="54">
        <v>46239</v>
      </c>
      <c r="I694" s="53">
        <v>46236</v>
      </c>
      <c r="J694" s="52" t="s">
        <v>30</v>
      </c>
      <c r="K694" s="52" t="s">
        <v>30</v>
      </c>
      <c r="L694" s="52" t="s">
        <v>579</v>
      </c>
      <c r="M694" s="52" t="s">
        <v>30</v>
      </c>
      <c r="N694" s="56">
        <f t="shared" ca="1" si="10"/>
        <v>20</v>
      </c>
    </row>
    <row r="695" spans="1:14" x14ac:dyDescent="0.25">
      <c r="A695" s="52">
        <v>694</v>
      </c>
      <c r="B695" s="52">
        <v>541960</v>
      </c>
      <c r="C695" s="52" t="s">
        <v>1606</v>
      </c>
      <c r="D695" s="55" t="s">
        <v>26</v>
      </c>
      <c r="E695" s="55" t="s">
        <v>27</v>
      </c>
      <c r="F695" s="55" t="s">
        <v>1607</v>
      </c>
      <c r="G695" s="52" t="s">
        <v>29</v>
      </c>
      <c r="H695" s="54">
        <v>46241</v>
      </c>
      <c r="I695" s="53">
        <v>46236</v>
      </c>
      <c r="J695" s="52" t="s">
        <v>30</v>
      </c>
      <c r="K695" s="52" t="s">
        <v>30</v>
      </c>
      <c r="L695" s="52" t="s">
        <v>579</v>
      </c>
      <c r="M695" s="52" t="s">
        <v>30</v>
      </c>
      <c r="N695" s="56">
        <f t="shared" ca="1" si="10"/>
        <v>20</v>
      </c>
    </row>
    <row r="696" spans="1:14" x14ac:dyDescent="0.25">
      <c r="A696" s="52">
        <v>695</v>
      </c>
      <c r="B696" s="52">
        <v>646667</v>
      </c>
      <c r="C696" s="52" t="s">
        <v>1608</v>
      </c>
      <c r="D696" s="55" t="s">
        <v>26</v>
      </c>
      <c r="E696" s="55" t="s">
        <v>27</v>
      </c>
      <c r="F696" s="55" t="s">
        <v>1609</v>
      </c>
      <c r="G696" s="52" t="s">
        <v>29</v>
      </c>
      <c r="H696" s="54">
        <v>46239</v>
      </c>
      <c r="I696" s="53">
        <v>46236</v>
      </c>
      <c r="J696" s="52" t="s">
        <v>77</v>
      </c>
      <c r="K696" s="52" t="s">
        <v>1540</v>
      </c>
      <c r="L696" s="52" t="s">
        <v>40</v>
      </c>
      <c r="M696" s="52" t="s">
        <v>30</v>
      </c>
      <c r="N696" s="56">
        <f t="shared" ca="1" si="10"/>
        <v>20</v>
      </c>
    </row>
    <row r="697" spans="1:14" x14ac:dyDescent="0.25">
      <c r="A697" s="52">
        <v>696</v>
      </c>
      <c r="B697" s="52">
        <v>646662</v>
      </c>
      <c r="C697" s="52" t="s">
        <v>1610</v>
      </c>
      <c r="D697" s="55" t="s">
        <v>26</v>
      </c>
      <c r="E697" s="55" t="s">
        <v>27</v>
      </c>
      <c r="F697" s="55" t="s">
        <v>1611</v>
      </c>
      <c r="G697" s="52" t="s">
        <v>29</v>
      </c>
      <c r="H697" s="54">
        <v>46239</v>
      </c>
      <c r="I697" s="53">
        <v>46236</v>
      </c>
      <c r="J697" s="52" t="s">
        <v>77</v>
      </c>
      <c r="K697" s="52" t="s">
        <v>1576</v>
      </c>
      <c r="L697" s="52" t="s">
        <v>40</v>
      </c>
      <c r="M697" s="52" t="s">
        <v>30</v>
      </c>
      <c r="N697" s="56">
        <f t="shared" ca="1" si="10"/>
        <v>20</v>
      </c>
    </row>
    <row r="698" spans="1:14" x14ac:dyDescent="0.25">
      <c r="A698" s="52">
        <v>697</v>
      </c>
      <c r="B698" s="52">
        <v>646670</v>
      </c>
      <c r="C698" s="52" t="s">
        <v>1612</v>
      </c>
      <c r="D698" s="55" t="s">
        <v>26</v>
      </c>
      <c r="E698" s="55" t="s">
        <v>27</v>
      </c>
      <c r="F698" s="55" t="s">
        <v>1613</v>
      </c>
      <c r="G698" s="52" t="s">
        <v>29</v>
      </c>
      <c r="H698" s="54">
        <v>46239</v>
      </c>
      <c r="I698" s="53">
        <v>46237</v>
      </c>
      <c r="J698" s="52" t="s">
        <v>30</v>
      </c>
      <c r="K698" s="52" t="s">
        <v>30</v>
      </c>
      <c r="L698" s="52" t="s">
        <v>579</v>
      </c>
      <c r="M698" s="52" t="s">
        <v>30</v>
      </c>
      <c r="N698" s="56">
        <f t="shared" ca="1" si="10"/>
        <v>19</v>
      </c>
    </row>
    <row r="699" spans="1:14" x14ac:dyDescent="0.25">
      <c r="A699" s="52">
        <v>698</v>
      </c>
      <c r="B699" s="52">
        <v>646643</v>
      </c>
      <c r="C699" s="52" t="s">
        <v>1614</v>
      </c>
      <c r="D699" s="55" t="s">
        <v>26</v>
      </c>
      <c r="E699" s="55" t="s">
        <v>129</v>
      </c>
      <c r="F699" s="55" t="s">
        <v>1615</v>
      </c>
      <c r="G699" s="52" t="s">
        <v>29</v>
      </c>
      <c r="H699" s="54">
        <v>46238</v>
      </c>
      <c r="I699" s="53">
        <v>46234</v>
      </c>
      <c r="J699" s="52" t="s">
        <v>77</v>
      </c>
      <c r="K699" s="52" t="s">
        <v>1540</v>
      </c>
      <c r="L699" s="52" t="s">
        <v>40</v>
      </c>
      <c r="M699" s="52" t="s">
        <v>30</v>
      </c>
      <c r="N699" s="56">
        <f t="shared" ref="N699:N762" ca="1" si="11">IFERROR(TODAY()-I699,"-")</f>
        <v>22</v>
      </c>
    </row>
    <row r="700" spans="1:14" x14ac:dyDescent="0.25">
      <c r="A700" s="52">
        <v>699</v>
      </c>
      <c r="B700" s="52">
        <v>646647</v>
      </c>
      <c r="C700" s="52" t="s">
        <v>1616</v>
      </c>
      <c r="D700" s="55" t="s">
        <v>26</v>
      </c>
      <c r="E700" s="55" t="s">
        <v>27</v>
      </c>
      <c r="F700" s="55" t="s">
        <v>1617</v>
      </c>
      <c r="G700" s="52" t="s">
        <v>29</v>
      </c>
      <c r="H700" s="54">
        <v>46238</v>
      </c>
      <c r="I700" s="53">
        <v>46235</v>
      </c>
      <c r="J700" s="52" t="s">
        <v>202</v>
      </c>
      <c r="K700" s="52" t="s">
        <v>1618</v>
      </c>
      <c r="L700" s="52" t="s">
        <v>40</v>
      </c>
      <c r="M700" s="52" t="s">
        <v>30</v>
      </c>
      <c r="N700" s="56">
        <f t="shared" ca="1" si="11"/>
        <v>21</v>
      </c>
    </row>
    <row r="701" spans="1:14" x14ac:dyDescent="0.25">
      <c r="A701" s="52">
        <v>700</v>
      </c>
      <c r="B701" s="52">
        <v>580765</v>
      </c>
      <c r="C701" s="52" t="s">
        <v>1619</v>
      </c>
      <c r="D701" s="55" t="s">
        <v>63</v>
      </c>
      <c r="E701" s="55" t="s">
        <v>129</v>
      </c>
      <c r="F701" s="55">
        <v>403235972</v>
      </c>
      <c r="G701" s="52" t="s">
        <v>29</v>
      </c>
      <c r="H701" s="54">
        <v>46239</v>
      </c>
      <c r="I701" s="53">
        <v>46234</v>
      </c>
      <c r="J701" s="52" t="s">
        <v>77</v>
      </c>
      <c r="K701" s="52" t="s">
        <v>1620</v>
      </c>
      <c r="L701" s="52" t="s">
        <v>7</v>
      </c>
      <c r="M701" s="52" t="s">
        <v>30</v>
      </c>
      <c r="N701" s="56">
        <f t="shared" ca="1" si="11"/>
        <v>22</v>
      </c>
    </row>
    <row r="702" spans="1:14" x14ac:dyDescent="0.25">
      <c r="A702" s="52">
        <v>701</v>
      </c>
      <c r="B702" s="52">
        <v>646644</v>
      </c>
      <c r="C702" s="52" t="s">
        <v>1621</v>
      </c>
      <c r="D702" s="55" t="s">
        <v>26</v>
      </c>
      <c r="E702" s="55" t="s">
        <v>129</v>
      </c>
      <c r="F702" s="55" t="s">
        <v>1622</v>
      </c>
      <c r="G702" s="52" t="s">
        <v>29</v>
      </c>
      <c r="H702" s="54">
        <v>46238</v>
      </c>
      <c r="I702" s="53">
        <v>46234</v>
      </c>
      <c r="J702" s="52" t="s">
        <v>202</v>
      </c>
      <c r="K702" s="52" t="s">
        <v>1618</v>
      </c>
      <c r="L702" s="52" t="s">
        <v>40</v>
      </c>
      <c r="M702" s="52" t="s">
        <v>30</v>
      </c>
      <c r="N702" s="56">
        <f t="shared" ca="1" si="11"/>
        <v>22</v>
      </c>
    </row>
    <row r="703" spans="1:14" x14ac:dyDescent="0.25">
      <c r="A703" s="52">
        <v>702</v>
      </c>
      <c r="B703" s="52">
        <v>646664</v>
      </c>
      <c r="C703" s="52" t="s">
        <v>1623</v>
      </c>
      <c r="D703" s="55" t="s">
        <v>26</v>
      </c>
      <c r="E703" s="55" t="s">
        <v>27</v>
      </c>
      <c r="F703" s="55" t="s">
        <v>1624</v>
      </c>
      <c r="G703" s="52" t="s">
        <v>29</v>
      </c>
      <c r="H703" s="54">
        <v>46239</v>
      </c>
      <c r="I703" s="53">
        <v>46237</v>
      </c>
      <c r="J703" s="52" t="s">
        <v>30</v>
      </c>
      <c r="K703" s="52" t="s">
        <v>30</v>
      </c>
      <c r="L703" s="52" t="s">
        <v>579</v>
      </c>
      <c r="M703" s="52" t="s">
        <v>30</v>
      </c>
      <c r="N703" s="56">
        <f t="shared" ca="1" si="11"/>
        <v>19</v>
      </c>
    </row>
    <row r="704" spans="1:14" x14ac:dyDescent="0.25">
      <c r="A704" s="52">
        <v>703</v>
      </c>
      <c r="B704" s="52">
        <v>635194</v>
      </c>
      <c r="C704" s="52" t="s">
        <v>1625</v>
      </c>
      <c r="D704" s="55" t="s">
        <v>26</v>
      </c>
      <c r="E704" s="55" t="s">
        <v>27</v>
      </c>
      <c r="F704" s="55" t="s">
        <v>1626</v>
      </c>
      <c r="G704" s="52" t="s">
        <v>76</v>
      </c>
      <c r="H704" s="54" t="s">
        <v>30</v>
      </c>
      <c r="I704" s="53">
        <v>45901</v>
      </c>
      <c r="J704" s="52" t="s">
        <v>77</v>
      </c>
      <c r="K704" s="52" t="s">
        <v>1627</v>
      </c>
      <c r="L704" s="52" t="s">
        <v>40</v>
      </c>
      <c r="M704" s="52" t="s">
        <v>30</v>
      </c>
      <c r="N704" s="56">
        <f t="shared" ca="1" si="11"/>
        <v>355</v>
      </c>
    </row>
    <row r="705" spans="1:14" x14ac:dyDescent="0.25">
      <c r="A705" s="52">
        <v>704</v>
      </c>
      <c r="B705" s="52">
        <v>258279</v>
      </c>
      <c r="C705" s="52" t="s">
        <v>1628</v>
      </c>
      <c r="D705" s="55" t="s">
        <v>26</v>
      </c>
      <c r="E705" s="55" t="s">
        <v>27</v>
      </c>
      <c r="F705" s="55" t="s">
        <v>1629</v>
      </c>
      <c r="G705" s="52" t="s">
        <v>76</v>
      </c>
      <c r="H705" s="54" t="s">
        <v>30</v>
      </c>
      <c r="I705" s="53">
        <v>46032</v>
      </c>
      <c r="J705" s="52" t="s">
        <v>30</v>
      </c>
      <c r="K705" s="52" t="s">
        <v>1540</v>
      </c>
      <c r="L705" s="52" t="s">
        <v>40</v>
      </c>
      <c r="M705" s="52" t="s">
        <v>30</v>
      </c>
      <c r="N705" s="56">
        <f t="shared" ca="1" si="11"/>
        <v>224</v>
      </c>
    </row>
    <row r="706" spans="1:14" x14ac:dyDescent="0.25">
      <c r="A706" s="52">
        <v>705</v>
      </c>
      <c r="B706" s="52">
        <v>635199</v>
      </c>
      <c r="C706" s="52" t="s">
        <v>1630</v>
      </c>
      <c r="D706" s="55" t="s">
        <v>26</v>
      </c>
      <c r="E706" s="55" t="s">
        <v>27</v>
      </c>
      <c r="F706" s="55" t="s">
        <v>1631</v>
      </c>
      <c r="G706" s="52" t="s">
        <v>76</v>
      </c>
      <c r="H706" s="54" t="s">
        <v>30</v>
      </c>
      <c r="I706" s="53">
        <v>45902</v>
      </c>
      <c r="J706" s="52" t="s">
        <v>77</v>
      </c>
      <c r="K706" s="52" t="s">
        <v>1540</v>
      </c>
      <c r="L706" s="52" t="s">
        <v>40</v>
      </c>
      <c r="M706" s="52" t="s">
        <v>30</v>
      </c>
      <c r="N706" s="56">
        <f t="shared" ca="1" si="11"/>
        <v>354</v>
      </c>
    </row>
    <row r="707" spans="1:14" x14ac:dyDescent="0.25">
      <c r="A707" s="52">
        <v>706</v>
      </c>
      <c r="B707" s="52">
        <v>548120</v>
      </c>
      <c r="C707" s="52" t="s">
        <v>1632</v>
      </c>
      <c r="D707" s="55" t="s">
        <v>26</v>
      </c>
      <c r="E707" s="55" t="s">
        <v>27</v>
      </c>
      <c r="F707" s="55" t="s">
        <v>1633</v>
      </c>
      <c r="G707" s="52" t="s">
        <v>76</v>
      </c>
      <c r="H707" s="54" t="s">
        <v>30</v>
      </c>
      <c r="I707" s="53">
        <v>45901</v>
      </c>
      <c r="J707" s="52" t="s">
        <v>77</v>
      </c>
      <c r="K707" s="52" t="s">
        <v>1540</v>
      </c>
      <c r="L707" s="52" t="s">
        <v>40</v>
      </c>
      <c r="M707" s="52" t="s">
        <v>30</v>
      </c>
      <c r="N707" s="56">
        <f t="shared" ca="1" si="11"/>
        <v>355</v>
      </c>
    </row>
    <row r="708" spans="1:14" x14ac:dyDescent="0.25">
      <c r="A708" s="52">
        <v>707</v>
      </c>
      <c r="B708" s="52">
        <v>646678</v>
      </c>
      <c r="C708" s="52" t="s">
        <v>1634</v>
      </c>
      <c r="D708" s="55" t="s">
        <v>26</v>
      </c>
      <c r="E708" s="55" t="s">
        <v>27</v>
      </c>
      <c r="F708" s="55" t="s">
        <v>1635</v>
      </c>
      <c r="G708" s="52" t="s">
        <v>29</v>
      </c>
      <c r="H708" s="54">
        <v>46241</v>
      </c>
      <c r="I708" s="53">
        <v>46238</v>
      </c>
      <c r="J708" s="52" t="s">
        <v>202</v>
      </c>
      <c r="K708" s="52" t="s">
        <v>1636</v>
      </c>
      <c r="L708" s="52" t="s">
        <v>7</v>
      </c>
      <c r="M708" s="52" t="s">
        <v>30</v>
      </c>
      <c r="N708" s="56">
        <f t="shared" ca="1" si="11"/>
        <v>18</v>
      </c>
    </row>
    <row r="709" spans="1:14" x14ac:dyDescent="0.25">
      <c r="A709" s="52">
        <v>708</v>
      </c>
      <c r="B709" s="52">
        <v>646687</v>
      </c>
      <c r="C709" s="52" t="s">
        <v>1637</v>
      </c>
      <c r="D709" s="55" t="s">
        <v>26</v>
      </c>
      <c r="E709" s="55" t="s">
        <v>27</v>
      </c>
      <c r="F709" s="55" t="s">
        <v>1638</v>
      </c>
      <c r="G709" s="52" t="s">
        <v>29</v>
      </c>
      <c r="H709" s="54">
        <v>46241</v>
      </c>
      <c r="I709" s="53">
        <v>46238</v>
      </c>
      <c r="J709" s="52" t="s">
        <v>202</v>
      </c>
      <c r="K709" s="52" t="s">
        <v>1636</v>
      </c>
      <c r="L709" s="52" t="s">
        <v>7</v>
      </c>
      <c r="M709" s="52" t="s">
        <v>30</v>
      </c>
      <c r="N709" s="56">
        <f t="shared" ca="1" si="11"/>
        <v>18</v>
      </c>
    </row>
    <row r="710" spans="1:14" x14ac:dyDescent="0.25">
      <c r="A710" s="52">
        <v>709</v>
      </c>
      <c r="B710" s="52">
        <v>635362</v>
      </c>
      <c r="C710" s="52" t="s">
        <v>1639</v>
      </c>
      <c r="D710" s="55" t="s">
        <v>26</v>
      </c>
      <c r="E710" s="55" t="s">
        <v>27</v>
      </c>
      <c r="F710" s="55" t="s">
        <v>1640</v>
      </c>
      <c r="G710" s="52" t="s">
        <v>76</v>
      </c>
      <c r="H710" s="54" t="s">
        <v>30</v>
      </c>
      <c r="I710" s="53">
        <v>45909</v>
      </c>
      <c r="J710" s="52" t="s">
        <v>77</v>
      </c>
      <c r="K710" s="52" t="s">
        <v>1627</v>
      </c>
      <c r="L710" s="52" t="s">
        <v>40</v>
      </c>
      <c r="M710" s="52" t="s">
        <v>30</v>
      </c>
      <c r="N710" s="56">
        <f t="shared" ca="1" si="11"/>
        <v>347</v>
      </c>
    </row>
    <row r="711" spans="1:14" x14ac:dyDescent="0.25">
      <c r="A711" s="52">
        <v>710</v>
      </c>
      <c r="B711" s="52">
        <v>646690</v>
      </c>
      <c r="C711" s="52" t="s">
        <v>1641</v>
      </c>
      <c r="D711" s="55" t="s">
        <v>26</v>
      </c>
      <c r="E711" s="55" t="s">
        <v>27</v>
      </c>
      <c r="F711" s="55" t="s">
        <v>1642</v>
      </c>
      <c r="G711" s="52" t="s">
        <v>29</v>
      </c>
      <c r="H711" s="54">
        <v>46241</v>
      </c>
      <c r="I711" s="53">
        <v>46238</v>
      </c>
      <c r="J711" s="52" t="s">
        <v>202</v>
      </c>
      <c r="K711" s="52" t="s">
        <v>1620</v>
      </c>
      <c r="L711" s="52" t="s">
        <v>7</v>
      </c>
      <c r="M711" s="52" t="s">
        <v>30</v>
      </c>
      <c r="N711" s="56">
        <f t="shared" ca="1" si="11"/>
        <v>18</v>
      </c>
    </row>
    <row r="712" spans="1:14" x14ac:dyDescent="0.25">
      <c r="A712" s="52">
        <v>711</v>
      </c>
      <c r="B712" s="52">
        <v>646688</v>
      </c>
      <c r="C712" s="52" t="s">
        <v>1643</v>
      </c>
      <c r="D712" s="55" t="s">
        <v>26</v>
      </c>
      <c r="E712" s="55" t="s">
        <v>27</v>
      </c>
      <c r="F712" s="55" t="s">
        <v>1644</v>
      </c>
      <c r="G712" s="52" t="s">
        <v>29</v>
      </c>
      <c r="H712" s="54">
        <v>46241</v>
      </c>
      <c r="I712" s="53">
        <v>46238</v>
      </c>
      <c r="J712" s="52" t="s">
        <v>202</v>
      </c>
      <c r="K712" s="52" t="s">
        <v>1636</v>
      </c>
      <c r="L712" s="52" t="s">
        <v>7</v>
      </c>
      <c r="M712" s="52" t="s">
        <v>30</v>
      </c>
      <c r="N712" s="56">
        <f t="shared" ca="1" si="11"/>
        <v>18</v>
      </c>
    </row>
    <row r="713" spans="1:14" x14ac:dyDescent="0.25">
      <c r="A713" s="52">
        <v>712</v>
      </c>
      <c r="B713" s="52">
        <v>646679</v>
      </c>
      <c r="C713" s="52" t="s">
        <v>1645</v>
      </c>
      <c r="D713" s="55" t="s">
        <v>26</v>
      </c>
      <c r="E713" s="55" t="s">
        <v>27</v>
      </c>
      <c r="F713" s="55" t="s">
        <v>1646</v>
      </c>
      <c r="G713" s="52" t="s">
        <v>29</v>
      </c>
      <c r="H713" s="54">
        <v>46241</v>
      </c>
      <c r="I713" s="53">
        <v>46238</v>
      </c>
      <c r="J713" s="52" t="s">
        <v>202</v>
      </c>
      <c r="K713" s="52" t="s">
        <v>1636</v>
      </c>
      <c r="L713" s="52" t="s">
        <v>7</v>
      </c>
      <c r="M713" s="52" t="s">
        <v>30</v>
      </c>
      <c r="N713" s="56">
        <f t="shared" ca="1" si="11"/>
        <v>18</v>
      </c>
    </row>
    <row r="714" spans="1:14" x14ac:dyDescent="0.25">
      <c r="A714" s="52">
        <v>713</v>
      </c>
      <c r="B714" s="52">
        <v>646677</v>
      </c>
      <c r="C714" s="52" t="s">
        <v>1647</v>
      </c>
      <c r="D714" s="55" t="s">
        <v>26</v>
      </c>
      <c r="E714" s="55" t="s">
        <v>27</v>
      </c>
      <c r="F714" s="55" t="s">
        <v>1648</v>
      </c>
      <c r="G714" s="52" t="s">
        <v>29</v>
      </c>
      <c r="H714" s="54">
        <v>46241</v>
      </c>
      <c r="I714" s="53">
        <v>46238</v>
      </c>
      <c r="J714" s="52" t="s">
        <v>77</v>
      </c>
      <c r="K714" s="52" t="s">
        <v>1627</v>
      </c>
      <c r="L714" s="52" t="s">
        <v>40</v>
      </c>
      <c r="M714" s="52" t="s">
        <v>30</v>
      </c>
      <c r="N714" s="56">
        <f t="shared" ca="1" si="11"/>
        <v>18</v>
      </c>
    </row>
    <row r="715" spans="1:14" x14ac:dyDescent="0.25">
      <c r="A715" s="52">
        <v>714</v>
      </c>
      <c r="B715" s="52">
        <v>646685</v>
      </c>
      <c r="C715" s="52" t="s">
        <v>1649</v>
      </c>
      <c r="D715" s="55" t="s">
        <v>26</v>
      </c>
      <c r="E715" s="55" t="s">
        <v>27</v>
      </c>
      <c r="F715" s="55" t="s">
        <v>1650</v>
      </c>
      <c r="G715" s="52" t="s">
        <v>29</v>
      </c>
      <c r="H715" s="54">
        <v>46241</v>
      </c>
      <c r="I715" s="53">
        <v>46238</v>
      </c>
      <c r="J715" s="52" t="s">
        <v>30</v>
      </c>
      <c r="K715" s="52" t="s">
        <v>30</v>
      </c>
      <c r="L715" s="52" t="s">
        <v>579</v>
      </c>
      <c r="M715" s="52" t="s">
        <v>30</v>
      </c>
      <c r="N715" s="56">
        <f t="shared" ca="1" si="11"/>
        <v>18</v>
      </c>
    </row>
    <row r="716" spans="1:14" x14ac:dyDescent="0.25">
      <c r="A716" s="52">
        <v>715</v>
      </c>
      <c r="B716" s="52">
        <v>646686</v>
      </c>
      <c r="C716" s="52" t="s">
        <v>1651</v>
      </c>
      <c r="D716" s="55" t="s">
        <v>26</v>
      </c>
      <c r="E716" s="55" t="s">
        <v>27</v>
      </c>
      <c r="F716" s="55" t="s">
        <v>1652</v>
      </c>
      <c r="G716" s="52" t="s">
        <v>29</v>
      </c>
      <c r="H716" s="54">
        <v>46241</v>
      </c>
      <c r="I716" s="53">
        <v>46238</v>
      </c>
      <c r="J716" s="52" t="s">
        <v>30</v>
      </c>
      <c r="K716" s="52" t="s">
        <v>30</v>
      </c>
      <c r="L716" s="52" t="s">
        <v>579</v>
      </c>
      <c r="M716" s="52" t="s">
        <v>30</v>
      </c>
      <c r="N716" s="56">
        <f t="shared" ca="1" si="11"/>
        <v>18</v>
      </c>
    </row>
    <row r="717" spans="1:14" x14ac:dyDescent="0.25">
      <c r="A717" s="52">
        <v>716</v>
      </c>
      <c r="B717" s="52">
        <v>646681</v>
      </c>
      <c r="C717" s="52" t="s">
        <v>1653</v>
      </c>
      <c r="D717" s="55" t="s">
        <v>26</v>
      </c>
      <c r="E717" s="55" t="s">
        <v>27</v>
      </c>
      <c r="F717" s="55" t="s">
        <v>1654</v>
      </c>
      <c r="G717" s="52" t="s">
        <v>29</v>
      </c>
      <c r="H717" s="54">
        <v>46241</v>
      </c>
      <c r="I717" s="53">
        <v>46237</v>
      </c>
      <c r="J717" s="52" t="s">
        <v>30</v>
      </c>
      <c r="K717" s="52" t="s">
        <v>30</v>
      </c>
      <c r="L717" s="52" t="s">
        <v>579</v>
      </c>
      <c r="M717" s="52" t="s">
        <v>30</v>
      </c>
      <c r="N717" s="56">
        <f t="shared" ca="1" si="11"/>
        <v>19</v>
      </c>
    </row>
    <row r="718" spans="1:14" x14ac:dyDescent="0.25">
      <c r="A718" s="52">
        <v>717</v>
      </c>
      <c r="B718" s="52">
        <v>646692</v>
      </c>
      <c r="C718" s="52" t="s">
        <v>1655</v>
      </c>
      <c r="D718" s="55" t="s">
        <v>26</v>
      </c>
      <c r="E718" s="55" t="s">
        <v>27</v>
      </c>
      <c r="F718" s="55" t="s">
        <v>1656</v>
      </c>
      <c r="G718" s="52" t="s">
        <v>29</v>
      </c>
      <c r="H718" s="54">
        <v>46241</v>
      </c>
      <c r="I718" s="53">
        <v>46238</v>
      </c>
      <c r="J718" s="52" t="s">
        <v>77</v>
      </c>
      <c r="K718" s="52" t="s">
        <v>1627</v>
      </c>
      <c r="L718" s="52" t="s">
        <v>40</v>
      </c>
      <c r="M718" s="52" t="s">
        <v>30</v>
      </c>
      <c r="N718" s="56">
        <f t="shared" ca="1" si="11"/>
        <v>18</v>
      </c>
    </row>
    <row r="719" spans="1:14" x14ac:dyDescent="0.25">
      <c r="A719" s="52">
        <v>718</v>
      </c>
      <c r="B719" s="52">
        <v>646682</v>
      </c>
      <c r="C719" s="52" t="s">
        <v>1657</v>
      </c>
      <c r="D719" s="55" t="s">
        <v>26</v>
      </c>
      <c r="E719" s="55" t="s">
        <v>27</v>
      </c>
      <c r="F719" s="55" t="s">
        <v>1658</v>
      </c>
      <c r="G719" s="52" t="s">
        <v>29</v>
      </c>
      <c r="H719" s="54">
        <v>46241</v>
      </c>
      <c r="I719" s="53">
        <v>46237</v>
      </c>
      <c r="J719" s="52" t="s">
        <v>202</v>
      </c>
      <c r="K719" s="52" t="s">
        <v>1659</v>
      </c>
      <c r="L719" s="52" t="s">
        <v>7</v>
      </c>
      <c r="M719" s="52" t="s">
        <v>1555</v>
      </c>
      <c r="N719" s="56">
        <f t="shared" ca="1" si="11"/>
        <v>19</v>
      </c>
    </row>
    <row r="720" spans="1:14" x14ac:dyDescent="0.25">
      <c r="A720" s="52">
        <v>719</v>
      </c>
      <c r="B720" s="52">
        <v>646680</v>
      </c>
      <c r="C720" s="52" t="s">
        <v>1660</v>
      </c>
      <c r="D720" s="55" t="s">
        <v>26</v>
      </c>
      <c r="E720" s="55" t="s">
        <v>27</v>
      </c>
      <c r="F720" s="55" t="s">
        <v>1661</v>
      </c>
      <c r="G720" s="52" t="s">
        <v>29</v>
      </c>
      <c r="H720" s="54">
        <v>46241</v>
      </c>
      <c r="I720" s="53">
        <v>46237</v>
      </c>
      <c r="J720" s="52" t="s">
        <v>202</v>
      </c>
      <c r="K720" s="52" t="s">
        <v>1662</v>
      </c>
      <c r="L720" s="52" t="s">
        <v>40</v>
      </c>
      <c r="M720" s="52" t="s">
        <v>1555</v>
      </c>
      <c r="N720" s="56">
        <f t="shared" ca="1" si="11"/>
        <v>19</v>
      </c>
    </row>
    <row r="721" spans="1:14" x14ac:dyDescent="0.25">
      <c r="A721" s="52">
        <v>720</v>
      </c>
      <c r="B721" s="52">
        <v>646689</v>
      </c>
      <c r="C721" s="52" t="s">
        <v>1663</v>
      </c>
      <c r="D721" s="55" t="s">
        <v>26</v>
      </c>
      <c r="E721" s="55" t="s">
        <v>27</v>
      </c>
      <c r="F721" s="55" t="s">
        <v>1664</v>
      </c>
      <c r="G721" s="52" t="s">
        <v>29</v>
      </c>
      <c r="H721" s="54">
        <v>46241</v>
      </c>
      <c r="I721" s="53">
        <v>46238</v>
      </c>
      <c r="J721" s="52" t="s">
        <v>77</v>
      </c>
      <c r="K721" s="52" t="s">
        <v>1627</v>
      </c>
      <c r="L721" s="52" t="s">
        <v>40</v>
      </c>
      <c r="M721" s="52" t="s">
        <v>30</v>
      </c>
      <c r="N721" s="56">
        <f t="shared" ca="1" si="11"/>
        <v>18</v>
      </c>
    </row>
    <row r="722" spans="1:14" x14ac:dyDescent="0.25">
      <c r="A722" s="52">
        <v>721</v>
      </c>
      <c r="B722" s="52">
        <v>646658</v>
      </c>
      <c r="C722" s="52" t="s">
        <v>1665</v>
      </c>
      <c r="D722" s="55" t="s">
        <v>26</v>
      </c>
      <c r="E722" s="55" t="s">
        <v>27</v>
      </c>
      <c r="F722" s="55" t="s">
        <v>1666</v>
      </c>
      <c r="G722" s="52" t="s">
        <v>29</v>
      </c>
      <c r="H722" s="54">
        <v>46241</v>
      </c>
      <c r="I722" s="53">
        <v>46239</v>
      </c>
      <c r="J722" s="52" t="s">
        <v>30</v>
      </c>
      <c r="K722" s="52" t="s">
        <v>1667</v>
      </c>
      <c r="L722" s="52" t="s">
        <v>40</v>
      </c>
      <c r="M722" s="52" t="s">
        <v>1668</v>
      </c>
      <c r="N722" s="56">
        <f t="shared" ca="1" si="11"/>
        <v>17</v>
      </c>
    </row>
    <row r="723" spans="1:14" x14ac:dyDescent="0.25">
      <c r="A723" s="52">
        <v>722</v>
      </c>
      <c r="B723" s="52">
        <v>594975</v>
      </c>
      <c r="C723" s="52" t="s">
        <v>1669</v>
      </c>
      <c r="D723" s="55" t="s">
        <v>26</v>
      </c>
      <c r="E723" s="55" t="s">
        <v>27</v>
      </c>
      <c r="F723" s="55" t="s">
        <v>1670</v>
      </c>
      <c r="G723" s="52" t="s">
        <v>29</v>
      </c>
      <c r="H723" s="54">
        <v>46242</v>
      </c>
      <c r="I723" s="53">
        <v>46239</v>
      </c>
      <c r="J723" s="52" t="s">
        <v>202</v>
      </c>
      <c r="K723" s="52" t="s">
        <v>1671</v>
      </c>
      <c r="L723" s="52" t="s">
        <v>40</v>
      </c>
      <c r="M723" s="52" t="s">
        <v>30</v>
      </c>
      <c r="N723" s="56">
        <f t="shared" ca="1" si="11"/>
        <v>17</v>
      </c>
    </row>
    <row r="724" spans="1:14" x14ac:dyDescent="0.25">
      <c r="A724" s="52">
        <v>723</v>
      </c>
      <c r="B724" s="52">
        <v>635282</v>
      </c>
      <c r="C724" s="52" t="s">
        <v>1672</v>
      </c>
      <c r="D724" s="55" t="s">
        <v>26</v>
      </c>
      <c r="E724" s="55" t="s">
        <v>27</v>
      </c>
      <c r="F724" s="55" t="s">
        <v>1673</v>
      </c>
      <c r="G724" s="52" t="s">
        <v>76</v>
      </c>
      <c r="H724" s="54">
        <v>46241</v>
      </c>
      <c r="I724" s="53">
        <v>45906</v>
      </c>
      <c r="J724" s="52" t="s">
        <v>202</v>
      </c>
      <c r="K724" s="52" t="s">
        <v>1636</v>
      </c>
      <c r="L724" s="52" t="s">
        <v>7</v>
      </c>
      <c r="M724" s="52" t="s">
        <v>30</v>
      </c>
      <c r="N724" s="56">
        <f t="shared" ca="1" si="11"/>
        <v>350</v>
      </c>
    </row>
    <row r="725" spans="1:14" x14ac:dyDescent="0.25">
      <c r="A725" s="52">
        <v>724</v>
      </c>
      <c r="B725" s="52">
        <v>505675</v>
      </c>
      <c r="C725" s="52" t="s">
        <v>1674</v>
      </c>
      <c r="D725" s="55" t="s">
        <v>26</v>
      </c>
      <c r="E725" s="55" t="s">
        <v>27</v>
      </c>
      <c r="F725" s="55" t="s">
        <v>1675</v>
      </c>
      <c r="G725" s="52" t="s">
        <v>29</v>
      </c>
      <c r="H725" s="54">
        <v>46245</v>
      </c>
      <c r="I725" s="53">
        <v>46242</v>
      </c>
      <c r="J725" s="52" t="s">
        <v>77</v>
      </c>
      <c r="K725" s="52" t="s">
        <v>1627</v>
      </c>
      <c r="L725" s="52" t="s">
        <v>40</v>
      </c>
      <c r="M725" s="52" t="s">
        <v>30</v>
      </c>
      <c r="N725" s="56">
        <f t="shared" ca="1" si="11"/>
        <v>14</v>
      </c>
    </row>
    <row r="726" spans="1:14" x14ac:dyDescent="0.25">
      <c r="A726" s="52">
        <v>725</v>
      </c>
      <c r="B726" s="52">
        <v>646746</v>
      </c>
      <c r="C726" s="52" t="s">
        <v>1676</v>
      </c>
      <c r="D726" s="55" t="s">
        <v>26</v>
      </c>
      <c r="E726" s="55" t="s">
        <v>27</v>
      </c>
      <c r="F726" s="55" t="s">
        <v>1677</v>
      </c>
      <c r="G726" s="52" t="s">
        <v>29</v>
      </c>
      <c r="H726" s="54">
        <v>46245</v>
      </c>
      <c r="I726" s="53">
        <v>46242</v>
      </c>
      <c r="J726" s="52" t="s">
        <v>202</v>
      </c>
      <c r="K726" s="52" t="s">
        <v>1678</v>
      </c>
      <c r="L726" s="52" t="s">
        <v>7</v>
      </c>
      <c r="M726" s="52" t="s">
        <v>1555</v>
      </c>
      <c r="N726" s="56">
        <f t="shared" ca="1" si="11"/>
        <v>14</v>
      </c>
    </row>
    <row r="727" spans="1:14" x14ac:dyDescent="0.25">
      <c r="A727" s="52">
        <v>726</v>
      </c>
      <c r="B727" s="52">
        <v>646747</v>
      </c>
      <c r="C727" s="52" t="s">
        <v>1679</v>
      </c>
      <c r="D727" s="55" t="s">
        <v>26</v>
      </c>
      <c r="E727" s="55" t="s">
        <v>27</v>
      </c>
      <c r="F727" s="55" t="s">
        <v>1680</v>
      </c>
      <c r="G727" s="52" t="s">
        <v>29</v>
      </c>
      <c r="H727" s="54">
        <v>46245</v>
      </c>
      <c r="I727" s="53">
        <v>46242</v>
      </c>
      <c r="J727" s="52" t="s">
        <v>77</v>
      </c>
      <c r="K727" s="52" t="s">
        <v>1627</v>
      </c>
      <c r="L727" s="52" t="s">
        <v>40</v>
      </c>
      <c r="M727" s="52" t="s">
        <v>30</v>
      </c>
      <c r="N727" s="56">
        <f t="shared" ca="1" si="11"/>
        <v>14</v>
      </c>
    </row>
    <row r="728" spans="1:14" x14ac:dyDescent="0.25">
      <c r="A728" s="52">
        <v>727</v>
      </c>
      <c r="B728" s="52">
        <v>634951</v>
      </c>
      <c r="C728" s="52" t="s">
        <v>1681</v>
      </c>
      <c r="D728" s="55" t="s">
        <v>26</v>
      </c>
      <c r="E728" s="55" t="s">
        <v>27</v>
      </c>
      <c r="F728" s="55" t="s">
        <v>1682</v>
      </c>
      <c r="G728" s="52" t="s">
        <v>76</v>
      </c>
      <c r="H728" s="54" t="s">
        <v>30</v>
      </c>
      <c r="I728" s="53">
        <v>45883</v>
      </c>
      <c r="J728" s="52" t="s">
        <v>77</v>
      </c>
      <c r="K728" s="52" t="s">
        <v>1627</v>
      </c>
      <c r="L728" s="52" t="s">
        <v>40</v>
      </c>
      <c r="M728" s="52" t="s">
        <v>30</v>
      </c>
      <c r="N728" s="56">
        <f t="shared" ca="1" si="11"/>
        <v>373</v>
      </c>
    </row>
    <row r="729" spans="1:14" x14ac:dyDescent="0.25">
      <c r="A729" s="52">
        <v>728</v>
      </c>
      <c r="B729" s="52">
        <v>471080</v>
      </c>
      <c r="C729" s="52" t="s">
        <v>1683</v>
      </c>
      <c r="D729" s="55" t="s">
        <v>26</v>
      </c>
      <c r="E729" s="55" t="s">
        <v>27</v>
      </c>
      <c r="F729" s="55" t="s">
        <v>1684</v>
      </c>
      <c r="G729" s="52" t="s">
        <v>29</v>
      </c>
      <c r="H729" s="54">
        <v>46245</v>
      </c>
      <c r="I729" s="53">
        <v>46242</v>
      </c>
      <c r="J729" s="52" t="s">
        <v>202</v>
      </c>
      <c r="K729" s="52" t="s">
        <v>1636</v>
      </c>
      <c r="L729" s="52" t="s">
        <v>7</v>
      </c>
      <c r="M729" s="52" t="s">
        <v>30</v>
      </c>
      <c r="N729" s="56">
        <f t="shared" ca="1" si="11"/>
        <v>14</v>
      </c>
    </row>
    <row r="730" spans="1:14" x14ac:dyDescent="0.25">
      <c r="A730" s="52">
        <v>729</v>
      </c>
      <c r="B730" s="52">
        <v>646641</v>
      </c>
      <c r="C730" s="52" t="s">
        <v>1685</v>
      </c>
      <c r="D730" s="55" t="s">
        <v>63</v>
      </c>
      <c r="E730" s="55" t="s">
        <v>27</v>
      </c>
      <c r="F730" s="55">
        <v>404309251</v>
      </c>
      <c r="G730" s="52" t="s">
        <v>29</v>
      </c>
      <c r="H730" s="54">
        <v>46245</v>
      </c>
      <c r="I730" s="53">
        <v>46243</v>
      </c>
      <c r="J730" s="52" t="s">
        <v>77</v>
      </c>
      <c r="K730" s="52" t="s">
        <v>30</v>
      </c>
      <c r="L730" s="52" t="s">
        <v>7</v>
      </c>
      <c r="M730" s="52" t="s">
        <v>30</v>
      </c>
      <c r="N730" s="56">
        <f t="shared" ca="1" si="11"/>
        <v>13</v>
      </c>
    </row>
    <row r="731" spans="1:14" x14ac:dyDescent="0.25">
      <c r="A731" s="52">
        <v>730</v>
      </c>
      <c r="B731" s="52">
        <v>539593</v>
      </c>
      <c r="C731" s="52" t="s">
        <v>1686</v>
      </c>
      <c r="D731" s="55" t="s">
        <v>26</v>
      </c>
      <c r="E731" s="55" t="s">
        <v>27</v>
      </c>
      <c r="F731" s="55" t="s">
        <v>1687</v>
      </c>
      <c r="G731" s="52" t="s">
        <v>29</v>
      </c>
      <c r="H731" s="54" t="s">
        <v>1688</v>
      </c>
      <c r="I731" s="53">
        <v>46245</v>
      </c>
      <c r="J731" s="52" t="s">
        <v>77</v>
      </c>
      <c r="K731" s="52" t="s">
        <v>30</v>
      </c>
      <c r="L731" s="52" t="s">
        <v>7</v>
      </c>
      <c r="M731" s="52" t="s">
        <v>30</v>
      </c>
      <c r="N731" s="56">
        <f t="shared" ca="1" si="11"/>
        <v>11</v>
      </c>
    </row>
    <row r="732" spans="1:14" x14ac:dyDescent="0.25">
      <c r="A732" s="52">
        <v>731</v>
      </c>
      <c r="B732" s="52">
        <v>532471</v>
      </c>
      <c r="C732" s="52" t="s">
        <v>1689</v>
      </c>
      <c r="D732" s="55" t="s">
        <v>163</v>
      </c>
      <c r="E732" s="55" t="s">
        <v>27</v>
      </c>
      <c r="F732" s="55" t="s">
        <v>1690</v>
      </c>
      <c r="G732" s="52" t="s">
        <v>29</v>
      </c>
      <c r="H732" s="54">
        <v>46242</v>
      </c>
      <c r="I732" s="53">
        <v>46242</v>
      </c>
      <c r="J732" s="52">
        <v>0</v>
      </c>
      <c r="K732" s="52" t="s">
        <v>30</v>
      </c>
      <c r="L732" s="52" t="s">
        <v>1177</v>
      </c>
      <c r="M732" s="52" t="s">
        <v>30</v>
      </c>
      <c r="N732" s="56">
        <f t="shared" ca="1" si="11"/>
        <v>14</v>
      </c>
    </row>
    <row r="733" spans="1:14" x14ac:dyDescent="0.25">
      <c r="A733" s="52">
        <v>732</v>
      </c>
      <c r="B733" s="52">
        <v>646801</v>
      </c>
      <c r="C733" s="52" t="s">
        <v>1692</v>
      </c>
      <c r="D733" s="55" t="s">
        <v>26</v>
      </c>
      <c r="E733" s="55" t="s">
        <v>27</v>
      </c>
      <c r="F733" s="55" t="s">
        <v>1693</v>
      </c>
      <c r="G733" s="52" t="s">
        <v>29</v>
      </c>
      <c r="H733" s="54">
        <v>46247</v>
      </c>
      <c r="I733" s="53">
        <v>46245</v>
      </c>
      <c r="J733" s="52" t="s">
        <v>1694</v>
      </c>
      <c r="K733" s="52" t="s">
        <v>1695</v>
      </c>
      <c r="L733" s="52" t="s">
        <v>1696</v>
      </c>
      <c r="M733" s="52" t="s">
        <v>30</v>
      </c>
      <c r="N733" s="56">
        <f t="shared" ca="1" si="11"/>
        <v>11</v>
      </c>
    </row>
    <row r="734" spans="1:14" x14ac:dyDescent="0.25">
      <c r="A734" s="52">
        <v>733</v>
      </c>
      <c r="B734" s="52">
        <v>646813</v>
      </c>
      <c r="C734" s="52" t="s">
        <v>1697</v>
      </c>
      <c r="D734" s="55" t="s">
        <v>26</v>
      </c>
      <c r="E734" s="55" t="s">
        <v>27</v>
      </c>
      <c r="F734" s="55" t="s">
        <v>1698</v>
      </c>
      <c r="G734" s="52" t="s">
        <v>29</v>
      </c>
      <c r="H734" s="54" t="s">
        <v>1688</v>
      </c>
      <c r="I734" s="53">
        <v>46245</v>
      </c>
      <c r="J734" s="52" t="s">
        <v>1694</v>
      </c>
      <c r="K734" s="52" t="s">
        <v>1695</v>
      </c>
      <c r="L734" s="52" t="s">
        <v>1696</v>
      </c>
      <c r="M734" s="52" t="s">
        <v>30</v>
      </c>
      <c r="N734" s="56">
        <f t="shared" ca="1" si="11"/>
        <v>11</v>
      </c>
    </row>
    <row r="735" spans="1:14" x14ac:dyDescent="0.25">
      <c r="A735" s="52">
        <v>734</v>
      </c>
      <c r="B735" s="52">
        <v>472878</v>
      </c>
      <c r="C735" s="52" t="s">
        <v>1699</v>
      </c>
      <c r="D735" s="55" t="s">
        <v>26</v>
      </c>
      <c r="E735" s="55" t="s">
        <v>27</v>
      </c>
      <c r="F735" s="55" t="s">
        <v>1700</v>
      </c>
      <c r="G735" s="52" t="s">
        <v>29</v>
      </c>
      <c r="H735" s="54">
        <v>46247</v>
      </c>
      <c r="I735" s="53">
        <v>46245</v>
      </c>
      <c r="J735" s="52" t="s">
        <v>77</v>
      </c>
      <c r="K735" s="52" t="s">
        <v>30</v>
      </c>
      <c r="L735" s="52" t="s">
        <v>7</v>
      </c>
      <c r="M735" s="52" t="s">
        <v>30</v>
      </c>
      <c r="N735" s="56">
        <f t="shared" ca="1" si="11"/>
        <v>11</v>
      </c>
    </row>
    <row r="736" spans="1:14" x14ac:dyDescent="0.25">
      <c r="A736" s="52">
        <v>735</v>
      </c>
      <c r="B736" s="52">
        <v>646805</v>
      </c>
      <c r="C736" s="52" t="s">
        <v>1701</v>
      </c>
      <c r="D736" s="55" t="s">
        <v>26</v>
      </c>
      <c r="E736" s="55" t="s">
        <v>27</v>
      </c>
      <c r="F736" s="55" t="s">
        <v>1702</v>
      </c>
      <c r="G736" s="52" t="s">
        <v>29</v>
      </c>
      <c r="H736" s="54" t="s">
        <v>1688</v>
      </c>
      <c r="I736" s="53">
        <v>46245</v>
      </c>
      <c r="J736" s="52" t="s">
        <v>77</v>
      </c>
      <c r="K736" s="52" t="s">
        <v>30</v>
      </c>
      <c r="L736" s="52" t="s">
        <v>7</v>
      </c>
      <c r="M736" s="52" t="s">
        <v>30</v>
      </c>
      <c r="N736" s="56">
        <f t="shared" ca="1" si="11"/>
        <v>11</v>
      </c>
    </row>
    <row r="737" spans="1:14" x14ac:dyDescent="0.25">
      <c r="A737" s="52">
        <v>736</v>
      </c>
      <c r="B737" s="52">
        <v>274067</v>
      </c>
      <c r="C737" s="52" t="s">
        <v>1703</v>
      </c>
      <c r="D737" s="55" t="s">
        <v>63</v>
      </c>
      <c r="E737" s="55" t="s">
        <v>27</v>
      </c>
      <c r="F737" s="55">
        <v>406670926</v>
      </c>
      <c r="G737" s="52" t="s">
        <v>29</v>
      </c>
      <c r="H737" s="54">
        <v>46247</v>
      </c>
      <c r="I737" s="53">
        <v>46245</v>
      </c>
      <c r="J737" s="52" t="s">
        <v>1694</v>
      </c>
      <c r="K737" s="52" t="s">
        <v>1695</v>
      </c>
      <c r="L737" s="52" t="s">
        <v>1696</v>
      </c>
      <c r="M737" s="52" t="s">
        <v>30</v>
      </c>
      <c r="N737" s="56">
        <f t="shared" ca="1" si="11"/>
        <v>11</v>
      </c>
    </row>
    <row r="738" spans="1:14" x14ac:dyDescent="0.25">
      <c r="A738" s="52">
        <v>737</v>
      </c>
      <c r="B738" s="52">
        <v>646791</v>
      </c>
      <c r="C738" s="52" t="s">
        <v>1704</v>
      </c>
      <c r="D738" s="55" t="s">
        <v>26</v>
      </c>
      <c r="E738" s="55" t="s">
        <v>27</v>
      </c>
      <c r="F738" s="55" t="s">
        <v>1705</v>
      </c>
      <c r="G738" s="52" t="s">
        <v>29</v>
      </c>
      <c r="H738" s="54">
        <v>46247</v>
      </c>
      <c r="I738" s="53">
        <v>46244</v>
      </c>
      <c r="J738" s="52" t="s">
        <v>1694</v>
      </c>
      <c r="K738" s="52" t="s">
        <v>1695</v>
      </c>
      <c r="L738" s="52" t="s">
        <v>1696</v>
      </c>
      <c r="M738" s="52" t="s">
        <v>30</v>
      </c>
      <c r="N738" s="56">
        <f t="shared" ca="1" si="11"/>
        <v>12</v>
      </c>
    </row>
    <row r="739" spans="1:14" x14ac:dyDescent="0.25">
      <c r="A739" s="52">
        <v>738</v>
      </c>
      <c r="B739" s="52">
        <v>646802</v>
      </c>
      <c r="C739" s="52" t="s">
        <v>1706</v>
      </c>
      <c r="D739" s="55" t="s">
        <v>26</v>
      </c>
      <c r="E739" s="55" t="s">
        <v>27</v>
      </c>
      <c r="F739" s="55" t="s">
        <v>1707</v>
      </c>
      <c r="G739" s="52" t="s">
        <v>29</v>
      </c>
      <c r="H739" s="54" t="s">
        <v>1688</v>
      </c>
      <c r="I739" s="53">
        <v>46245</v>
      </c>
      <c r="J739" s="52" t="s">
        <v>1694</v>
      </c>
      <c r="K739" s="52" t="s">
        <v>1695</v>
      </c>
      <c r="L739" s="52" t="s">
        <v>1696</v>
      </c>
      <c r="M739" s="52" t="s">
        <v>30</v>
      </c>
      <c r="N739" s="56">
        <f t="shared" ca="1" si="11"/>
        <v>11</v>
      </c>
    </row>
    <row r="740" spans="1:14" x14ac:dyDescent="0.25">
      <c r="A740" s="52">
        <v>739</v>
      </c>
      <c r="B740" s="52">
        <v>486830</v>
      </c>
      <c r="C740" s="52" t="s">
        <v>1708</v>
      </c>
      <c r="D740" s="55" t="s">
        <v>26</v>
      </c>
      <c r="E740" s="55" t="s">
        <v>27</v>
      </c>
      <c r="F740" s="55" t="s">
        <v>1709</v>
      </c>
      <c r="G740" s="52" t="s">
        <v>29</v>
      </c>
      <c r="H740" s="54" t="s">
        <v>1688</v>
      </c>
      <c r="I740" s="53">
        <v>46245</v>
      </c>
      <c r="J740" s="52">
        <v>0</v>
      </c>
      <c r="K740" s="52" t="s">
        <v>30</v>
      </c>
      <c r="L740" s="52" t="s">
        <v>1710</v>
      </c>
      <c r="M740" s="52" t="s">
        <v>30</v>
      </c>
      <c r="N740" s="56">
        <f t="shared" ca="1" si="11"/>
        <v>11</v>
      </c>
    </row>
    <row r="741" spans="1:14" x14ac:dyDescent="0.25">
      <c r="A741" s="52">
        <v>740</v>
      </c>
      <c r="B741" s="52">
        <v>646804</v>
      </c>
      <c r="C741" s="52" t="s">
        <v>1711</v>
      </c>
      <c r="D741" s="55" t="s">
        <v>26</v>
      </c>
      <c r="E741" s="55" t="s">
        <v>27</v>
      </c>
      <c r="F741" s="55" t="s">
        <v>1712</v>
      </c>
      <c r="G741" s="52" t="s">
        <v>29</v>
      </c>
      <c r="H741" s="54" t="s">
        <v>1688</v>
      </c>
      <c r="I741" s="53">
        <v>46245</v>
      </c>
      <c r="J741" s="52" t="s">
        <v>1694</v>
      </c>
      <c r="K741" s="52" t="s">
        <v>1695</v>
      </c>
      <c r="L741" s="52" t="s">
        <v>1696</v>
      </c>
      <c r="M741" s="52" t="s">
        <v>30</v>
      </c>
      <c r="N741" s="56">
        <f t="shared" ca="1" si="11"/>
        <v>11</v>
      </c>
    </row>
    <row r="742" spans="1:14" x14ac:dyDescent="0.25">
      <c r="A742" s="52">
        <v>741</v>
      </c>
      <c r="B742" s="52">
        <v>646807</v>
      </c>
      <c r="C742" s="52" t="s">
        <v>1713</v>
      </c>
      <c r="D742" s="55" t="s">
        <v>26</v>
      </c>
      <c r="E742" s="55" t="s">
        <v>27</v>
      </c>
      <c r="F742" s="55" t="s">
        <v>1714</v>
      </c>
      <c r="G742" s="52" t="s">
        <v>29</v>
      </c>
      <c r="H742" s="54" t="s">
        <v>1688</v>
      </c>
      <c r="I742" s="53">
        <v>46245</v>
      </c>
      <c r="J742" s="52" t="s">
        <v>77</v>
      </c>
      <c r="K742" s="52" t="s">
        <v>30</v>
      </c>
      <c r="L742" s="52" t="s">
        <v>7</v>
      </c>
      <c r="M742" s="52" t="s">
        <v>30</v>
      </c>
      <c r="N742" s="56">
        <f t="shared" ca="1" si="11"/>
        <v>11</v>
      </c>
    </row>
    <row r="743" spans="1:14" x14ac:dyDescent="0.25">
      <c r="A743" s="52">
        <v>742</v>
      </c>
      <c r="B743" s="52">
        <v>646795</v>
      </c>
      <c r="C743" s="52" t="s">
        <v>1715</v>
      </c>
      <c r="D743" s="55" t="s">
        <v>26</v>
      </c>
      <c r="E743" s="55" t="s">
        <v>27</v>
      </c>
      <c r="F743" s="55" t="s">
        <v>1716</v>
      </c>
      <c r="G743" s="52" t="s">
        <v>29</v>
      </c>
      <c r="H743" s="54" t="s">
        <v>1688</v>
      </c>
      <c r="I743" s="53">
        <v>46245</v>
      </c>
      <c r="J743" s="52" t="s">
        <v>1694</v>
      </c>
      <c r="K743" s="52" t="s">
        <v>1695</v>
      </c>
      <c r="L743" s="52" t="s">
        <v>1696</v>
      </c>
      <c r="M743" s="52" t="s">
        <v>30</v>
      </c>
      <c r="N743" s="56">
        <f t="shared" ca="1" si="11"/>
        <v>11</v>
      </c>
    </row>
    <row r="744" spans="1:14" x14ac:dyDescent="0.25">
      <c r="A744" s="52">
        <v>743</v>
      </c>
      <c r="B744" s="52">
        <v>646743</v>
      </c>
      <c r="C744" s="52" t="s">
        <v>1717</v>
      </c>
      <c r="D744" s="55" t="s">
        <v>163</v>
      </c>
      <c r="E744" s="55" t="s">
        <v>27</v>
      </c>
      <c r="F744" s="55" t="s">
        <v>1718</v>
      </c>
      <c r="G744" s="52" t="s">
        <v>29</v>
      </c>
      <c r="H744" s="54">
        <v>46247</v>
      </c>
      <c r="I744" s="53">
        <v>46247</v>
      </c>
      <c r="J744" s="52" t="s">
        <v>1719</v>
      </c>
      <c r="K744" s="52" t="s">
        <v>30</v>
      </c>
      <c r="L744" s="52" t="s">
        <v>1696</v>
      </c>
      <c r="M744" s="52" t="s">
        <v>30</v>
      </c>
      <c r="N744" s="56">
        <f t="shared" ca="1" si="11"/>
        <v>9</v>
      </c>
    </row>
    <row r="745" spans="1:14" x14ac:dyDescent="0.25">
      <c r="A745" s="52">
        <v>744</v>
      </c>
      <c r="B745" s="52">
        <v>646818</v>
      </c>
      <c r="C745" s="52" t="s">
        <v>1720</v>
      </c>
      <c r="D745" s="55" t="s">
        <v>26</v>
      </c>
      <c r="E745" s="55" t="s">
        <v>27</v>
      </c>
      <c r="F745" s="55" t="s">
        <v>1721</v>
      </c>
      <c r="G745" s="52" t="s">
        <v>29</v>
      </c>
      <c r="H745" s="54" t="s">
        <v>1688</v>
      </c>
      <c r="I745" s="53">
        <v>46245</v>
      </c>
      <c r="J745" s="52" t="s">
        <v>1694</v>
      </c>
      <c r="K745" s="52" t="s">
        <v>1695</v>
      </c>
      <c r="L745" s="52" t="s">
        <v>1696</v>
      </c>
      <c r="M745" s="52" t="s">
        <v>30</v>
      </c>
      <c r="N745" s="56">
        <f t="shared" ca="1" si="11"/>
        <v>11</v>
      </c>
    </row>
    <row r="746" spans="1:14" x14ac:dyDescent="0.25">
      <c r="A746" s="52">
        <v>745</v>
      </c>
      <c r="B746" s="52">
        <v>544197</v>
      </c>
      <c r="C746" s="52" t="s">
        <v>1722</v>
      </c>
      <c r="D746" s="55" t="s">
        <v>26</v>
      </c>
      <c r="E746" s="55" t="s">
        <v>27</v>
      </c>
      <c r="F746" s="55" t="s">
        <v>1723</v>
      </c>
      <c r="G746" s="52" t="s">
        <v>29</v>
      </c>
      <c r="H746" s="54">
        <v>46247</v>
      </c>
      <c r="I746" s="53">
        <v>46245</v>
      </c>
      <c r="J746" s="52" t="s">
        <v>77</v>
      </c>
      <c r="K746" s="52" t="s">
        <v>30</v>
      </c>
      <c r="L746" s="52" t="s">
        <v>7</v>
      </c>
      <c r="M746" s="52" t="s">
        <v>30</v>
      </c>
      <c r="N746" s="56">
        <f t="shared" ca="1" si="11"/>
        <v>11</v>
      </c>
    </row>
    <row r="747" spans="1:14" x14ac:dyDescent="0.25">
      <c r="A747" s="52">
        <v>746</v>
      </c>
      <c r="B747" s="52">
        <v>646788</v>
      </c>
      <c r="C747" s="52" t="s">
        <v>1724</v>
      </c>
      <c r="D747" s="55" t="s">
        <v>26</v>
      </c>
      <c r="E747" s="55" t="s">
        <v>27</v>
      </c>
      <c r="F747" s="55" t="s">
        <v>1725</v>
      </c>
      <c r="G747" s="52" t="s">
        <v>29</v>
      </c>
      <c r="H747" s="54" t="s">
        <v>1688</v>
      </c>
      <c r="I747" s="53">
        <v>46244</v>
      </c>
      <c r="J747" s="52" t="s">
        <v>77</v>
      </c>
      <c r="K747" s="52" t="s">
        <v>30</v>
      </c>
      <c r="L747" s="52" t="s">
        <v>7</v>
      </c>
      <c r="M747" s="52" t="s">
        <v>30</v>
      </c>
      <c r="N747" s="56">
        <f t="shared" ca="1" si="11"/>
        <v>12</v>
      </c>
    </row>
    <row r="748" spans="1:14" x14ac:dyDescent="0.25">
      <c r="A748" s="52">
        <v>747</v>
      </c>
      <c r="B748" s="52">
        <v>646789</v>
      </c>
      <c r="C748" s="52" t="s">
        <v>1726</v>
      </c>
      <c r="D748" s="55" t="s">
        <v>26</v>
      </c>
      <c r="E748" s="55" t="s">
        <v>27</v>
      </c>
      <c r="F748" s="55" t="s">
        <v>1727</v>
      </c>
      <c r="G748" s="52" t="s">
        <v>29</v>
      </c>
      <c r="H748" s="54" t="s">
        <v>1688</v>
      </c>
      <c r="I748" s="53">
        <v>46244</v>
      </c>
      <c r="J748" s="52" t="s">
        <v>1694</v>
      </c>
      <c r="K748" s="52" t="s">
        <v>1695</v>
      </c>
      <c r="L748" s="52" t="s">
        <v>1696</v>
      </c>
      <c r="M748" s="52" t="s">
        <v>30</v>
      </c>
      <c r="N748" s="56">
        <f t="shared" ca="1" si="11"/>
        <v>12</v>
      </c>
    </row>
    <row r="749" spans="1:14" x14ac:dyDescent="0.25">
      <c r="A749" s="52">
        <v>748</v>
      </c>
      <c r="B749" s="52">
        <v>512037</v>
      </c>
      <c r="C749" s="52" t="s">
        <v>1728</v>
      </c>
      <c r="D749" s="55" t="s">
        <v>26</v>
      </c>
      <c r="E749" s="55" t="s">
        <v>27</v>
      </c>
      <c r="F749" s="55" t="s">
        <v>1729</v>
      </c>
      <c r="G749" s="52" t="s">
        <v>29</v>
      </c>
      <c r="H749" s="54">
        <v>46247</v>
      </c>
      <c r="I749" s="53">
        <v>46244</v>
      </c>
      <c r="J749" s="52" t="s">
        <v>1719</v>
      </c>
      <c r="K749" s="52" t="s">
        <v>30</v>
      </c>
      <c r="L749" s="52" t="s">
        <v>1696</v>
      </c>
      <c r="M749" s="52" t="s">
        <v>30</v>
      </c>
      <c r="N749" s="56">
        <f t="shared" ca="1" si="11"/>
        <v>12</v>
      </c>
    </row>
    <row r="750" spans="1:14" x14ac:dyDescent="0.25">
      <c r="A750" s="52">
        <v>749</v>
      </c>
      <c r="B750" s="52">
        <v>646810</v>
      </c>
      <c r="C750" s="52" t="s">
        <v>1730</v>
      </c>
      <c r="D750" s="55" t="s">
        <v>26</v>
      </c>
      <c r="E750" s="55" t="s">
        <v>27</v>
      </c>
      <c r="F750" s="55" t="s">
        <v>1731</v>
      </c>
      <c r="G750" s="52" t="s">
        <v>29</v>
      </c>
      <c r="H750" s="54" t="s">
        <v>1688</v>
      </c>
      <c r="I750" s="53">
        <v>46245</v>
      </c>
      <c r="J750" s="52" t="s">
        <v>77</v>
      </c>
      <c r="K750" s="52" t="s">
        <v>1695</v>
      </c>
      <c r="L750" s="52" t="s">
        <v>1696</v>
      </c>
      <c r="M750" s="52" t="s">
        <v>30</v>
      </c>
      <c r="N750" s="56">
        <f t="shared" ca="1" si="11"/>
        <v>11</v>
      </c>
    </row>
    <row r="751" spans="1:14" x14ac:dyDescent="0.25">
      <c r="A751" s="52">
        <v>750</v>
      </c>
      <c r="B751" s="52">
        <v>571022</v>
      </c>
      <c r="C751" s="52" t="s">
        <v>1732</v>
      </c>
      <c r="D751" s="55" t="s">
        <v>26</v>
      </c>
      <c r="E751" s="55" t="s">
        <v>27</v>
      </c>
      <c r="F751" s="55" t="s">
        <v>1733</v>
      </c>
      <c r="G751" s="52" t="s">
        <v>29</v>
      </c>
      <c r="H751" s="54" t="s">
        <v>1688</v>
      </c>
      <c r="I751" s="53">
        <v>46244</v>
      </c>
      <c r="J751" s="52" t="s">
        <v>77</v>
      </c>
      <c r="K751" s="52" t="s">
        <v>30</v>
      </c>
      <c r="L751" s="52" t="s">
        <v>7</v>
      </c>
      <c r="M751" s="52" t="s">
        <v>30</v>
      </c>
      <c r="N751" s="56">
        <f t="shared" ca="1" si="11"/>
        <v>12</v>
      </c>
    </row>
    <row r="752" spans="1:14" x14ac:dyDescent="0.25">
      <c r="A752" s="52">
        <v>751</v>
      </c>
      <c r="B752" s="52">
        <v>603966</v>
      </c>
      <c r="C752" s="52" t="s">
        <v>1734</v>
      </c>
      <c r="D752" s="55" t="s">
        <v>26</v>
      </c>
      <c r="E752" s="55" t="s">
        <v>27</v>
      </c>
      <c r="F752" s="55" t="s">
        <v>1735</v>
      </c>
      <c r="G752" s="52" t="s">
        <v>29</v>
      </c>
      <c r="H752" s="54">
        <v>46247</v>
      </c>
      <c r="I752" s="53">
        <v>46245</v>
      </c>
      <c r="J752" s="52">
        <v>0</v>
      </c>
      <c r="K752" s="52" t="s">
        <v>1736</v>
      </c>
      <c r="L752" s="52" t="s">
        <v>40</v>
      </c>
      <c r="M752" s="52" t="s">
        <v>30</v>
      </c>
      <c r="N752" s="56">
        <f t="shared" ca="1" si="11"/>
        <v>11</v>
      </c>
    </row>
    <row r="753" spans="1:14" x14ac:dyDescent="0.25">
      <c r="A753" s="52">
        <v>752</v>
      </c>
      <c r="B753" s="52">
        <v>613164</v>
      </c>
      <c r="C753" s="52" t="s">
        <v>1737</v>
      </c>
      <c r="D753" s="55" t="s">
        <v>26</v>
      </c>
      <c r="E753" s="55" t="s">
        <v>27</v>
      </c>
      <c r="F753" s="55" t="s">
        <v>1738</v>
      </c>
      <c r="G753" s="52" t="s">
        <v>29</v>
      </c>
      <c r="H753" s="54">
        <v>46247</v>
      </c>
      <c r="I753" s="53">
        <v>46245</v>
      </c>
      <c r="J753" s="52" t="s">
        <v>77</v>
      </c>
      <c r="K753" s="52" t="s">
        <v>1695</v>
      </c>
      <c r="L753" s="52" t="s">
        <v>1696</v>
      </c>
      <c r="M753" s="52" t="s">
        <v>30</v>
      </c>
      <c r="N753" s="56">
        <f t="shared" ca="1" si="11"/>
        <v>11</v>
      </c>
    </row>
    <row r="754" spans="1:14" x14ac:dyDescent="0.25">
      <c r="A754" s="52">
        <v>753</v>
      </c>
      <c r="B754" s="52">
        <v>646816</v>
      </c>
      <c r="C754" s="52" t="s">
        <v>1739</v>
      </c>
      <c r="D754" s="55" t="s">
        <v>26</v>
      </c>
      <c r="E754" s="55" t="s">
        <v>27</v>
      </c>
      <c r="F754" s="55" t="s">
        <v>1740</v>
      </c>
      <c r="G754" s="52" t="s">
        <v>29</v>
      </c>
      <c r="H754" s="54" t="s">
        <v>1688</v>
      </c>
      <c r="I754" s="53">
        <v>46245</v>
      </c>
      <c r="J754" s="52" t="s">
        <v>77</v>
      </c>
      <c r="K754" s="52" t="s">
        <v>30</v>
      </c>
      <c r="L754" s="52" t="s">
        <v>7</v>
      </c>
      <c r="M754" s="52" t="s">
        <v>30</v>
      </c>
      <c r="N754" s="56">
        <f t="shared" ca="1" si="11"/>
        <v>11</v>
      </c>
    </row>
    <row r="755" spans="1:14" x14ac:dyDescent="0.25">
      <c r="A755" s="52">
        <v>754</v>
      </c>
      <c r="B755" s="52">
        <v>646790</v>
      </c>
      <c r="C755" s="52" t="s">
        <v>1741</v>
      </c>
      <c r="D755" s="55" t="s">
        <v>26</v>
      </c>
      <c r="E755" s="55" t="s">
        <v>27</v>
      </c>
      <c r="F755" s="55" t="s">
        <v>1742</v>
      </c>
      <c r="G755" s="52" t="s">
        <v>29</v>
      </c>
      <c r="H755" s="54" t="s">
        <v>1688</v>
      </c>
      <c r="I755" s="53">
        <v>46244</v>
      </c>
      <c r="J755" s="52" t="s">
        <v>77</v>
      </c>
      <c r="K755" s="52" t="s">
        <v>30</v>
      </c>
      <c r="L755" s="52" t="s">
        <v>7</v>
      </c>
      <c r="M755" s="52" t="s">
        <v>30</v>
      </c>
      <c r="N755" s="56">
        <f t="shared" ca="1" si="11"/>
        <v>12</v>
      </c>
    </row>
    <row r="756" spans="1:14" x14ac:dyDescent="0.25">
      <c r="A756" s="52">
        <v>755</v>
      </c>
      <c r="B756" s="52">
        <v>646820</v>
      </c>
      <c r="C756" s="52" t="s">
        <v>1743</v>
      </c>
      <c r="D756" s="55" t="s">
        <v>26</v>
      </c>
      <c r="E756" s="55" t="s">
        <v>27</v>
      </c>
      <c r="F756" s="55" t="s">
        <v>1744</v>
      </c>
      <c r="G756" s="52" t="s">
        <v>29</v>
      </c>
      <c r="H756" s="54" t="s">
        <v>1688</v>
      </c>
      <c r="I756" s="53">
        <v>46245</v>
      </c>
      <c r="J756" s="52" t="s">
        <v>1694</v>
      </c>
      <c r="K756" s="52" t="s">
        <v>1695</v>
      </c>
      <c r="L756" s="52" t="s">
        <v>1696</v>
      </c>
      <c r="M756" s="52" t="s">
        <v>30</v>
      </c>
      <c r="N756" s="56">
        <f t="shared" ca="1" si="11"/>
        <v>11</v>
      </c>
    </row>
    <row r="757" spans="1:14" x14ac:dyDescent="0.25">
      <c r="A757" s="52">
        <v>756</v>
      </c>
      <c r="B757" s="52">
        <v>646792</v>
      </c>
      <c r="C757" s="52" t="s">
        <v>1745</v>
      </c>
      <c r="D757" s="55" t="s">
        <v>26</v>
      </c>
      <c r="E757" s="55" t="s">
        <v>27</v>
      </c>
      <c r="F757" s="55" t="s">
        <v>1746</v>
      </c>
      <c r="G757" s="52" t="s">
        <v>29</v>
      </c>
      <c r="H757" s="54" t="s">
        <v>1688</v>
      </c>
      <c r="I757" s="53">
        <v>46244</v>
      </c>
      <c r="J757" s="52" t="s">
        <v>1694</v>
      </c>
      <c r="K757" s="52" t="s">
        <v>1695</v>
      </c>
      <c r="L757" s="52" t="s">
        <v>1696</v>
      </c>
      <c r="M757" s="52" t="s">
        <v>30</v>
      </c>
      <c r="N757" s="56">
        <f t="shared" ca="1" si="11"/>
        <v>12</v>
      </c>
    </row>
    <row r="758" spans="1:14" x14ac:dyDescent="0.25">
      <c r="A758" s="52">
        <v>757</v>
      </c>
      <c r="B758" s="52">
        <v>646796</v>
      </c>
      <c r="C758" s="52" t="s">
        <v>1747</v>
      </c>
      <c r="D758" s="55" t="s">
        <v>26</v>
      </c>
      <c r="E758" s="55" t="s">
        <v>27</v>
      </c>
      <c r="F758" s="55" t="s">
        <v>1748</v>
      </c>
      <c r="G758" s="52" t="s">
        <v>29</v>
      </c>
      <c r="H758" s="54">
        <v>46247</v>
      </c>
      <c r="I758" s="53">
        <v>46245</v>
      </c>
      <c r="J758" s="52" t="s">
        <v>1694</v>
      </c>
      <c r="K758" s="52" t="s">
        <v>1695</v>
      </c>
      <c r="L758" s="52" t="s">
        <v>1696</v>
      </c>
      <c r="M758" s="52" t="s">
        <v>30</v>
      </c>
      <c r="N758" s="56">
        <f t="shared" ca="1" si="11"/>
        <v>11</v>
      </c>
    </row>
    <row r="759" spans="1:14" x14ac:dyDescent="0.25">
      <c r="A759" s="52">
        <v>758</v>
      </c>
      <c r="B759" s="52">
        <v>646808</v>
      </c>
      <c r="C759" s="52" t="s">
        <v>1749</v>
      </c>
      <c r="D759" s="55" t="s">
        <v>26</v>
      </c>
      <c r="E759" s="55" t="s">
        <v>27</v>
      </c>
      <c r="F759" s="55" t="s">
        <v>1750</v>
      </c>
      <c r="G759" s="52" t="s">
        <v>29</v>
      </c>
      <c r="H759" s="54" t="s">
        <v>1688</v>
      </c>
      <c r="I759" s="53">
        <v>46245</v>
      </c>
      <c r="J759" s="52" t="s">
        <v>1694</v>
      </c>
      <c r="K759" s="52" t="s">
        <v>1695</v>
      </c>
      <c r="L759" s="52" t="s">
        <v>1696</v>
      </c>
      <c r="M759" s="52" t="s">
        <v>30</v>
      </c>
      <c r="N759" s="56">
        <f t="shared" ca="1" si="11"/>
        <v>11</v>
      </c>
    </row>
    <row r="760" spans="1:14" x14ac:dyDescent="0.25">
      <c r="A760" s="52">
        <v>759</v>
      </c>
      <c r="B760" s="52">
        <v>646776</v>
      </c>
      <c r="C760" s="52" t="s">
        <v>1751</v>
      </c>
      <c r="D760" s="55" t="s">
        <v>63</v>
      </c>
      <c r="E760" s="55" t="s">
        <v>27</v>
      </c>
      <c r="F760" s="55">
        <v>406648008</v>
      </c>
      <c r="G760" s="52" t="s">
        <v>29</v>
      </c>
      <c r="H760" s="54" t="s">
        <v>1688</v>
      </c>
      <c r="I760" s="53">
        <v>46245</v>
      </c>
      <c r="J760" s="52" t="s">
        <v>1694</v>
      </c>
      <c r="K760" s="52" t="s">
        <v>1695</v>
      </c>
      <c r="L760" s="52" t="s">
        <v>1696</v>
      </c>
      <c r="M760" s="52" t="s">
        <v>30</v>
      </c>
      <c r="N760" s="56">
        <f t="shared" ca="1" si="11"/>
        <v>11</v>
      </c>
    </row>
    <row r="761" spans="1:14" x14ac:dyDescent="0.25">
      <c r="A761" s="52">
        <v>760</v>
      </c>
      <c r="B761" s="52">
        <v>646859</v>
      </c>
      <c r="C761" s="52" t="s">
        <v>1752</v>
      </c>
      <c r="D761" s="55" t="s">
        <v>26</v>
      </c>
      <c r="E761" s="55" t="s">
        <v>27</v>
      </c>
      <c r="F761" s="55" t="s">
        <v>1753</v>
      </c>
      <c r="G761" s="52" t="s">
        <v>29</v>
      </c>
      <c r="H761" s="54">
        <v>46251</v>
      </c>
      <c r="I761" s="53">
        <v>46247</v>
      </c>
      <c r="J761" s="52" t="s">
        <v>1719</v>
      </c>
      <c r="K761" s="52" t="s">
        <v>30</v>
      </c>
      <c r="L761" s="52" t="s">
        <v>1696</v>
      </c>
      <c r="M761" s="52" t="s">
        <v>30</v>
      </c>
      <c r="N761" s="56">
        <f t="shared" ca="1" si="11"/>
        <v>9</v>
      </c>
    </row>
    <row r="762" spans="1:14" x14ac:dyDescent="0.25">
      <c r="A762" s="52">
        <v>761</v>
      </c>
      <c r="B762" s="52">
        <v>646861</v>
      </c>
      <c r="C762" s="52" t="s">
        <v>1754</v>
      </c>
      <c r="D762" s="55" t="s">
        <v>26</v>
      </c>
      <c r="E762" s="55" t="s">
        <v>27</v>
      </c>
      <c r="F762" s="55" t="s">
        <v>1755</v>
      </c>
      <c r="G762" s="52" t="s">
        <v>29</v>
      </c>
      <c r="H762" s="54">
        <v>46251</v>
      </c>
      <c r="I762" s="53">
        <v>46247</v>
      </c>
      <c r="J762" s="52" t="s">
        <v>1719</v>
      </c>
      <c r="K762" s="52" t="s">
        <v>30</v>
      </c>
      <c r="L762" s="52" t="s">
        <v>1696</v>
      </c>
      <c r="M762" s="52" t="s">
        <v>30</v>
      </c>
      <c r="N762" s="56">
        <f t="shared" ca="1" si="11"/>
        <v>9</v>
      </c>
    </row>
    <row r="763" spans="1:14" x14ac:dyDescent="0.25">
      <c r="A763" s="52">
        <v>762</v>
      </c>
      <c r="B763" s="52">
        <v>646857</v>
      </c>
      <c r="C763" s="52" t="s">
        <v>1756</v>
      </c>
      <c r="D763" s="55" t="s">
        <v>26</v>
      </c>
      <c r="E763" s="55" t="s">
        <v>27</v>
      </c>
      <c r="F763" s="55" t="s">
        <v>1757</v>
      </c>
      <c r="G763" s="52" t="s">
        <v>29</v>
      </c>
      <c r="H763" s="54">
        <v>46251</v>
      </c>
      <c r="I763" s="53">
        <v>46248</v>
      </c>
      <c r="J763" s="52" t="s">
        <v>1719</v>
      </c>
      <c r="K763" s="52" t="s">
        <v>30</v>
      </c>
      <c r="L763" s="52" t="s">
        <v>1696</v>
      </c>
      <c r="M763" s="52" t="s">
        <v>30</v>
      </c>
      <c r="N763" s="56">
        <f t="shared" ref="N763:N777" ca="1" si="12">IFERROR(TODAY()-I763,"-")</f>
        <v>8</v>
      </c>
    </row>
    <row r="764" spans="1:14" x14ac:dyDescent="0.25">
      <c r="A764" s="52">
        <v>763</v>
      </c>
      <c r="B764" s="52">
        <v>609416</v>
      </c>
      <c r="C764" s="52" t="s">
        <v>1758</v>
      </c>
      <c r="D764" s="55" t="s">
        <v>26</v>
      </c>
      <c r="E764" s="55" t="s">
        <v>27</v>
      </c>
      <c r="F764" s="55" t="s">
        <v>1759</v>
      </c>
      <c r="G764" s="52" t="s">
        <v>29</v>
      </c>
      <c r="H764" s="54">
        <v>46251</v>
      </c>
      <c r="I764" s="53">
        <v>46247</v>
      </c>
      <c r="J764" s="52" t="s">
        <v>1719</v>
      </c>
      <c r="K764" s="52" t="s">
        <v>30</v>
      </c>
      <c r="L764" s="52" t="s">
        <v>1696</v>
      </c>
      <c r="M764" s="52" t="s">
        <v>30</v>
      </c>
      <c r="N764" s="56">
        <f t="shared" ca="1" si="12"/>
        <v>9</v>
      </c>
    </row>
    <row r="765" spans="1:14" x14ac:dyDescent="0.25">
      <c r="A765" s="52">
        <v>764</v>
      </c>
      <c r="B765" s="52">
        <v>646858</v>
      </c>
      <c r="C765" s="52" t="s">
        <v>1760</v>
      </c>
      <c r="D765" s="55" t="s">
        <v>26</v>
      </c>
      <c r="E765" s="55" t="s">
        <v>27</v>
      </c>
      <c r="F765" s="55" t="s">
        <v>1761</v>
      </c>
      <c r="G765" s="52" t="s">
        <v>29</v>
      </c>
      <c r="H765" s="54">
        <v>46251</v>
      </c>
      <c r="I765" s="53">
        <v>46247</v>
      </c>
      <c r="J765" s="52" t="s">
        <v>1719</v>
      </c>
      <c r="K765" s="52" t="s">
        <v>30</v>
      </c>
      <c r="L765" s="52" t="s">
        <v>1696</v>
      </c>
      <c r="M765" s="52" t="s">
        <v>30</v>
      </c>
      <c r="N765" s="56">
        <f t="shared" ca="1" si="12"/>
        <v>9</v>
      </c>
    </row>
    <row r="766" spans="1:14" x14ac:dyDescent="0.25">
      <c r="A766" s="52">
        <v>765</v>
      </c>
      <c r="B766" s="52">
        <v>646719</v>
      </c>
      <c r="C766" s="52" t="s">
        <v>1762</v>
      </c>
      <c r="D766" s="55" t="s">
        <v>26</v>
      </c>
      <c r="E766" s="55" t="s">
        <v>27</v>
      </c>
      <c r="F766" s="55" t="s">
        <v>1763</v>
      </c>
      <c r="G766" s="52" t="s">
        <v>29</v>
      </c>
      <c r="H766" s="54">
        <v>46251</v>
      </c>
      <c r="I766" s="53">
        <v>46248</v>
      </c>
      <c r="J766" s="52" t="s">
        <v>77</v>
      </c>
      <c r="K766" s="52" t="s">
        <v>30</v>
      </c>
      <c r="L766" s="52" t="s">
        <v>7</v>
      </c>
      <c r="M766" s="52" t="s">
        <v>30</v>
      </c>
      <c r="N766" s="56">
        <f t="shared" ca="1" si="12"/>
        <v>8</v>
      </c>
    </row>
    <row r="767" spans="1:14" x14ac:dyDescent="0.25">
      <c r="A767" s="52">
        <v>766</v>
      </c>
      <c r="B767" s="52">
        <v>528101</v>
      </c>
      <c r="C767" s="52" t="s">
        <v>1764</v>
      </c>
      <c r="D767" s="55" t="s">
        <v>26</v>
      </c>
      <c r="E767" s="55" t="s">
        <v>27</v>
      </c>
      <c r="F767" s="55" t="s">
        <v>1765</v>
      </c>
      <c r="G767" s="52" t="s">
        <v>29</v>
      </c>
      <c r="H767" s="54">
        <v>46246</v>
      </c>
      <c r="I767" s="53"/>
      <c r="J767" s="52" t="s">
        <v>1719</v>
      </c>
      <c r="K767" s="52" t="s">
        <v>30</v>
      </c>
      <c r="L767" s="52" t="s">
        <v>1696</v>
      </c>
      <c r="M767" s="52" t="s">
        <v>30</v>
      </c>
      <c r="N767" s="56">
        <f t="shared" ca="1" si="12"/>
        <v>46256</v>
      </c>
    </row>
    <row r="768" spans="1:14" x14ac:dyDescent="0.25">
      <c r="A768" s="52">
        <v>767</v>
      </c>
      <c r="B768" s="52">
        <v>482554</v>
      </c>
      <c r="C768" s="52" t="s">
        <v>1766</v>
      </c>
      <c r="D768" s="55" t="s">
        <v>26</v>
      </c>
      <c r="E768" s="55" t="s">
        <v>27</v>
      </c>
      <c r="F768" s="55" t="s">
        <v>1767</v>
      </c>
      <c r="G768" s="52" t="s">
        <v>29</v>
      </c>
      <c r="H768" s="54">
        <v>46253</v>
      </c>
      <c r="I768" s="53">
        <v>46249</v>
      </c>
      <c r="J768" s="52" t="s">
        <v>1719</v>
      </c>
      <c r="K768" s="52" t="s">
        <v>30</v>
      </c>
      <c r="L768" s="52" t="s">
        <v>1696</v>
      </c>
      <c r="M768" s="52" t="s">
        <v>30</v>
      </c>
      <c r="N768" s="56">
        <f t="shared" ca="1" si="12"/>
        <v>7</v>
      </c>
    </row>
    <row r="769" spans="1:14" x14ac:dyDescent="0.25">
      <c r="A769" s="52">
        <v>768</v>
      </c>
      <c r="B769" s="52">
        <v>646875</v>
      </c>
      <c r="C769" s="52" t="s">
        <v>1768</v>
      </c>
      <c r="D769" s="55" t="s">
        <v>26</v>
      </c>
      <c r="E769" s="55" t="s">
        <v>27</v>
      </c>
      <c r="F769" s="55" t="s">
        <v>1769</v>
      </c>
      <c r="G769" s="52" t="s">
        <v>29</v>
      </c>
      <c r="H769" s="54">
        <v>46253</v>
      </c>
      <c r="I769" s="53">
        <v>46251</v>
      </c>
      <c r="J769" s="52" t="s">
        <v>1719</v>
      </c>
      <c r="K769" s="52" t="s">
        <v>30</v>
      </c>
      <c r="L769" s="52" t="s">
        <v>1696</v>
      </c>
      <c r="M769" s="52" t="s">
        <v>30</v>
      </c>
      <c r="N769" s="56">
        <f t="shared" ca="1" si="12"/>
        <v>5</v>
      </c>
    </row>
    <row r="770" spans="1:14" x14ac:dyDescent="0.25">
      <c r="A770" s="52">
        <v>769</v>
      </c>
      <c r="B770" s="52">
        <v>611354</v>
      </c>
      <c r="C770" s="52" t="s">
        <v>1770</v>
      </c>
      <c r="D770" s="55" t="s">
        <v>26</v>
      </c>
      <c r="E770" s="55" t="s">
        <v>27</v>
      </c>
      <c r="F770" s="55" t="s">
        <v>1771</v>
      </c>
      <c r="G770" s="52" t="s">
        <v>29</v>
      </c>
      <c r="H770" s="54">
        <v>46253</v>
      </c>
      <c r="I770" s="53">
        <v>46251</v>
      </c>
      <c r="J770" s="52">
        <v>0</v>
      </c>
      <c r="K770" s="52" t="s">
        <v>30</v>
      </c>
      <c r="L770" s="52" t="s">
        <v>1691</v>
      </c>
      <c r="M770" s="52" t="s">
        <v>30</v>
      </c>
      <c r="N770" s="56">
        <f t="shared" ca="1" si="12"/>
        <v>5</v>
      </c>
    </row>
    <row r="771" spans="1:14" x14ac:dyDescent="0.25">
      <c r="A771" s="52">
        <v>770</v>
      </c>
      <c r="B771" s="52">
        <v>633244</v>
      </c>
      <c r="C771" s="52" t="s">
        <v>1772</v>
      </c>
      <c r="D771" s="55" t="s">
        <v>26</v>
      </c>
      <c r="E771" s="55" t="s">
        <v>27</v>
      </c>
      <c r="F771" s="55" t="s">
        <v>1773</v>
      </c>
      <c r="G771" s="52" t="s">
        <v>29</v>
      </c>
      <c r="H771" s="54">
        <v>46253</v>
      </c>
      <c r="I771" s="53">
        <v>46250</v>
      </c>
      <c r="J771" s="52" t="s">
        <v>1719</v>
      </c>
      <c r="K771" s="52" t="s">
        <v>30</v>
      </c>
      <c r="L771" s="52" t="s">
        <v>1696</v>
      </c>
      <c r="M771" s="52" t="s">
        <v>30</v>
      </c>
      <c r="N771" s="56">
        <f t="shared" ca="1" si="12"/>
        <v>6</v>
      </c>
    </row>
    <row r="772" spans="1:14" x14ac:dyDescent="0.25">
      <c r="A772" s="52">
        <v>771</v>
      </c>
      <c r="B772" s="52">
        <v>646874</v>
      </c>
      <c r="C772" s="52" t="s">
        <v>1774</v>
      </c>
      <c r="D772" s="55" t="s">
        <v>26</v>
      </c>
      <c r="E772" s="55" t="s">
        <v>27</v>
      </c>
      <c r="F772" s="55" t="s">
        <v>1775</v>
      </c>
      <c r="G772" s="52" t="s">
        <v>29</v>
      </c>
      <c r="H772" s="54">
        <v>46253</v>
      </c>
      <c r="I772" s="53">
        <v>46250</v>
      </c>
      <c r="J772" s="52">
        <v>0</v>
      </c>
      <c r="K772" s="52" t="s">
        <v>30</v>
      </c>
      <c r="L772" s="52" t="s">
        <v>1691</v>
      </c>
      <c r="M772" s="52" t="s">
        <v>30</v>
      </c>
      <c r="N772" s="56">
        <f t="shared" ca="1" si="12"/>
        <v>6</v>
      </c>
    </row>
    <row r="773" spans="1:14" x14ac:dyDescent="0.25">
      <c r="A773" s="52">
        <v>772</v>
      </c>
      <c r="B773" s="52">
        <v>548848</v>
      </c>
      <c r="C773" s="52" t="s">
        <v>1776</v>
      </c>
      <c r="D773" s="55" t="s">
        <v>26</v>
      </c>
      <c r="E773" s="55" t="s">
        <v>27</v>
      </c>
      <c r="F773" s="55" t="s">
        <v>1777</v>
      </c>
      <c r="G773" s="52" t="s">
        <v>29</v>
      </c>
      <c r="H773" s="52"/>
      <c r="I773" s="53">
        <v>46251</v>
      </c>
      <c r="J773" s="52" t="s">
        <v>1719</v>
      </c>
      <c r="K773" s="52" t="s">
        <v>30</v>
      </c>
      <c r="L773" s="52" t="s">
        <v>1696</v>
      </c>
      <c r="M773" s="52" t="s">
        <v>30</v>
      </c>
      <c r="N773" s="56">
        <f t="shared" ca="1" si="12"/>
        <v>5</v>
      </c>
    </row>
    <row r="774" spans="1:14" x14ac:dyDescent="0.25">
      <c r="A774" s="52">
        <v>773</v>
      </c>
      <c r="B774" s="52">
        <v>646896</v>
      </c>
      <c r="C774" s="52" t="s">
        <v>1778</v>
      </c>
      <c r="D774" s="55" t="s">
        <v>26</v>
      </c>
      <c r="E774" s="55" t="s">
        <v>27</v>
      </c>
      <c r="F774" s="55" t="s">
        <v>1779</v>
      </c>
      <c r="G774" s="52" t="s">
        <v>29</v>
      </c>
      <c r="H774" s="52"/>
      <c r="I774" s="53">
        <v>46251</v>
      </c>
      <c r="J774" s="52" t="s">
        <v>1719</v>
      </c>
      <c r="K774" s="52" t="s">
        <v>30</v>
      </c>
      <c r="L774" s="52" t="s">
        <v>1696</v>
      </c>
      <c r="M774" s="52" t="s">
        <v>30</v>
      </c>
      <c r="N774" s="56">
        <f t="shared" ca="1" si="12"/>
        <v>5</v>
      </c>
    </row>
    <row r="775" spans="1:14" x14ac:dyDescent="0.25">
      <c r="A775" s="52">
        <v>774</v>
      </c>
      <c r="B775" s="52">
        <v>646894</v>
      </c>
      <c r="C775" s="52" t="s">
        <v>1780</v>
      </c>
      <c r="D775" s="55" t="s">
        <v>26</v>
      </c>
      <c r="E775" s="55" t="s">
        <v>27</v>
      </c>
      <c r="F775" s="55" t="s">
        <v>1781</v>
      </c>
      <c r="G775" s="52" t="s">
        <v>29</v>
      </c>
      <c r="H775" s="52"/>
      <c r="I775" s="53">
        <v>46251</v>
      </c>
      <c r="J775" s="52" t="s">
        <v>1719</v>
      </c>
      <c r="K775" s="52" t="s">
        <v>30</v>
      </c>
      <c r="L775" s="52" t="s">
        <v>1696</v>
      </c>
      <c r="M775" s="52" t="s">
        <v>30</v>
      </c>
      <c r="N775" s="56">
        <f t="shared" ca="1" si="12"/>
        <v>5</v>
      </c>
    </row>
    <row r="776" spans="1:14" x14ac:dyDescent="0.25">
      <c r="A776" s="52">
        <v>775</v>
      </c>
      <c r="B776" s="52">
        <v>646897</v>
      </c>
      <c r="C776" s="52" t="s">
        <v>1782</v>
      </c>
      <c r="D776" s="55" t="s">
        <v>26</v>
      </c>
      <c r="E776" s="55" t="s">
        <v>27</v>
      </c>
      <c r="F776" s="55" t="s">
        <v>1783</v>
      </c>
      <c r="G776" s="52" t="s">
        <v>29</v>
      </c>
      <c r="H776" s="52"/>
      <c r="I776" s="53">
        <v>46251</v>
      </c>
      <c r="J776" s="52" t="s">
        <v>1719</v>
      </c>
      <c r="K776" s="52" t="s">
        <v>30</v>
      </c>
      <c r="L776" s="52" t="s">
        <v>1696</v>
      </c>
      <c r="M776" s="52" t="s">
        <v>30</v>
      </c>
      <c r="N776" s="56">
        <f t="shared" ca="1" si="12"/>
        <v>5</v>
      </c>
    </row>
    <row r="777" spans="1:14" x14ac:dyDescent="0.25">
      <c r="A777" s="52">
        <v>776</v>
      </c>
      <c r="B777" s="52">
        <v>228538</v>
      </c>
      <c r="C777" s="52" t="s">
        <v>1831</v>
      </c>
      <c r="D777" s="55" t="s">
        <v>26</v>
      </c>
      <c r="E777" s="55" t="s">
        <v>27</v>
      </c>
      <c r="F777" s="52"/>
      <c r="G777" s="52"/>
      <c r="H777" s="52"/>
      <c r="I777" s="52"/>
      <c r="J777" s="52">
        <v>0</v>
      </c>
      <c r="K777" s="52"/>
      <c r="L777" s="52" t="s">
        <v>7</v>
      </c>
      <c r="M777" s="52" t="s">
        <v>1832</v>
      </c>
      <c r="N777" s="56">
        <f t="shared" ca="1" si="12"/>
        <v>46256</v>
      </c>
    </row>
  </sheetData>
  <conditionalFormatting sqref="L2:L777">
    <cfRule type="expression" dxfId="16" priority="2">
      <formula>L2="Dil egitimi tamamlandi sinavdan gecti"</formula>
    </cfRule>
    <cfRule type="expression" dxfId="15" priority="3">
      <formula>L2="2 kere sinavden gecemedi"</formula>
    </cfRule>
    <cfRule type="expression" dxfId="14" priority="4">
      <formula>OR(L2="Egitime  devem eden",L2="Egitime alinacak",L2="sinavi hazir")</formula>
    </cfRule>
  </conditionalFormatting>
  <pageMargins left="0.3" right="0.3" top="0.4" bottom="0.4" header="0.511811023622047" footer="0.511811023622047"/>
  <pageSetup fitToHeight="2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H27"/>
  <sheetViews>
    <sheetView zoomScaleNormal="100" workbookViewId="0"/>
  </sheetViews>
  <sheetFormatPr defaultColWidth="8.7109375" defaultRowHeight="15" x14ac:dyDescent="0.25"/>
  <cols>
    <col min="1" max="1" width="40" customWidth="1"/>
    <col min="2" max="2" width="10" customWidth="1"/>
    <col min="3" max="3" width="34" customWidth="1"/>
    <col min="4" max="4" width="40" customWidth="1"/>
    <col min="5" max="5" width="10" customWidth="1"/>
    <col min="7" max="7" width="40" customWidth="1"/>
    <col min="8" max="8" width="10" customWidth="1"/>
  </cols>
  <sheetData>
    <row r="1" spans="1:8" x14ac:dyDescent="0.25">
      <c r="A1" s="19" t="s">
        <v>1784</v>
      </c>
      <c r="D1" s="19" t="s">
        <v>1785</v>
      </c>
      <c r="G1" s="19" t="s">
        <v>1786</v>
      </c>
    </row>
    <row r="2" spans="1:8" x14ac:dyDescent="0.25">
      <c r="A2" s="20" t="s">
        <v>1787</v>
      </c>
      <c r="B2" s="20" t="s">
        <v>1788</v>
      </c>
      <c r="D2" s="20" t="s">
        <v>1787</v>
      </c>
      <c r="E2" s="20" t="s">
        <v>1788</v>
      </c>
      <c r="G2" s="20" t="s">
        <v>1787</v>
      </c>
      <c r="H2" s="20" t="s">
        <v>1788</v>
      </c>
    </row>
    <row r="3" spans="1:8" x14ac:dyDescent="0.25">
      <c r="A3" t="s">
        <v>26</v>
      </c>
      <c r="B3">
        <f>COUNTIF(Personnel[Vatandaslik],"УЗБЕКИСТАН")</f>
        <v>725</v>
      </c>
      <c r="D3" t="s">
        <v>29</v>
      </c>
      <c r="E3">
        <f>COUNTIF(Personnel[Документ],"Новый Патент")</f>
        <v>683</v>
      </c>
      <c r="G3" t="s">
        <v>27</v>
      </c>
      <c r="H3">
        <f>COUNTIF(Personnel[Santiye],"GPP Proje")</f>
        <v>759</v>
      </c>
    </row>
    <row r="4" spans="1:8" x14ac:dyDescent="0.25">
      <c r="A4" t="s">
        <v>63</v>
      </c>
      <c r="B4">
        <f>COUNTIF(Personnel[Vatandaslik],"ТАДЖИКИСТАН")</f>
        <v>27</v>
      </c>
      <c r="D4" t="s">
        <v>76</v>
      </c>
      <c r="E4">
        <f>COUNTIF(Personnel[Документ],"Переоформленный Патент")</f>
        <v>87</v>
      </c>
      <c r="G4" t="s">
        <v>129</v>
      </c>
      <c r="H4">
        <f>COUNTIF(Personnel[Santiye],"GPP Proje (TSF)")</f>
        <v>12</v>
      </c>
    </row>
    <row r="5" spans="1:8" x14ac:dyDescent="0.25">
      <c r="A5" t="s">
        <v>163</v>
      </c>
      <c r="B5">
        <f>COUNTIF(Personnel[Vatandaslik],"АЗЕРБАЙДЖАН")</f>
        <v>24</v>
      </c>
      <c r="G5" t="s">
        <v>854</v>
      </c>
      <c r="H5">
        <f>COUNTIF(Personnel[Santiye],"Ust Luga Ana Kamp 1")</f>
        <v>3</v>
      </c>
    </row>
    <row r="6" spans="1:8" x14ac:dyDescent="0.25">
      <c r="G6" t="s">
        <v>153</v>
      </c>
      <c r="H6">
        <f>COUNTIF(Personnel[Santiye],"Ust Luga Fabrika - GPC")</f>
        <v>2</v>
      </c>
    </row>
    <row r="12" spans="1:8" x14ac:dyDescent="0.25">
      <c r="A12" s="19" t="s">
        <v>1789</v>
      </c>
    </row>
    <row r="13" spans="1:8" x14ac:dyDescent="0.25">
      <c r="A13" s="20" t="s">
        <v>1787</v>
      </c>
      <c r="B13" s="20" t="s">
        <v>1788</v>
      </c>
      <c r="C13" s="20" t="s">
        <v>1790</v>
      </c>
    </row>
    <row r="14" spans="1:8" x14ac:dyDescent="0.25">
      <c r="A14" t="s">
        <v>40</v>
      </c>
      <c r="B14">
        <f>COUNTIF(Personnel[Egtim durumu],"Dil egitimi tamamlandi sinavdan gecti")</f>
        <v>583</v>
      </c>
      <c r="C14" t="s">
        <v>1791</v>
      </c>
    </row>
    <row r="15" spans="1:8" x14ac:dyDescent="0.25">
      <c r="A15" t="s">
        <v>66</v>
      </c>
      <c r="B15">
        <f>COUNTIF(Personnel[Egtim durumu],"2 kere sinavden gecemedi")</f>
        <v>48</v>
      </c>
      <c r="C15" t="s">
        <v>1792</v>
      </c>
    </row>
    <row r="16" spans="1:8" x14ac:dyDescent="0.25">
      <c r="A16" t="s">
        <v>1696</v>
      </c>
      <c r="B16">
        <f>COUNTIF(Personnel[Egtim durumu],"Egitime  devem eden")</f>
        <v>31</v>
      </c>
      <c r="C16" t="s">
        <v>1793</v>
      </c>
    </row>
    <row r="17" spans="1:3" x14ac:dyDescent="0.25">
      <c r="A17" t="s">
        <v>33</v>
      </c>
      <c r="B17">
        <f>COUNTIF(Personnel[Egtim durumu],"Dil sertifikasi var kendisinda\Patent basvuruya cagirildigi zaman yaninda getirecektir")</f>
        <v>23</v>
      </c>
      <c r="C17" t="s">
        <v>1794</v>
      </c>
    </row>
    <row r="18" spans="1:3" x14ac:dyDescent="0.25">
      <c r="A18" t="s">
        <v>579</v>
      </c>
      <c r="B18">
        <f>COUNTIF(Personnel[Egtim durumu],"Taskentda gecmis sinavdan")</f>
        <v>23</v>
      </c>
      <c r="C18" t="s">
        <v>1795</v>
      </c>
    </row>
    <row r="19" spans="1:3" x14ac:dyDescent="0.25">
      <c r="A19" t="s">
        <v>7</v>
      </c>
      <c r="B19">
        <f>COUNTIF(Personnel[Egtim durumu],"sinavi hazir")</f>
        <v>23</v>
      </c>
      <c r="C19" t="s">
        <v>1796</v>
      </c>
    </row>
    <row r="20" spans="1:3" x14ac:dyDescent="0.25">
      <c r="A20" t="s">
        <v>155</v>
      </c>
      <c r="B20">
        <f>COUNTIF(Personnel[Egtim durumu],"Personel patent basvuru yapmis")</f>
        <v>17</v>
      </c>
      <c r="C20" t="s">
        <v>1797</v>
      </c>
    </row>
    <row r="21" spans="1:3" x14ac:dyDescent="0.25">
      <c r="A21" t="s">
        <v>1691</v>
      </c>
      <c r="B21">
        <f>COUNTIF(Personnel[Egtim durumu],"Egitime alinacak")</f>
        <v>2</v>
      </c>
      <c r="C21" t="s">
        <v>1798</v>
      </c>
    </row>
    <row r="22" spans="1:3" x14ac:dyDescent="0.25">
      <c r="A22" t="s">
        <v>227</v>
      </c>
      <c r="B22">
        <f>COUNTIF(Personnel[Egtim durumu],"Cikisa gedecegini bildirdi")</f>
        <v>9</v>
      </c>
      <c r="C22" t="s">
        <v>1799</v>
      </c>
    </row>
    <row r="23" spans="1:3" x14ac:dyDescent="0.25">
      <c r="A23" t="s">
        <v>1177</v>
      </c>
      <c r="B23">
        <f>COUNTIF(Personnel[Egtim durumu],"Dil sertifikasi var kendisinda")</f>
        <v>8</v>
      </c>
      <c r="C23" t="s">
        <v>1800</v>
      </c>
    </row>
    <row r="24" spans="1:3" x14ac:dyDescent="0.25">
      <c r="A24" t="s">
        <v>176</v>
      </c>
      <c r="B24">
        <f>COUNTIF(Personnel[Egtim durumu],"Dil setifikasi var sevk olmadan teslim etmis")</f>
        <v>3</v>
      </c>
      <c r="C24" t="s">
        <v>1801</v>
      </c>
    </row>
    <row r="25" spans="1:3" x14ac:dyDescent="0.25">
      <c r="A25" t="s">
        <v>1464</v>
      </c>
      <c r="B25">
        <f>COUNTIF(Personnel[Egtim durumu],"Hasta tedavi olmasi gerekiyor")</f>
        <v>3</v>
      </c>
      <c r="C25" t="s">
        <v>1802</v>
      </c>
    </row>
    <row r="26" spans="1:3" x14ac:dyDescent="0.25">
      <c r="A26" t="s">
        <v>1255</v>
      </c>
      <c r="B26">
        <f>COUNTIF(Personnel[Egtim durumu],"Cikisli")</f>
        <v>2</v>
      </c>
      <c r="C26" t="s">
        <v>1803</v>
      </c>
    </row>
    <row r="27" spans="1:3" x14ac:dyDescent="0.25">
      <c r="A27" t="s">
        <v>1710</v>
      </c>
      <c r="B27">
        <f>COUNTIF(Personnel[Egtim durumu],"Dil sertifikasi var Arsivde")</f>
        <v>1</v>
      </c>
      <c r="C27" t="s">
        <v>1804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C62828"/>
  </sheetPr>
  <dimension ref="A1:K206"/>
  <sheetViews>
    <sheetView showGridLines="0" zoomScaleNormal="100" workbookViewId="0">
      <pane ySplit="6" topLeftCell="A7" activePane="bottomLeft" state="frozen"/>
      <selection activeCell="F30" sqref="F30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83" t="s">
        <v>1805</v>
      </c>
      <c r="B1" s="83"/>
      <c r="C1" s="83"/>
    </row>
    <row r="3" spans="1:11" ht="21" x14ac:dyDescent="0.35">
      <c r="A3" s="84" t="s">
        <v>1806</v>
      </c>
      <c r="B3" s="84"/>
      <c r="C3" s="84"/>
      <c r="D3" s="84"/>
      <c r="E3" s="84"/>
      <c r="F3" s="84"/>
      <c r="G3" s="84"/>
      <c r="H3" s="84"/>
    </row>
    <row r="4" spans="1:11" x14ac:dyDescent="0.25">
      <c r="A4" s="85" t="s">
        <v>1807</v>
      </c>
      <c r="B4" s="85"/>
      <c r="C4" s="85"/>
      <c r="D4" s="85"/>
      <c r="E4" s="85"/>
      <c r="F4" s="85"/>
      <c r="G4" s="85"/>
      <c r="H4" s="85"/>
    </row>
    <row r="5" spans="1:11" x14ac:dyDescent="0.25">
      <c r="A5" s="86" t="str">
        <f>"Найдено записей: "&amp;COUNTIF(Personnel[Egtim durumu],"2 kere sinavden gecemedi")</f>
        <v>Найдено записей: 48</v>
      </c>
      <c r="B5" s="86"/>
      <c r="C5" s="86"/>
      <c r="D5" s="86"/>
      <c r="E5" s="86"/>
      <c r="F5" s="86"/>
      <c r="G5" s="86"/>
      <c r="H5" s="86"/>
    </row>
    <row r="6" spans="1:11" ht="27.75" customHeight="1" x14ac:dyDescent="0.25">
      <c r="A6" s="21" t="s">
        <v>1808</v>
      </c>
      <c r="B6" s="21" t="s">
        <v>1809</v>
      </c>
      <c r="C6" s="21" t="s">
        <v>1784</v>
      </c>
      <c r="D6" s="21" t="s">
        <v>1810</v>
      </c>
      <c r="E6" s="21" t="s">
        <v>1811</v>
      </c>
      <c r="F6" s="21" t="s">
        <v>1812</v>
      </c>
      <c r="G6" s="21" t="s">
        <v>1813</v>
      </c>
      <c r="H6" s="21" t="s">
        <v>1814</v>
      </c>
      <c r="I6" s="21" t="s">
        <v>24</v>
      </c>
    </row>
    <row r="7" spans="1:11" ht="25.5" x14ac:dyDescent="0.25">
      <c r="A7" s="18">
        <f>IFERROR(INDEX(Personnel[Sicil],$K7),"")</f>
        <v>642570</v>
      </c>
      <c r="B7" s="17" t="str">
        <f>IFERROR(INDEX(Personnel[Adi Soyadi],$K7),"")</f>
        <v>Хиратов Ахтамшо Бегназарович</v>
      </c>
      <c r="C7" s="18" t="str">
        <f>IFERROR(INDEX(Personnel[Vatandaslik],$K7),"")</f>
        <v>ТАДЖИКИСТАН</v>
      </c>
      <c r="D7" s="18" t="str">
        <f>IFERROR(INDEX(Personnel[Santiye],$K7),"")</f>
        <v>GPP Proje</v>
      </c>
      <c r="E7" s="18" t="str">
        <f>IFERROR(INDEX(Personnel[Ogretmen],$K7),"")</f>
        <v>Tyulina Natalya / Ziaztdinov Arslan</v>
      </c>
      <c r="F7" s="17" t="str">
        <f>IFERROR(INDEX(Personnel[[Sinav ]],$K7),"")</f>
        <v xml:space="preserve">29.04.2026 Sineva gitti gecmedi /07.05.2026 Sineva gitti gecemedi </v>
      </c>
      <c r="G7" s="17" t="str">
        <f>IFERROR(INDEX(Personnel[Egtim durumu],$K7),"")</f>
        <v>2 kere sinavden gecemedi</v>
      </c>
      <c r="H7" s="17" t="str">
        <f>IFERROR(INDEX(Personnel[Shohruh Not],$K7),"")</f>
        <v>Hursit Sefe mail atildi</v>
      </c>
      <c r="I7" s="22">
        <f ca="1">IFERROR(INDEX(Personnel[Дней в РФ],$K7),"")</f>
        <v>122</v>
      </c>
      <c r="K7" s="23">
        <f t="array" ref="K7">IFERROR(_xlfn.AGGREGATE(15,6,(ROW(Personnel[Egtim durumu])-MIN(ROW(Personnel[Egtim durumu]))+1)/((Personnel[Egtim durumu]="2 kere sinavden gecemedi")),ROWS($K$7:K7)),"")</f>
        <v>12</v>
      </c>
    </row>
    <row r="8" spans="1:11" ht="25.5" x14ac:dyDescent="0.25">
      <c r="A8" s="24">
        <f>IFERROR(INDEX(Personnel[Sicil],$K8),"")</f>
        <v>642292</v>
      </c>
      <c r="B8" s="25" t="str">
        <f>IFERROR(INDEX(Personnel[Adi Soyadi],$K8),"")</f>
        <v>Тургунов Оятилло Абдулла Угли</v>
      </c>
      <c r="C8" s="24" t="str">
        <f>IFERROR(INDEX(Personnel[Vatandaslik],$K8),"")</f>
        <v>УЗБЕКИСТАН</v>
      </c>
      <c r="D8" s="24" t="str">
        <f>IFERROR(INDEX(Personnel[Santiye],$K8),"")</f>
        <v>GPP Proje</v>
      </c>
      <c r="E8" s="24" t="str">
        <f>IFERROR(INDEX(Personnel[Ogretmen],$K8),"")</f>
        <v>Tyulina Natalya</v>
      </c>
      <c r="F8" s="25" t="str">
        <f>IFERROR(INDEX(Personnel[[Sinav ]],$K8),"")</f>
        <v>28.04.2026 Sineva gitti gecemedi / 05.05.2026 Sineva gitti gecemedi</v>
      </c>
      <c r="G8" s="25" t="str">
        <f>IFERROR(INDEX(Personnel[Egtim durumu],$K8),"")</f>
        <v>2 kere sinavden gecemedi</v>
      </c>
      <c r="H8" s="25" t="str">
        <f>IFERROR(INDEX(Personnel[Shohruh Not],$K8),"")</f>
        <v>Hursid Sefe mail atildi</v>
      </c>
      <c r="I8" s="26">
        <f ca="1">IFERROR(INDEX(Personnel[Дней в РФ],$K8),"")</f>
        <v>130</v>
      </c>
      <c r="K8" s="23">
        <f t="array" ref="K8">IFERROR(_xlfn.AGGREGATE(15,6,(ROW(Personnel[Egtim durumu])-MIN(ROW(Personnel[Egtim durumu]))+1)/((Personnel[Egtim durumu]="2 kere sinavden gecemedi")),ROWS($K$7:K8)),"")</f>
        <v>45</v>
      </c>
    </row>
    <row r="9" spans="1:11" ht="25.5" x14ac:dyDescent="0.25">
      <c r="A9" s="18">
        <f>IFERROR(INDEX(Personnel[Sicil],$K9),"")</f>
        <v>64243</v>
      </c>
      <c r="B9" s="17" t="str">
        <f>IFERROR(INDEX(Personnel[Adi Soyadi],$K9),"")</f>
        <v>Гурбанов Тогрул Акшин Оглы</v>
      </c>
      <c r="C9" s="18" t="str">
        <f>IFERROR(INDEX(Personnel[Vatandaslik],$K9),"")</f>
        <v>АЗЕРБАЙДЖАН</v>
      </c>
      <c r="D9" s="18" t="str">
        <f>IFERROR(INDEX(Personnel[Santiye],$K9),"")</f>
        <v>GPP Proje</v>
      </c>
      <c r="E9" s="18" t="str">
        <f>IFERROR(INDEX(Personnel[Ogretmen],$K9),"")</f>
        <v>Tyulina Natalya / Ziaztdinov Arslan</v>
      </c>
      <c r="F9" s="17" t="str">
        <f>IFERROR(INDEX(Personnel[[Sinav ]],$K9),"")</f>
        <v>05.05.2026 Sineva gitti gecemedi /09.05.2026 Ic testimizden gecemedi</v>
      </c>
      <c r="G9" s="17" t="str">
        <f>IFERROR(INDEX(Personnel[Egtim durumu],$K9),"")</f>
        <v>2 kere sinavden gecemedi</v>
      </c>
      <c r="H9" s="17" t="str">
        <f>IFERROR(INDEX(Personnel[Shohruh Not],$K9),"")</f>
        <v>-</v>
      </c>
      <c r="I9" s="22">
        <f ca="1">IFERROR(INDEX(Personnel[Дней в РФ],$K9),"")</f>
        <v>124</v>
      </c>
      <c r="K9" s="23">
        <f t="array" ref="K9">IFERROR(_xlfn.AGGREGATE(15,6,(ROW(Personnel[Egtim durumu])-MIN(ROW(Personnel[Egtim durumu]))+1)/((Personnel[Egtim durumu]="2 kere sinavden gecemedi")),ROWS($K$7:K9)),"")</f>
        <v>53</v>
      </c>
    </row>
    <row r="10" spans="1:11" ht="25.5" x14ac:dyDescent="0.25">
      <c r="A10" s="24">
        <f>IFERROR(INDEX(Personnel[Sicil],$K10),"")</f>
        <v>547622</v>
      </c>
      <c r="B10" s="25" t="str">
        <f>IFERROR(INDEX(Personnel[Adi Soyadi],$K10),"")</f>
        <v>Саипов Миролим Ашуралиевич</v>
      </c>
      <c r="C10" s="24" t="str">
        <f>IFERROR(INDEX(Personnel[Vatandaslik],$K10),"")</f>
        <v>УЗБЕКИСТАН</v>
      </c>
      <c r="D10" s="24" t="str">
        <f>IFERROR(INDEX(Personnel[Santiye],$K10),"")</f>
        <v>GPP Proje</v>
      </c>
      <c r="E10" s="24" t="str">
        <f>IFERROR(INDEX(Personnel[Ogretmen],$K10),"")</f>
        <v>Tyulina Natalya</v>
      </c>
      <c r="F10" s="25" t="str">
        <f>IFERROR(INDEX(Personnel[[Sinav ]],$K10),"")</f>
        <v>28.04.2026 Sineva gitti gecemedi / 05.05.2026 Sineva gitti gecemedi</v>
      </c>
      <c r="G10" s="25" t="str">
        <f>IFERROR(INDEX(Personnel[Egtim durumu],$K10),"")</f>
        <v>2 kere sinavden gecemedi</v>
      </c>
      <c r="H10" s="25" t="str">
        <f>IFERROR(INDEX(Personnel[Shohruh Not],$K10),"")</f>
        <v>-</v>
      </c>
      <c r="I10" s="26">
        <f ca="1">IFERROR(INDEX(Personnel[Дней в РФ],$K10),"")</f>
        <v>123</v>
      </c>
      <c r="K10" s="23">
        <f t="array" ref="K10">IFERROR(_xlfn.AGGREGATE(15,6,(ROW(Personnel[Egtim durumu])-MIN(ROW(Personnel[Egtim durumu]))+1)/((Personnel[Egtim durumu]="2 kere sinavden gecemedi")),ROWS($K$7:K10)),"")</f>
        <v>56</v>
      </c>
    </row>
    <row r="11" spans="1:11" ht="25.5" x14ac:dyDescent="0.25">
      <c r="A11" s="18">
        <f>IFERROR(INDEX(Personnel[Sicil],$K11),"")</f>
        <v>633695</v>
      </c>
      <c r="B11" s="17" t="str">
        <f>IFERROR(INDEX(Personnel[Adi Soyadi],$K11),"")</f>
        <v>Абдужабборов Мухаммадали Жамолиддин Угли</v>
      </c>
      <c r="C11" s="18" t="str">
        <f>IFERROR(INDEX(Personnel[Vatandaslik],$K11),"")</f>
        <v>УЗБЕКИСТАН</v>
      </c>
      <c r="D11" s="18" t="str">
        <f>IFERROR(INDEX(Personnel[Santiye],$K11),"")</f>
        <v>GPP Proje</v>
      </c>
      <c r="E11" s="18" t="str">
        <f>IFERROR(INDEX(Personnel[Ogretmen],$K11),"")</f>
        <v>Tyulina Natalya / Ziaztdinov Arslan</v>
      </c>
      <c r="F11" s="17" t="str">
        <f>IFERROR(INDEX(Personnel[[Sinav ]],$K11),"")</f>
        <v>05.05.2026 Sineva gitti gecemedi /14.05.2026 Sineva gitti gecemedi</v>
      </c>
      <c r="G11" s="17" t="str">
        <f>IFERROR(INDEX(Personnel[Egtim durumu],$K11),"")</f>
        <v>2 kere sinavden gecemedi</v>
      </c>
      <c r="H11" s="17" t="str">
        <f>IFERROR(INDEX(Personnel[Shohruh Not],$K11),"")</f>
        <v>-</v>
      </c>
      <c r="I11" s="22">
        <f ca="1">IFERROR(INDEX(Personnel[Дней в РФ],$K11),"")</f>
        <v>452</v>
      </c>
      <c r="K11" s="23">
        <f t="array" ref="K11">IFERROR(_xlfn.AGGREGATE(15,6,(ROW(Personnel[Egtim durumu])-MIN(ROW(Personnel[Egtim durumu]))+1)/((Personnel[Egtim durumu]="2 kere sinavden gecemedi")),ROWS($K$7:K11)),"")</f>
        <v>66</v>
      </c>
    </row>
    <row r="12" spans="1:11" ht="25.5" x14ac:dyDescent="0.25">
      <c r="A12" s="24">
        <f>IFERROR(INDEX(Personnel[Sicil],$K12),"")</f>
        <v>642729</v>
      </c>
      <c r="B12" s="25" t="str">
        <f>IFERROR(INDEX(Personnel[Adi Soyadi],$K12),"")</f>
        <v>Юлдошев Нуриддин Хасан Угли</v>
      </c>
      <c r="C12" s="24" t="str">
        <f>IFERROR(INDEX(Personnel[Vatandaslik],$K12),"")</f>
        <v>УЗБЕКИСТАН</v>
      </c>
      <c r="D12" s="24" t="str">
        <f>IFERROR(INDEX(Personnel[Santiye],$K12),"")</f>
        <v>GPP Proje</v>
      </c>
      <c r="E12" s="24" t="str">
        <f>IFERROR(INDEX(Personnel[Ogretmen],$K12),"")</f>
        <v>Ziazetdinov Arslan / Ziazetdinov Arslan</v>
      </c>
      <c r="F12" s="25" t="str">
        <f>IFERROR(INDEX(Personnel[[Sinav ]],$K12),"")</f>
        <v>07.05.2026 Sineva gitti gecemedi /14.05.2026 Sineva gitti gecemedi</v>
      </c>
      <c r="G12" s="25" t="str">
        <f>IFERROR(INDEX(Personnel[Egtim durumu],$K12),"")</f>
        <v>2 kere sinavden gecemedi</v>
      </c>
      <c r="H12" s="25" t="str">
        <f>IFERROR(INDEX(Personnel[Shohruh Not],$K12),"")</f>
        <v>Ic testimizden gecemiyor(Tekrar egitime alinacak)</v>
      </c>
      <c r="I12" s="26">
        <f ca="1">IFERROR(INDEX(Personnel[Дней в РФ],$K12),"")</f>
        <v>120</v>
      </c>
      <c r="K12" s="23">
        <f t="array" ref="K12">IFERROR(_xlfn.AGGREGATE(15,6,(ROW(Personnel[Egtim durumu])-MIN(ROW(Personnel[Egtim durumu]))+1)/((Personnel[Egtim durumu]="2 kere sinavden gecemedi")),ROWS($K$7:K12)),"")</f>
        <v>70</v>
      </c>
    </row>
    <row r="13" spans="1:11" ht="25.5" x14ac:dyDescent="0.25">
      <c r="A13" s="18">
        <f>IFERROR(INDEX(Personnel[Sicil],$K13),"")</f>
        <v>643090</v>
      </c>
      <c r="B13" s="17" t="str">
        <f>IFERROR(INDEX(Personnel[Adi Soyadi],$K13),"")</f>
        <v>Болтаев Шохзод Бахрон Угли</v>
      </c>
      <c r="C13" s="18" t="str">
        <f>IFERROR(INDEX(Personnel[Vatandaslik],$K13),"")</f>
        <v>УЗБЕКИСТАН</v>
      </c>
      <c r="D13" s="18" t="str">
        <f>IFERROR(INDEX(Personnel[Santiye],$K13),"")</f>
        <v>GPP Proje</v>
      </c>
      <c r="E13" s="18" t="str">
        <f>IFERROR(INDEX(Personnel[Ogretmen],$K13),"")</f>
        <v>Ziazetdinov Arslan / Ziazetdinov Arslan</v>
      </c>
      <c r="F13" s="17" t="str">
        <f>IFERROR(INDEX(Personnel[[Sinav ]],$K13),"")</f>
        <v>19.05.2026 Sineva gitti gecemedi /26.05.2026 Sineva gitti gecemedi</v>
      </c>
      <c r="G13" s="17" t="str">
        <f>IFERROR(INDEX(Personnel[Egtim durumu],$K13),"")</f>
        <v>2 kere sinavden gecemedi</v>
      </c>
      <c r="H13" s="17" t="str">
        <f>IFERROR(INDEX(Personnel[Shohruh Not],$K13),"")</f>
        <v xml:space="preserve">Egitime alindi 11.05.2026 Ic testimizden gecemiyor </v>
      </c>
      <c r="I13" s="22">
        <f ca="1">IFERROR(INDEX(Personnel[Дней в РФ],$K13),"")</f>
        <v>112</v>
      </c>
      <c r="K13" s="23">
        <f t="array" ref="K13">IFERROR(_xlfn.AGGREGATE(15,6,(ROW(Personnel[Egtim durumu])-MIN(ROW(Personnel[Egtim durumu]))+1)/((Personnel[Egtim durumu]="2 kere sinavden gecemedi")),ROWS($K$7:K13)),"")</f>
        <v>128</v>
      </c>
    </row>
    <row r="14" spans="1:11" ht="25.5" x14ac:dyDescent="0.25">
      <c r="A14" s="24">
        <f>IFERROR(INDEX(Personnel[Sicil],$K14),"")</f>
        <v>643238</v>
      </c>
      <c r="B14" s="25" t="str">
        <f>IFERROR(INDEX(Personnel[Adi Soyadi],$K14),"")</f>
        <v>Хасанов Икбол Абдумуталович</v>
      </c>
      <c r="C14" s="24" t="str">
        <f>IFERROR(INDEX(Personnel[Vatandaslik],$K14),"")</f>
        <v>УЗБЕКИСТАН</v>
      </c>
      <c r="D14" s="24" t="str">
        <f>IFERROR(INDEX(Personnel[Santiye],$K14),"")</f>
        <v>GPP Proje</v>
      </c>
      <c r="E14" s="24" t="str">
        <f>IFERROR(INDEX(Personnel[Ogretmen],$K14),"")</f>
        <v>Tyulina Natalya / Ziaztdinov Arslan</v>
      </c>
      <c r="F14" s="25" t="str">
        <f>IFERROR(INDEX(Personnel[[Sinav ]],$K14),"")</f>
        <v>20.05.2026 Sineva gitti gecemedi / 26.05.2026 Sineva gitti gecemedi</v>
      </c>
      <c r="G14" s="25" t="str">
        <f>IFERROR(INDEX(Personnel[Egtim durumu],$K14),"")</f>
        <v>2 kere sinavden gecemedi</v>
      </c>
      <c r="H14" s="25" t="str">
        <f>IFERROR(INDEX(Personnel[Shohruh Not],$K14),"")</f>
        <v>-</v>
      </c>
      <c r="I14" s="26">
        <f ca="1">IFERROR(INDEX(Personnel[Дней в РФ],$K14),"")</f>
        <v>109</v>
      </c>
      <c r="K14" s="23">
        <f t="array" ref="K14">IFERROR(_xlfn.AGGREGATE(15,6,(ROW(Personnel[Egtim durumu])-MIN(ROW(Personnel[Egtim durumu]))+1)/((Personnel[Egtim durumu]="2 kere sinavden gecemedi")),ROWS($K$7:K14)),"")</f>
        <v>152</v>
      </c>
    </row>
    <row r="15" spans="1:11" ht="51" x14ac:dyDescent="0.25">
      <c r="A15" s="18">
        <f>IFERROR(INDEX(Personnel[Sicil],$K15),"")</f>
        <v>643576</v>
      </c>
      <c r="B15" s="17" t="str">
        <f>IFERROR(INDEX(Personnel[Adi Soyadi],$K15),"")</f>
        <v xml:space="preserve">Уктамов Асадбек Голиб Угли </v>
      </c>
      <c r="C15" s="18" t="str">
        <f>IFERROR(INDEX(Personnel[Vatandaslik],$K15),"")</f>
        <v>УЗБЕКИСТАН</v>
      </c>
      <c r="D15" s="18" t="str">
        <f>IFERROR(INDEX(Personnel[Santiye],$K15),"")</f>
        <v>GPP Proje</v>
      </c>
      <c r="E15" s="18" t="str">
        <f>IFERROR(INDEX(Personnel[Ogretmen],$K15),"")</f>
        <v>Ziazetdinov Arslan / Ziazetdinov Arslan</v>
      </c>
      <c r="F15" s="17" t="str">
        <f>IFERROR(INDEX(Personnel[[Sinav ]],$K15),"")</f>
        <v>26.05.2026 Sineva gitti gecemedi /18.05.2026 Ic testimizden gecemedi</v>
      </c>
      <c r="G15" s="17" t="str">
        <f>IFERROR(INDEX(Personnel[Egtim durumu],$K15),"")</f>
        <v>2 kere sinavden gecemedi</v>
      </c>
      <c r="H15" s="17" t="str">
        <f>IFERROR(INDEX(Personnel[Shohruh Not],$K15),"")</f>
        <v xml:space="preserve">Ic testimizden gecemiyor(18.05.2026 egitime alindi)( egtim son guni gelmedi) Tekrar egitime alinacak </v>
      </c>
      <c r="I15" s="22">
        <f ca="1">IFERROR(INDEX(Personnel[Дней в РФ],$K15),"")</f>
        <v>103</v>
      </c>
      <c r="K15" s="23">
        <f t="array" ref="K15">IFERROR(_xlfn.AGGREGATE(15,6,(ROW(Personnel[Egtim durumu])-MIN(ROW(Personnel[Egtim durumu]))+1)/((Personnel[Egtim durumu]="2 kere sinavden gecemedi")),ROWS($K$7:K15)),"")</f>
        <v>223</v>
      </c>
    </row>
    <row r="16" spans="1:11" ht="38.25" x14ac:dyDescent="0.25">
      <c r="A16" s="24">
        <f>IFERROR(INDEX(Personnel[Sicil],$K16),"")</f>
        <v>643535</v>
      </c>
      <c r="B16" s="25" t="str">
        <f>IFERROR(INDEX(Personnel[Adi Soyadi],$K16),"")</f>
        <v>Исаков Рахматилло Илёсиддин Угли</v>
      </c>
      <c r="C16" s="24" t="str">
        <f>IFERROR(INDEX(Personnel[Vatandaslik],$K16),"")</f>
        <v>УЗБЕКИСТАН</v>
      </c>
      <c r="D16" s="24" t="str">
        <f>IFERROR(INDEX(Personnel[Santiye],$K16),"")</f>
        <v>GPP Proje</v>
      </c>
      <c r="E16" s="24" t="str">
        <f>IFERROR(INDEX(Personnel[Ogretmen],$K16),"")</f>
        <v>Ziazetdinov Arslan / Ziazetdinov Arslan</v>
      </c>
      <c r="F16" s="25" t="str">
        <f>IFERROR(INDEX(Personnel[[Sinav ]],$K16),"")</f>
        <v>26.05.2026 Sineva gitti gecemedi /18.05.2026 Ic testimizden gecemedi</v>
      </c>
      <c r="G16" s="25" t="str">
        <f>IFERROR(INDEX(Personnel[Egtim durumu],$K16),"")</f>
        <v>2 kere sinavden gecemedi</v>
      </c>
      <c r="H16" s="25" t="str">
        <f>IFERROR(INDEX(Personnel[Shohruh Not],$K16),"")</f>
        <v>Ic testimizden gecemiyor(18.05.2026 egitime alindi)  Tekrar egitime alinacak</v>
      </c>
      <c r="I16" s="26">
        <f ca="1">IFERROR(INDEX(Personnel[Дней в РФ],$K16),"")</f>
        <v>102</v>
      </c>
      <c r="K16" s="23">
        <f t="array" ref="K16">IFERROR(_xlfn.AGGREGATE(15,6,(ROW(Personnel[Egtim durumu])-MIN(ROW(Personnel[Egtim durumu]))+1)/((Personnel[Egtim durumu]="2 kere sinavden gecemedi")),ROWS($K$7:K16)),"")</f>
        <v>236</v>
      </c>
    </row>
    <row r="17" spans="1:11" ht="38.25" x14ac:dyDescent="0.25">
      <c r="A17" s="18">
        <f>IFERROR(INDEX(Personnel[Sicil],$K17),"")</f>
        <v>643560</v>
      </c>
      <c r="B17" s="17" t="str">
        <f>IFERROR(INDEX(Personnel[Adi Soyadi],$K17),"")</f>
        <v>Олимов Акмал Ёмгурович</v>
      </c>
      <c r="C17" s="18" t="str">
        <f>IFERROR(INDEX(Personnel[Vatandaslik],$K17),"")</f>
        <v>УЗБЕКИСТАН</v>
      </c>
      <c r="D17" s="18" t="str">
        <f>IFERROR(INDEX(Personnel[Santiye],$K17),"")</f>
        <v>GPP Proje</v>
      </c>
      <c r="E17" s="18" t="str">
        <f>IFERROR(INDEX(Personnel[Ogretmen],$K17),"")</f>
        <v>Tyulina Natalya / Ziaztdinov Arslan</v>
      </c>
      <c r="F17" s="17" t="str">
        <f>IFERROR(INDEX(Personnel[[Sinav ]],$K17),"")</f>
        <v>Ic testimizden gecemiyor  (Tarih 18.05.2026/22.05.2026 )</v>
      </c>
      <c r="G17" s="17" t="str">
        <f>IFERROR(INDEX(Personnel[Egtim durumu],$K17),"")</f>
        <v>2 kere sinavden gecemedi</v>
      </c>
      <c r="H17" s="17" t="str">
        <f>IFERROR(INDEX(Personnel[Shohruh Not],$K17),"")</f>
        <v xml:space="preserve">Ic testimizden gecemiyor(19.05.2026/22.05.2026) egitime alindi) </v>
      </c>
      <c r="I17" s="22">
        <f ca="1">IFERROR(INDEX(Personnel[Дней в РФ],$K17),"")</f>
        <v>103</v>
      </c>
      <c r="K17" s="23">
        <f t="array" ref="K17">IFERROR(_xlfn.AGGREGATE(15,6,(ROW(Personnel[Egtim durumu])-MIN(ROW(Personnel[Egtim durumu]))+1)/((Personnel[Egtim durumu]="2 kere sinavden gecemedi")),ROWS($K$7:K17)),"")</f>
        <v>252</v>
      </c>
    </row>
    <row r="18" spans="1:11" ht="38.25" x14ac:dyDescent="0.25">
      <c r="A18" s="24">
        <f>IFERROR(INDEX(Personnel[Sicil],$K18),"")</f>
        <v>643526</v>
      </c>
      <c r="B18" s="25" t="str">
        <f>IFERROR(INDEX(Personnel[Adi Soyadi],$K18),"")</f>
        <v>Валиев Саиджон Абдулхайевич</v>
      </c>
      <c r="C18" s="24" t="str">
        <f>IFERROR(INDEX(Personnel[Vatandaslik],$K18),"")</f>
        <v>УЗБЕКИСТАН</v>
      </c>
      <c r="D18" s="24" t="str">
        <f>IFERROR(INDEX(Personnel[Santiye],$K18),"")</f>
        <v>GPP Proje</v>
      </c>
      <c r="E18" s="24" t="str">
        <f>IFERROR(INDEX(Personnel[Ogretmen],$K18),"")</f>
        <v>Ziazetdinov Arslan / Ziazetdinov Arslan</v>
      </c>
      <c r="F18" s="25" t="str">
        <f>IFERROR(INDEX(Personnel[[Sinav ]],$K18),"")</f>
        <v>26.05.2026 Sineva gitti gecemedi/05.06.2026 Sineva gitti gecemedi</v>
      </c>
      <c r="G18" s="25" t="str">
        <f>IFERROR(INDEX(Personnel[Egtim durumu],$K18),"")</f>
        <v>2 kere sinavden gecemedi</v>
      </c>
      <c r="H18" s="25" t="str">
        <f>IFERROR(INDEX(Personnel[Shohruh Not],$K18),"")</f>
        <v>-</v>
      </c>
      <c r="I18" s="26">
        <f ca="1">IFERROR(INDEX(Personnel[Дней в РФ],$K18),"")</f>
        <v>102</v>
      </c>
      <c r="K18" s="23">
        <f t="array" ref="K18">IFERROR(_xlfn.AGGREGATE(15,6,(ROW(Personnel[Egtim durumu])-MIN(ROW(Personnel[Egtim durumu]))+1)/((Personnel[Egtim durumu]="2 kere sinavden gecemedi")),ROWS($K$7:K18)),"")</f>
        <v>268</v>
      </c>
    </row>
    <row r="19" spans="1:11" ht="25.5" x14ac:dyDescent="0.25">
      <c r="A19" s="18">
        <f>IFERROR(INDEX(Personnel[Sicil],$K19),"")</f>
        <v>643068</v>
      </c>
      <c r="B19" s="17" t="str">
        <f>IFERROR(INDEX(Personnel[Adi Soyadi],$K19),"")</f>
        <v>Очилов Умид Рахмонбердиевич</v>
      </c>
      <c r="C19" s="18" t="str">
        <f>IFERROR(INDEX(Personnel[Vatandaslik],$K19),"")</f>
        <v>УЗБЕКИСТАН</v>
      </c>
      <c r="D19" s="18" t="str">
        <f>IFERROR(INDEX(Personnel[Santiye],$K19),"")</f>
        <v>GPP Proje</v>
      </c>
      <c r="E19" s="18" t="str">
        <f>IFERROR(INDEX(Personnel[Ogretmen],$K19),"")</f>
        <v>Ziazetdinov Arslan / Ziazetdinov Arslan</v>
      </c>
      <c r="F19" s="17" t="str">
        <f>IFERROR(INDEX(Personnel[[Sinav ]],$K19),"")</f>
        <v>26.05.2026 Sineva gitti gecemedi /18.05.2026 Ic testimizden gecemedi</v>
      </c>
      <c r="G19" s="17" t="str">
        <f>IFERROR(INDEX(Personnel[Egtim durumu],$K19),"")</f>
        <v>2 kere sinavden gecemedi</v>
      </c>
      <c r="H19" s="17" t="str">
        <f>IFERROR(INDEX(Personnel[Shohruh Not],$K19),"")</f>
        <v>-</v>
      </c>
      <c r="I19" s="22">
        <f ca="1">IFERROR(INDEX(Personnel[Дней в РФ],$K19),"")</f>
        <v>112</v>
      </c>
      <c r="K19" s="23">
        <f t="array" ref="K19">IFERROR(_xlfn.AGGREGATE(15,6,(ROW(Personnel[Egtim durumu])-MIN(ROW(Personnel[Egtim durumu]))+1)/((Personnel[Egtim durumu]="2 kere sinavden gecemedi")),ROWS($K$7:K19)),"")</f>
        <v>284</v>
      </c>
    </row>
    <row r="20" spans="1:11" ht="38.25" x14ac:dyDescent="0.25">
      <c r="A20" s="24">
        <f>IFERROR(INDEX(Personnel[Sicil],$K20),"")</f>
        <v>613318</v>
      </c>
      <c r="B20" s="25" t="str">
        <f>IFERROR(INDEX(Personnel[Adi Soyadi],$K20),"")</f>
        <v>Батиров Алижан Якуббаевич</v>
      </c>
      <c r="C20" s="24" t="str">
        <f>IFERROR(INDEX(Personnel[Vatandaslik],$K20),"")</f>
        <v>УЗБЕКИСТАН</v>
      </c>
      <c r="D20" s="24" t="str">
        <f>IFERROR(INDEX(Personnel[Santiye],$K20),"")</f>
        <v>GPP Proje</v>
      </c>
      <c r="E20" s="24" t="str">
        <f>IFERROR(INDEX(Personnel[Ogretmen],$K20),"")</f>
        <v>Tyulina Natalya / Ziaztdinov Arslan</v>
      </c>
      <c r="F20" s="25" t="str">
        <f>IFERROR(INDEX(Personnel[[Sinav ]],$K20),"")</f>
        <v>Ic testimizden gecemiyor(26.05.2026 egitime alindi) (01.06.2026 egitime alindi)</v>
      </c>
      <c r="G20" s="25" t="str">
        <f>IFERROR(INDEX(Personnel[Egtim durumu],$K20),"")</f>
        <v>2 kere sinavden gecemedi</v>
      </c>
      <c r="H20" s="25" t="str">
        <f>IFERROR(INDEX(Personnel[Shohruh Not],$K20),"")</f>
        <v>-</v>
      </c>
      <c r="I20" s="26">
        <f ca="1">IFERROR(INDEX(Personnel[Дней в РФ],$K20),"")</f>
        <v>96</v>
      </c>
      <c r="K20" s="23">
        <f t="array" ref="K20">IFERROR(_xlfn.AGGREGATE(15,6,(ROW(Personnel[Egtim durumu])-MIN(ROW(Personnel[Egtim durumu]))+1)/((Personnel[Egtim durumu]="2 kere sinavden gecemedi")),ROWS($K$7:K20)),"")</f>
        <v>289</v>
      </c>
    </row>
    <row r="21" spans="1:11" ht="38.25" x14ac:dyDescent="0.25">
      <c r="A21" s="18">
        <f>IFERROR(INDEX(Personnel[Sicil],$K21),"")</f>
        <v>643771</v>
      </c>
      <c r="B21" s="17" t="str">
        <f>IFERROR(INDEX(Personnel[Adi Soyadi],$K21),"")</f>
        <v>Махсудов Зафар Икром Угли</v>
      </c>
      <c r="C21" s="18" t="str">
        <f>IFERROR(INDEX(Personnel[Vatandaslik],$K21),"")</f>
        <v>УЗБЕКИСТАН</v>
      </c>
      <c r="D21" s="18" t="str">
        <f>IFERROR(INDEX(Personnel[Santiye],$K21),"")</f>
        <v>GPP Proje</v>
      </c>
      <c r="E21" s="18" t="str">
        <f>IFERROR(INDEX(Personnel[Ogretmen],$K21),"")</f>
        <v>Tyulina Natalya / Ziaztdinov Arslan</v>
      </c>
      <c r="F21" s="17" t="str">
        <f>IFERROR(INDEX(Personnel[[Sinav ]],$K21),"")</f>
        <v>29.05.2026 Sineva gitti gecemedi (Ic testimizden gecemiyor 01.06.2026 egitime alindi)</v>
      </c>
      <c r="G21" s="17" t="str">
        <f>IFERROR(INDEX(Personnel[Egtim durumu],$K21),"")</f>
        <v>2 kere sinavden gecemedi</v>
      </c>
      <c r="H21" s="17" t="str">
        <f>IFERROR(INDEX(Personnel[Shohruh Not],$K21),"")</f>
        <v>-</v>
      </c>
      <c r="I21" s="22">
        <f ca="1">IFERROR(INDEX(Personnel[Дней в РФ],$K21),"")</f>
        <v>96</v>
      </c>
      <c r="K21" s="23">
        <f t="array" ref="K21">IFERROR(_xlfn.AGGREGATE(15,6,(ROW(Personnel[Egtim durumu])-MIN(ROW(Personnel[Egtim durumu]))+1)/((Personnel[Egtim durumu]="2 kere sinavden gecemedi")),ROWS($K$7:K21)),"")</f>
        <v>295</v>
      </c>
    </row>
    <row r="22" spans="1:11" ht="38.25" x14ac:dyDescent="0.25">
      <c r="A22" s="24">
        <f>IFERROR(INDEX(Personnel[Sicil],$K22),"")</f>
        <v>643755</v>
      </c>
      <c r="B22" s="25" t="str">
        <f>IFERROR(INDEX(Personnel[Adi Soyadi],$K22),"")</f>
        <v>Зокиров Исомиддин Собирджонович</v>
      </c>
      <c r="C22" s="24" t="str">
        <f>IFERROR(INDEX(Personnel[Vatandaslik],$K22),"")</f>
        <v>ТАДЖИКИСТАН</v>
      </c>
      <c r="D22" s="24" t="str">
        <f>IFERROR(INDEX(Personnel[Santiye],$K22),"")</f>
        <v>GPP Proje</v>
      </c>
      <c r="E22" s="24" t="str">
        <f>IFERROR(INDEX(Personnel[Ogretmen],$K22),"")</f>
        <v>Tyulina Natalya / Ziaztdinov Arslan</v>
      </c>
      <c r="F22" s="25" t="str">
        <f>IFERROR(INDEX(Personnel[[Sinav ]],$K22),"")</f>
        <v>Ic testimizden gecemiyor(26.05.2026 egitime alindi)  (01.06.2026 egitime alindi)</v>
      </c>
      <c r="G22" s="25" t="str">
        <f>IFERROR(INDEX(Personnel[Egtim durumu],$K22),"")</f>
        <v>2 kere sinavden gecemedi</v>
      </c>
      <c r="H22" s="25" t="str">
        <f>IFERROR(INDEX(Personnel[Shohruh Not],$K22),"")</f>
        <v>-</v>
      </c>
      <c r="I22" s="26">
        <f ca="1">IFERROR(INDEX(Personnel[Дней в РФ],$K22),"")</f>
        <v>96</v>
      </c>
      <c r="K22" s="23">
        <f t="array" ref="K22">IFERROR(_xlfn.AGGREGATE(15,6,(ROW(Personnel[Egtim durumu])-MIN(ROW(Personnel[Egtim durumu]))+1)/((Personnel[Egtim durumu]="2 kere sinavden gecemedi")),ROWS($K$7:K22)),"")</f>
        <v>304</v>
      </c>
    </row>
    <row r="23" spans="1:11" x14ac:dyDescent="0.25">
      <c r="A23" s="18">
        <f>IFERROR(INDEX(Personnel[Sicil],$K23),"")</f>
        <v>643852</v>
      </c>
      <c r="B23" s="17" t="str">
        <f>IFERROR(INDEX(Personnel[Adi Soyadi],$K23),"")</f>
        <v>Нумонов Хусан Голиб Угли</v>
      </c>
      <c r="C23" s="18" t="str">
        <f>IFERROR(INDEX(Personnel[Vatandaslik],$K23),"")</f>
        <v>УЗБЕКИСТАН</v>
      </c>
      <c r="D23" s="18" t="str">
        <f>IFERROR(INDEX(Personnel[Santiye],$K23),"")</f>
        <v>GPP Proje</v>
      </c>
      <c r="E23" s="18" t="str">
        <f>IFERROR(INDEX(Personnel[Ogretmen],$K23),"")</f>
        <v>Tyulina Natalya / Ziaztdinov Arslan</v>
      </c>
      <c r="F23" s="17" t="str">
        <f>IFERROR(INDEX(Personnel[[Sinav ]],$K23),"")</f>
        <v>29.05.2026 Sineva gitti gecemedi</v>
      </c>
      <c r="G23" s="17" t="str">
        <f>IFERROR(INDEX(Personnel[Egtim durumu],$K23),"")</f>
        <v>2 kere sinavden gecemedi</v>
      </c>
      <c r="H23" s="17" t="str">
        <f>IFERROR(INDEX(Personnel[Shohruh Not],$K23),"")</f>
        <v>Petera gitip gelacak sinav icin</v>
      </c>
      <c r="I23" s="22">
        <f ca="1">IFERROR(INDEX(Personnel[Дней в РФ],$K23),"")</f>
        <v>96</v>
      </c>
      <c r="K23" s="23">
        <f t="array" ref="K23">IFERROR(_xlfn.AGGREGATE(15,6,(ROW(Personnel[Egtim durumu])-MIN(ROW(Personnel[Egtim durumu]))+1)/((Personnel[Egtim durumu]="2 kere sinavden gecemedi")),ROWS($K$7:K23)),"")</f>
        <v>322</v>
      </c>
    </row>
    <row r="24" spans="1:11" ht="38.25" x14ac:dyDescent="0.25">
      <c r="A24" s="24">
        <f>IFERROR(INDEX(Personnel[Sicil],$K24),"")</f>
        <v>636999</v>
      </c>
      <c r="B24" s="25" t="str">
        <f>IFERROR(INDEX(Personnel[Adi Soyadi],$K24),"")</f>
        <v>Садинов Хайрилло Акмалович</v>
      </c>
      <c r="C24" s="24" t="str">
        <f>IFERROR(INDEX(Personnel[Vatandaslik],$K24),"")</f>
        <v>УЗБЕКИСТАН</v>
      </c>
      <c r="D24" s="24" t="str">
        <f>IFERROR(INDEX(Personnel[Santiye],$K24),"")</f>
        <v>GPP Proje</v>
      </c>
      <c r="E24" s="24" t="str">
        <f>IFERROR(INDEX(Personnel[Ogretmen],$K24),"")</f>
        <v>Tyulina Natalya / Ziaztdinov Arslan</v>
      </c>
      <c r="F24" s="25" t="str">
        <f>IFERROR(INDEX(Personnel[[Sinav ]],$K24),"")</f>
        <v>Ic testimizden gecemiyor(27.05.2026 egitime alindi)/  05.06.2026 Sineva gitti gecemedi</v>
      </c>
      <c r="G24" s="25" t="str">
        <f>IFERROR(INDEX(Personnel[Egtim durumu],$K24),"")</f>
        <v>2 kere sinavden gecemedi</v>
      </c>
      <c r="H24" s="25" t="str">
        <f>IFERROR(INDEX(Personnel[Shohruh Not],$K24),"")</f>
        <v>-</v>
      </c>
      <c r="I24" s="26">
        <f ca="1">IFERROR(INDEX(Personnel[Дней в РФ],$K24),"")</f>
        <v>96</v>
      </c>
      <c r="K24" s="23">
        <f t="array" ref="K24">IFERROR(_xlfn.AGGREGATE(15,6,(ROW(Personnel[Egtim durumu])-MIN(ROW(Personnel[Egtim durumu]))+1)/((Personnel[Egtim durumu]="2 kere sinavden gecemedi")),ROWS($K$7:K24)),"")</f>
        <v>326</v>
      </c>
    </row>
    <row r="25" spans="1:11" ht="25.5" x14ac:dyDescent="0.25">
      <c r="A25" s="18">
        <f>IFERROR(INDEX(Personnel[Sicil],$K25),"")</f>
        <v>643860</v>
      </c>
      <c r="B25" s="17" t="str">
        <f>IFERROR(INDEX(Personnel[Adi Soyadi],$K25),"")</f>
        <v>Тошпулатов Озодбек Насриддин Угли</v>
      </c>
      <c r="C25" s="18" t="str">
        <f>IFERROR(INDEX(Personnel[Vatandaslik],$K25),"")</f>
        <v>УЗБЕКИСТАН</v>
      </c>
      <c r="D25" s="18" t="str">
        <f>IFERROR(INDEX(Personnel[Santiye],$K25),"")</f>
        <v>GPP Proje</v>
      </c>
      <c r="E25" s="18" t="str">
        <f>IFERROR(INDEX(Personnel[Ogretmen],$K25),"")</f>
        <v>Tyulina Natalya / Ziaztdinov Arslan</v>
      </c>
      <c r="F25" s="17" t="str">
        <f>IFERROR(INDEX(Personnel[[Sinav ]],$K25),"")</f>
        <v>29.05.2026 Sineva gitti gecemedi /16.06.2026 Sineva gitti gecemedi</v>
      </c>
      <c r="G25" s="17" t="str">
        <f>IFERROR(INDEX(Personnel[Egtim durumu],$K25),"")</f>
        <v>2 kere sinavden gecemedi</v>
      </c>
      <c r="H25" s="17" t="str">
        <f>IFERROR(INDEX(Personnel[Shohruh Not],$K25),"")</f>
        <v>bilgi verildi derse gimedi</v>
      </c>
      <c r="I25" s="22">
        <f ca="1">IFERROR(INDEX(Personnel[Дней в РФ],$K25),"")</f>
        <v>96</v>
      </c>
      <c r="K25" s="23">
        <f t="array" ref="K25">IFERROR(_xlfn.AGGREGATE(15,6,(ROW(Personnel[Egtim durumu])-MIN(ROW(Personnel[Egtim durumu]))+1)/((Personnel[Egtim durumu]="2 kere sinavden gecemedi")),ROWS($K$7:K25)),"")</f>
        <v>328</v>
      </c>
    </row>
    <row r="26" spans="1:11" ht="25.5" x14ac:dyDescent="0.25">
      <c r="A26" s="24">
        <f>IFERROR(INDEX(Personnel[Sicil],$K26),"")</f>
        <v>406918</v>
      </c>
      <c r="B26" s="25" t="str">
        <f>IFERROR(INDEX(Personnel[Adi Soyadi],$K26),"")</f>
        <v>Мамажонов Икболжон Хурсанбоевич</v>
      </c>
      <c r="C26" s="24" t="str">
        <f>IFERROR(INDEX(Personnel[Vatandaslik],$K26),"")</f>
        <v>УЗБЕКИСТАН</v>
      </c>
      <c r="D26" s="24" t="str">
        <f>IFERROR(INDEX(Personnel[Santiye],$K26),"")</f>
        <v>GPP Proje</v>
      </c>
      <c r="E26" s="24" t="str">
        <f>IFERROR(INDEX(Personnel[Ogretmen],$K26),"")</f>
        <v>Tyulina Natalya / Ziaztdinov Arslan</v>
      </c>
      <c r="F26" s="25" t="str">
        <f>IFERROR(INDEX(Personnel[[Sinav ]],$K26),"")</f>
        <v xml:space="preserve">(Ic testimizden gecemedi 27.05.2026) 03.06.2026 Sineva gitti gecemedi </v>
      </c>
      <c r="G26" s="25" t="str">
        <f>IFERROR(INDEX(Personnel[Egtim durumu],$K26),"")</f>
        <v>2 kere sinavden gecemedi</v>
      </c>
      <c r="H26" s="25" t="str">
        <f>IFERROR(INDEX(Personnel[Shohruh Not],$K26),"")</f>
        <v>-</v>
      </c>
      <c r="I26" s="26">
        <f ca="1">IFERROR(INDEX(Personnel[Дней в РФ],$K26),"")</f>
        <v>94</v>
      </c>
      <c r="K26" s="23">
        <f t="array" ref="K26">IFERROR(_xlfn.AGGREGATE(15,6,(ROW(Personnel[Egtim durumu])-MIN(ROW(Personnel[Egtim durumu]))+1)/((Personnel[Egtim durumu]="2 kere sinavden gecemedi")),ROWS($K$7:K26)),"")</f>
        <v>329</v>
      </c>
    </row>
    <row r="27" spans="1:11" ht="38.25" x14ac:dyDescent="0.25">
      <c r="A27" s="18">
        <f>IFERROR(INDEX(Personnel[Sicil],$K27),"")</f>
        <v>608606</v>
      </c>
      <c r="B27" s="17" t="str">
        <f>IFERROR(INDEX(Personnel[Adi Soyadi],$K27),"")</f>
        <v>Диёров Дилшод Мусурмонович</v>
      </c>
      <c r="C27" s="18" t="str">
        <f>IFERROR(INDEX(Personnel[Vatandaslik],$K27),"")</f>
        <v>УЗБЕКИСТАН</v>
      </c>
      <c r="D27" s="18" t="str">
        <f>IFERROR(INDEX(Personnel[Santiye],$K27),"")</f>
        <v>GPP Proje</v>
      </c>
      <c r="E27" s="18" t="str">
        <f>IFERROR(INDEX(Personnel[Ogretmen],$K27),"")</f>
        <v>Ziazetdinov Arslan / Ziazetdinov Arslan</v>
      </c>
      <c r="F27" s="17" t="str">
        <f>IFERROR(INDEX(Personnel[[Sinav ]],$K27),"")</f>
        <v>Ic testimizden gecemiyor (06.06.2026 egitime alindi)/16.06.2026 Sineva gitti gecemedi</v>
      </c>
      <c r="G27" s="17" t="str">
        <f>IFERROR(INDEX(Personnel[Egtim durumu],$K27),"")</f>
        <v>2 kere sinavden gecemedi</v>
      </c>
      <c r="H27" s="17" t="str">
        <f>IFERROR(INDEX(Personnel[Shohruh Not],$K27),"")</f>
        <v>-</v>
      </c>
      <c r="I27" s="22">
        <f ca="1">IFERROR(INDEX(Personnel[Дней в РФ],$K27),"")</f>
        <v>115</v>
      </c>
      <c r="K27" s="23">
        <f t="array" ref="K27">IFERROR(_xlfn.AGGREGATE(15,6,(ROW(Personnel[Egtim durumu])-MIN(ROW(Personnel[Egtim durumu]))+1)/((Personnel[Egtim durumu]="2 kere sinavden gecemedi")),ROWS($K$7:K27)),"")</f>
        <v>339</v>
      </c>
    </row>
    <row r="28" spans="1:11" ht="38.25" x14ac:dyDescent="0.25">
      <c r="A28" s="24">
        <f>IFERROR(INDEX(Personnel[Sicil],$K28),"")</f>
        <v>644005</v>
      </c>
      <c r="B28" s="25" t="str">
        <f>IFERROR(INDEX(Personnel[Adi Soyadi],$K28),"")</f>
        <v>Раупов Рустамбек Гиёс Угли</v>
      </c>
      <c r="C28" s="24" t="str">
        <f>IFERROR(INDEX(Personnel[Vatandaslik],$K28),"")</f>
        <v>УЗБЕКИСТАН</v>
      </c>
      <c r="D28" s="24" t="str">
        <f>IFERROR(INDEX(Personnel[Santiye],$K28),"")</f>
        <v>GPP Proje</v>
      </c>
      <c r="E28" s="24" t="str">
        <f>IFERROR(INDEX(Personnel[Ogretmen],$K28),"")</f>
        <v>Ziazetdinov Arslan / Ziazetdinov Arslan</v>
      </c>
      <c r="F28" s="25" t="str">
        <f>IFERROR(INDEX(Personnel[[Sinav ]],$K28),"")</f>
        <v>Ic testimizden gecemiyor (01.06.2026 egitime alindi)(06.06.2026 egitime alindi)</v>
      </c>
      <c r="G28" s="25" t="str">
        <f>IFERROR(INDEX(Personnel[Egtim durumu],$K28),"")</f>
        <v>2 kere sinavden gecemedi</v>
      </c>
      <c r="H28" s="25" t="str">
        <f>IFERROR(INDEX(Personnel[Shohruh Not],$K28),"")</f>
        <v>-</v>
      </c>
      <c r="I28" s="26">
        <f ca="1">IFERROR(INDEX(Personnel[Дней в РФ],$K28),"")</f>
        <v>89</v>
      </c>
      <c r="K28" s="23">
        <f t="array" ref="K28">IFERROR(_xlfn.AGGREGATE(15,6,(ROW(Personnel[Egtim durumu])-MIN(ROW(Personnel[Egtim durumu]))+1)/((Personnel[Egtim durumu]="2 kere sinavden gecemedi")),ROWS($K$7:K28)),"")</f>
        <v>344</v>
      </c>
    </row>
    <row r="29" spans="1:11" ht="38.25" x14ac:dyDescent="0.25">
      <c r="A29" s="18">
        <f>IFERROR(INDEX(Personnel[Sicil],$K29),"")</f>
        <v>643838</v>
      </c>
      <c r="B29" s="17" t="str">
        <f>IFERROR(INDEX(Personnel[Adi Soyadi],$K29),"")</f>
        <v>Жураев Шерали Нортайевич</v>
      </c>
      <c r="C29" s="18" t="str">
        <f>IFERROR(INDEX(Personnel[Vatandaslik],$K29),"")</f>
        <v>УЗБЕКИСТАН</v>
      </c>
      <c r="D29" s="18" t="str">
        <f>IFERROR(INDEX(Personnel[Santiye],$K29),"")</f>
        <v>GPP Proje</v>
      </c>
      <c r="E29" s="18" t="str">
        <f>IFERROR(INDEX(Personnel[Ogretmen],$K29),"")</f>
        <v>Ziazetdinov Arslan / Ziazetdinov Arslan</v>
      </c>
      <c r="F29" s="17" t="str">
        <f>IFERROR(INDEX(Personnel[[Sinav ]],$K29),"")</f>
        <v>Ic testimizden gecemiyor (01.06.2026 egitime alindi)(09.06.2026 Sineva gitti gecemedi)</v>
      </c>
      <c r="G29" s="17" t="str">
        <f>IFERROR(INDEX(Personnel[Egtim durumu],$K29),"")</f>
        <v>2 kere sinavden gecemedi</v>
      </c>
      <c r="H29" s="17" t="str">
        <f>IFERROR(INDEX(Personnel[Shohruh Not],$K29),"")</f>
        <v>-</v>
      </c>
      <c r="I29" s="22">
        <f ca="1">IFERROR(INDEX(Personnel[Дней в РФ],$K29),"")</f>
        <v>96</v>
      </c>
      <c r="K29" s="23">
        <f t="array" ref="K29">IFERROR(_xlfn.AGGREGATE(15,6,(ROW(Personnel[Egtim durumu])-MIN(ROW(Personnel[Egtim durumu]))+1)/((Personnel[Egtim durumu]="2 kere sinavden gecemedi")),ROWS($K$7:K29)),"")</f>
        <v>346</v>
      </c>
    </row>
    <row r="30" spans="1:11" ht="51" x14ac:dyDescent="0.25">
      <c r="A30" s="24">
        <f>IFERROR(INDEX(Personnel[Sicil],$K30),"")</f>
        <v>472483</v>
      </c>
      <c r="B30" s="25" t="str">
        <f>IFERROR(INDEX(Personnel[Adi Soyadi],$K30),"")</f>
        <v>Кодиров Улугбек Хакимжонович</v>
      </c>
      <c r="C30" s="24" t="str">
        <f>IFERROR(INDEX(Personnel[Vatandaslik],$K30),"")</f>
        <v>УЗБЕКИСТАН</v>
      </c>
      <c r="D30" s="24" t="str">
        <f>IFERROR(INDEX(Personnel[Santiye],$K30),"")</f>
        <v>GPP Proje</v>
      </c>
      <c r="E30" s="24" t="str">
        <f>IFERROR(INDEX(Personnel[Ogretmen],$K30),"")</f>
        <v>Ziazetdinov Arslan / Ziazetdinov Arslan</v>
      </c>
      <c r="F30" s="25" t="str">
        <f>IFERROR(INDEX(Personnel[[Sinav ]],$K30),"")</f>
        <v>Ic testimizden gecemiyor (01.06.2026 egitime alindi)(09.06.2026 Sineva gitti gecemedi)16.06.2026 Sineva gitti gecemedi</v>
      </c>
      <c r="G30" s="25" t="str">
        <f>IFERROR(INDEX(Personnel[Egtim durumu],$K30),"")</f>
        <v>2 kere sinavden gecemedi</v>
      </c>
      <c r="H30" s="25" t="str">
        <f>IFERROR(INDEX(Personnel[Shohruh Not],$K30),"")</f>
        <v>-</v>
      </c>
      <c r="I30" s="26">
        <f ca="1">IFERROR(INDEX(Personnel[Дней в РФ],$K30),"")</f>
        <v>87</v>
      </c>
      <c r="K30" s="23">
        <f t="array" ref="K30">IFERROR(_xlfn.AGGREGATE(15,6,(ROW(Personnel[Egtim durumu])-MIN(ROW(Personnel[Egtim durumu]))+1)/((Personnel[Egtim durumu]="2 kere sinavden gecemedi")),ROWS($K$7:K30)),"")</f>
        <v>354</v>
      </c>
    </row>
    <row r="31" spans="1:11" ht="38.25" x14ac:dyDescent="0.25">
      <c r="A31" s="18">
        <f>IFERROR(INDEX(Personnel[Sicil],$K31),"")</f>
        <v>608713</v>
      </c>
      <c r="B31" s="17" t="str">
        <f>IFERROR(INDEX(Personnel[Adi Soyadi],$K31),"")</f>
        <v>Исмоилов Хикматулло Караматуллоевич</v>
      </c>
      <c r="C31" s="18" t="str">
        <f>IFERROR(INDEX(Personnel[Vatandaslik],$K31),"")</f>
        <v>ТАДЖИКИСТАН</v>
      </c>
      <c r="D31" s="18" t="str">
        <f>IFERROR(INDEX(Personnel[Santiye],$K31),"")</f>
        <v>GPP Proje</v>
      </c>
      <c r="E31" s="18" t="str">
        <f>IFERROR(INDEX(Personnel[Ogretmen],$K31),"")</f>
        <v>Ziazetdinov Arslan / Ziazetdinov Arslan</v>
      </c>
      <c r="F31" s="17" t="str">
        <f>IFERROR(INDEX(Personnel[[Sinav ]],$K31),"")</f>
        <v>19.06.2026 Sineva gitti gecemedi/23.06.2026 Sineva gitti gecemedi</v>
      </c>
      <c r="G31" s="17" t="str">
        <f>IFERROR(INDEX(Personnel[Egtim durumu],$K31),"")</f>
        <v>2 kere sinavden gecemedi</v>
      </c>
      <c r="H31" s="17" t="str">
        <f>IFERROR(INDEX(Personnel[Shohruh Not],$K31),"")</f>
        <v>-</v>
      </c>
      <c r="I31" s="22">
        <f ca="1">IFERROR(INDEX(Personnel[Дней в РФ],$K31),"")</f>
        <v>413</v>
      </c>
      <c r="K31" s="23">
        <f t="array" ref="K31">IFERROR(_xlfn.AGGREGATE(15,6,(ROW(Personnel[Egtim durumu])-MIN(ROW(Personnel[Egtim durumu]))+1)/((Personnel[Egtim durumu]="2 kere sinavden gecemedi")),ROWS($K$7:K31)),"")</f>
        <v>361</v>
      </c>
    </row>
    <row r="32" spans="1:11" ht="25.5" x14ac:dyDescent="0.25">
      <c r="A32" s="24">
        <f>IFERROR(INDEX(Personnel[Sicil],$K32),"")</f>
        <v>643466</v>
      </c>
      <c r="B32" s="25" t="str">
        <f>IFERROR(INDEX(Personnel[Adi Soyadi],$K32),"")</f>
        <v>Сафаров Дониёр Махмуд Угли</v>
      </c>
      <c r="C32" s="24" t="str">
        <f>IFERROR(INDEX(Personnel[Vatandaslik],$K32),"")</f>
        <v>УЗБЕКИСТАН</v>
      </c>
      <c r="D32" s="24" t="str">
        <f>IFERROR(INDEX(Personnel[Santiye],$K32),"")</f>
        <v>GPP Proje</v>
      </c>
      <c r="E32" s="24" t="str">
        <f>IFERROR(INDEX(Personnel[Ogretmen],$K32),"")</f>
        <v>Tyulina Natalya / Ziaztdinov Arslan</v>
      </c>
      <c r="F32" s="25" t="str">
        <f>IFERROR(INDEX(Personnel[[Sinav ]],$K32),"")</f>
        <v>03.06.2026 Sineva gitti gecemedi / 10.06.2026 Sineva gitti gecemedi</v>
      </c>
      <c r="G32" s="25" t="str">
        <f>IFERROR(INDEX(Personnel[Egtim durumu],$K32),"")</f>
        <v>2 kere sinavden gecemedi</v>
      </c>
      <c r="H32" s="25" t="str">
        <f>IFERROR(INDEX(Personnel[Shohruh Not],$K32),"")</f>
        <v>-</v>
      </c>
      <c r="I32" s="26">
        <f ca="1">IFERROR(INDEX(Personnel[Дней в РФ],$K32),"")</f>
        <v>105</v>
      </c>
      <c r="K32" s="23">
        <f t="array" ref="K32">IFERROR(_xlfn.AGGREGATE(15,6,(ROW(Personnel[Egtim durumu])-MIN(ROW(Personnel[Egtim durumu]))+1)/((Personnel[Egtim durumu]="2 kere sinavden gecemedi")),ROWS($K$7:K32)),"")</f>
        <v>362</v>
      </c>
    </row>
    <row r="33" spans="1:11" ht="38.25" x14ac:dyDescent="0.25">
      <c r="A33" s="18">
        <f>IFERROR(INDEX(Personnel[Sicil],$K33),"")</f>
        <v>644171</v>
      </c>
      <c r="B33" s="17" t="str">
        <f>IFERROR(INDEX(Personnel[Adi Soyadi],$K33),"")</f>
        <v xml:space="preserve">Бозоров Соатмурод Жуманазар Угли </v>
      </c>
      <c r="C33" s="18" t="str">
        <f>IFERROR(INDEX(Personnel[Vatandaslik],$K33),"")</f>
        <v>УЗБЕКИСТАН</v>
      </c>
      <c r="D33" s="18" t="str">
        <f>IFERROR(INDEX(Personnel[Santiye],$K33),"")</f>
        <v>GPP Proje</v>
      </c>
      <c r="E33" s="18" t="str">
        <f>IFERROR(INDEX(Personnel[Ogretmen],$K33),"")</f>
        <v>Ziazetdinov Arslan / Ziazetdinov Arslan</v>
      </c>
      <c r="F33" s="17" t="str">
        <f>IFERROR(INDEX(Personnel[[Sinav ]],$K33),"")</f>
        <v>Ic testimizden gecemiyor (06.06.2026 egitime alindi)/16.06.2026 Sineva gitti gecemedi</v>
      </c>
      <c r="G33" s="17" t="str">
        <f>IFERROR(INDEX(Personnel[Egtim durumu],$K33),"")</f>
        <v>2 kere sinavden gecemedi</v>
      </c>
      <c r="H33" s="17" t="str">
        <f>IFERROR(INDEX(Personnel[Shohruh Not],$K33),"")</f>
        <v>-</v>
      </c>
      <c r="I33" s="22">
        <f ca="1">IFERROR(INDEX(Personnel[Дней в РФ],$K33),"")</f>
        <v>82</v>
      </c>
      <c r="K33" s="23">
        <f t="array" ref="K33">IFERROR(_xlfn.AGGREGATE(15,6,(ROW(Personnel[Egtim durumu])-MIN(ROW(Personnel[Egtim durumu]))+1)/((Personnel[Egtim durumu]="2 kere sinavden gecemedi")),ROWS($K$7:K33)),"")</f>
        <v>370</v>
      </c>
    </row>
    <row r="34" spans="1:11" ht="25.5" x14ac:dyDescent="0.25">
      <c r="A34" s="24">
        <f>IFERROR(INDEX(Personnel[Sicil],$K34),"")</f>
        <v>503511</v>
      </c>
      <c r="B34" s="25" t="str">
        <f>IFERROR(INDEX(Personnel[Adi Soyadi],$K34),"")</f>
        <v>Чоршанбиев Музаффар Аширович</v>
      </c>
      <c r="C34" s="24" t="str">
        <f>IFERROR(INDEX(Personnel[Vatandaslik],$K34),"")</f>
        <v>УЗБЕКИСТАН</v>
      </c>
      <c r="D34" s="24" t="str">
        <f>IFERROR(INDEX(Personnel[Santiye],$K34),"")</f>
        <v>GPP Proje</v>
      </c>
      <c r="E34" s="24" t="str">
        <f>IFERROR(INDEX(Personnel[Ogretmen],$K34),"")</f>
        <v>Ziazetdinov Arslan / Ziazetdinov Arslan</v>
      </c>
      <c r="F34" s="25" t="str">
        <f>IFERROR(INDEX(Personnel[[Sinav ]],$K34),"")</f>
        <v>16.06.2026 Sineva gitti gecemedi /19.06.2026 Sineva gitti gecemedi</v>
      </c>
      <c r="G34" s="25" t="str">
        <f>IFERROR(INDEX(Personnel[Egtim durumu],$K34),"")</f>
        <v>2 kere sinavden gecemedi</v>
      </c>
      <c r="H34" s="25" t="str">
        <f>IFERROR(INDEX(Personnel[Shohruh Not],$K34),"")</f>
        <v>-</v>
      </c>
      <c r="I34" s="26">
        <f ca="1">IFERROR(INDEX(Personnel[Дней в РФ],$K34),"")</f>
        <v>81</v>
      </c>
      <c r="K34" s="23">
        <f t="array" ref="K34">IFERROR(_xlfn.AGGREGATE(15,6,(ROW(Personnel[Egtim durumu])-MIN(ROW(Personnel[Egtim durumu]))+1)/((Personnel[Egtim durumu]="2 kere sinavden gecemedi")),ROWS($K$7:K34)),"")</f>
        <v>385</v>
      </c>
    </row>
    <row r="35" spans="1:11" ht="25.5" x14ac:dyDescent="0.25">
      <c r="A35" s="18">
        <f>IFERROR(INDEX(Personnel[Sicil],$K35),"")</f>
        <v>593305</v>
      </c>
      <c r="B35" s="17" t="str">
        <f>IFERROR(INDEX(Personnel[Adi Soyadi],$K35),"")</f>
        <v>Чоршанбиев Дилмурод Ашурович</v>
      </c>
      <c r="C35" s="18" t="str">
        <f>IFERROR(INDEX(Personnel[Vatandaslik],$K35),"")</f>
        <v>УЗБЕКИСТАН</v>
      </c>
      <c r="D35" s="18" t="str">
        <f>IFERROR(INDEX(Personnel[Santiye],$K35),"")</f>
        <v>GPP Proje</v>
      </c>
      <c r="E35" s="18" t="str">
        <f>IFERROR(INDEX(Personnel[Ogretmen],$K35),"")</f>
        <v>Ziazetdinov Arslan / Ziazetdinov Arslan</v>
      </c>
      <c r="F35" s="17" t="str">
        <f>IFERROR(INDEX(Personnel[[Sinav ]],$K35),"")</f>
        <v>16.06.2026 Sineva gitti gecemedi /19.06.2026 Sineva gitti gecemedi</v>
      </c>
      <c r="G35" s="17" t="str">
        <f>IFERROR(INDEX(Personnel[Egtim durumu],$K35),"")</f>
        <v>2 kere sinavden gecemedi</v>
      </c>
      <c r="H35" s="17" t="str">
        <f>IFERROR(INDEX(Personnel[Shohruh Not],$K35),"")</f>
        <v>-</v>
      </c>
      <c r="I35" s="22">
        <f ca="1">IFERROR(INDEX(Personnel[Дней в РФ],$K35),"")</f>
        <v>81</v>
      </c>
      <c r="K35" s="23">
        <f t="array" ref="K35">IFERROR(_xlfn.AGGREGATE(15,6,(ROW(Personnel[Egtim durumu])-MIN(ROW(Personnel[Egtim durumu]))+1)/((Personnel[Egtim durumu]="2 kere sinavden gecemedi")),ROWS($K$7:K35)),"")</f>
        <v>386</v>
      </c>
    </row>
    <row r="36" spans="1:11" ht="25.5" x14ac:dyDescent="0.25">
      <c r="A36" s="24">
        <f>IFERROR(INDEX(Personnel[Sicil],$K36),"")</f>
        <v>644266</v>
      </c>
      <c r="B36" s="25" t="str">
        <f>IFERROR(INDEX(Personnel[Adi Soyadi],$K36),"")</f>
        <v xml:space="preserve">Собиров Шохзод Равшан Угли </v>
      </c>
      <c r="C36" s="24" t="str">
        <f>IFERROR(INDEX(Personnel[Vatandaslik],$K36),"")</f>
        <v>УЗБЕКИСТАН</v>
      </c>
      <c r="D36" s="24" t="str">
        <f>IFERROR(INDEX(Personnel[Santiye],$K36),"")</f>
        <v>GPP Proje</v>
      </c>
      <c r="E36" s="24" t="str">
        <f>IFERROR(INDEX(Personnel[Ogretmen],$K36),"")</f>
        <v>Ziazetdinov Arslan / Ziazetdinov Arslan</v>
      </c>
      <c r="F36" s="25" t="str">
        <f>IFERROR(INDEX(Personnel[[Sinav ]],$K36),"")</f>
        <v>19.06.2026 Sineva gitti gecemedi /23.06.2026 Sineva gitti gecemedi</v>
      </c>
      <c r="G36" s="25" t="str">
        <f>IFERROR(INDEX(Personnel[Egtim durumu],$K36),"")</f>
        <v>2 kere sinavden gecemedi</v>
      </c>
      <c r="H36" s="25" t="str">
        <f>IFERROR(INDEX(Personnel[Shohruh Not],$K36),"")</f>
        <v>-</v>
      </c>
      <c r="I36" s="26">
        <f ca="1">IFERROR(INDEX(Personnel[Дней в РФ],$K36),"")</f>
        <v>78</v>
      </c>
      <c r="K36" s="23">
        <f t="array" ref="K36">IFERROR(_xlfn.AGGREGATE(15,6,(ROW(Personnel[Egtim durumu])-MIN(ROW(Personnel[Egtim durumu]))+1)/((Personnel[Egtim durumu]="2 kere sinavden gecemedi")),ROWS($K$7:K36)),"")</f>
        <v>398</v>
      </c>
    </row>
    <row r="37" spans="1:11" ht="25.5" x14ac:dyDescent="0.25">
      <c r="A37" s="18">
        <f>IFERROR(INDEX(Personnel[Sicil],$K37),"")</f>
        <v>644299</v>
      </c>
      <c r="B37" s="17" t="str">
        <f>IFERROR(INDEX(Personnel[Adi Soyadi],$K37),"")</f>
        <v xml:space="preserve">Бабажанов Мансурбек Худашукирович </v>
      </c>
      <c r="C37" s="18" t="str">
        <f>IFERROR(INDEX(Personnel[Vatandaslik],$K37),"")</f>
        <v>УЗБЕКИСТАН</v>
      </c>
      <c r="D37" s="18" t="str">
        <f>IFERROR(INDEX(Personnel[Santiye],$K37),"")</f>
        <v>GPP Proje</v>
      </c>
      <c r="E37" s="18" t="str">
        <f>IFERROR(INDEX(Personnel[Ogretmen],$K37),"")</f>
        <v>Ziazetdinov Arslan / Ziazetdinov Arslan</v>
      </c>
      <c r="F37" s="17" t="str">
        <f>IFERROR(INDEX(Personnel[[Sinav ]],$K37),"")</f>
        <v>19.06.2026 Sineva gitti gecemedi /23.06.2026 Sineva gitti gecemedi</v>
      </c>
      <c r="G37" s="17" t="str">
        <f>IFERROR(INDEX(Personnel[Egtim durumu],$K37),"")</f>
        <v>2 kere sinavden gecemedi</v>
      </c>
      <c r="H37" s="17" t="str">
        <f>IFERROR(INDEX(Personnel[Shohruh Not],$K37),"")</f>
        <v>-</v>
      </c>
      <c r="I37" s="22">
        <f ca="1">IFERROR(INDEX(Personnel[Дней в РФ],$K37),"")</f>
        <v>75</v>
      </c>
      <c r="K37" s="23">
        <f t="array" ref="K37">IFERROR(_xlfn.AGGREGATE(15,6,(ROW(Personnel[Egtim durumu])-MIN(ROW(Personnel[Egtim durumu]))+1)/((Personnel[Egtim durumu]="2 kere sinavden gecemedi")),ROWS($K$7:K37)),"")</f>
        <v>407</v>
      </c>
    </row>
    <row r="38" spans="1:11" ht="38.25" x14ac:dyDescent="0.25">
      <c r="A38" s="24">
        <f>IFERROR(INDEX(Personnel[Sicil],$K38),"")</f>
        <v>632076</v>
      </c>
      <c r="B38" s="25" t="str">
        <f>IFERROR(INDEX(Personnel[Adi Soyadi],$K38),"")</f>
        <v>Хайдаров Нуриддин Гайрат угли</v>
      </c>
      <c r="C38" s="24" t="str">
        <f>IFERROR(INDEX(Personnel[Vatandaslik],$K38),"")</f>
        <v>УЗБЕКИСТАН</v>
      </c>
      <c r="D38" s="24" t="str">
        <f>IFERROR(INDEX(Personnel[Santiye],$K38),"")</f>
        <v>GPP Proje</v>
      </c>
      <c r="E38" s="24" t="str">
        <f>IFERROR(INDEX(Personnel[Ogretmen],$K38),"")</f>
        <v>Ziazetdinov Arslan / Ziazetdinov Arslan</v>
      </c>
      <c r="F38" s="25" t="str">
        <f>IFERROR(INDEX(Personnel[[Sinav ]],$K38),"")</f>
        <v>Ic testimizden gecemiyor Tarih 23.06.2026 /01.07.2026 Sineva gitti gecemedi</v>
      </c>
      <c r="G38" s="25" t="str">
        <f>IFERROR(INDEX(Personnel[Egtim durumu],$K38),"")</f>
        <v>2 kere sinavden gecemedi</v>
      </c>
      <c r="H38" s="25" t="str">
        <f>IFERROR(INDEX(Personnel[Shohruh Not],$K38),"")</f>
        <v>Cikis gitecek</v>
      </c>
      <c r="I38" s="26">
        <f ca="1">IFERROR(INDEX(Personnel[Дней в РФ],$K38),"")</f>
        <v>68</v>
      </c>
      <c r="K38" s="23">
        <f t="array" ref="K38">IFERROR(_xlfn.AGGREGATE(15,6,(ROW(Personnel[Egtim durumu])-MIN(ROW(Personnel[Egtim durumu]))+1)/((Personnel[Egtim durumu]="2 kere sinavden gecemedi")),ROWS($K$7:K38)),"")</f>
        <v>451</v>
      </c>
    </row>
    <row r="39" spans="1:11" ht="38.25" x14ac:dyDescent="0.25">
      <c r="A39" s="18">
        <f>IFERROR(INDEX(Personnel[Sicil],$K39),"")</f>
        <v>619271</v>
      </c>
      <c r="B39" s="17" t="str">
        <f>IFERROR(INDEX(Personnel[Adi Soyadi],$K39),"")</f>
        <v>Манопов Илгорбек Абулкосим Угли</v>
      </c>
      <c r="C39" s="18" t="str">
        <f>IFERROR(INDEX(Personnel[Vatandaslik],$K39),"")</f>
        <v>УЗБЕКИСТАН</v>
      </c>
      <c r="D39" s="18" t="str">
        <f>IFERROR(INDEX(Personnel[Santiye],$K39),"")</f>
        <v>GPP Proje</v>
      </c>
      <c r="E39" s="18" t="str">
        <f>IFERROR(INDEX(Personnel[Ogretmen],$K39),"")</f>
        <v>Ziazetdinov Arslan / Ziazetdinov Arslan</v>
      </c>
      <c r="F39" s="17" t="str">
        <f>IFERROR(INDEX(Personnel[[Sinav ]],$K39),"")</f>
        <v>Ic testimizden gecemiyor Tarih 23.06.2026 /01.07.2026 Sineva gitti gecemedi</v>
      </c>
      <c r="G39" s="17" t="str">
        <f>IFERROR(INDEX(Personnel[Egtim durumu],$K39),"")</f>
        <v>2 kere sinavden gecemedi</v>
      </c>
      <c r="H39" s="17" t="str">
        <f>IFERROR(INDEX(Personnel[Shohruh Not],$K39),"")</f>
        <v>-</v>
      </c>
      <c r="I39" s="22">
        <f ca="1">IFERROR(INDEX(Personnel[Дней в РФ],$K39),"")</f>
        <v>67</v>
      </c>
      <c r="K39" s="23">
        <f t="array" ref="K39">IFERROR(_xlfn.AGGREGATE(15,6,(ROW(Personnel[Egtim durumu])-MIN(ROW(Personnel[Egtim durumu]))+1)/((Personnel[Egtim durumu]="2 kere sinavden gecemedi")),ROWS($K$7:K39)),"")</f>
        <v>456</v>
      </c>
    </row>
    <row r="40" spans="1:11" ht="25.5" x14ac:dyDescent="0.25">
      <c r="A40" s="24">
        <f>IFERROR(INDEX(Personnel[Sicil],$K40),"")</f>
        <v>644830</v>
      </c>
      <c r="B40" s="25" t="str">
        <f>IFERROR(INDEX(Personnel[Adi Soyadi],$K40),"")</f>
        <v>Рахманов Шукуржон Абдукаххорович</v>
      </c>
      <c r="C40" s="24" t="str">
        <f>IFERROR(INDEX(Personnel[Vatandaslik],$K40),"")</f>
        <v>УЗБЕКИСТАН</v>
      </c>
      <c r="D40" s="24" t="str">
        <f>IFERROR(INDEX(Personnel[Santiye],$K40),"")</f>
        <v>GPP Proje</v>
      </c>
      <c r="E40" s="24" t="str">
        <f>IFERROR(INDEX(Personnel[Ogretmen],$K40),"")</f>
        <v>Ziazetdinov Arslan / Ziazetdinov Arslan</v>
      </c>
      <c r="F40" s="25" t="str">
        <f>IFERROR(INDEX(Personnel[[Sinav ]],$K40),"")</f>
        <v>30.06.2026 Sineva gitti gecemedi /07.07.2026 Sineva gitti gecemedi</v>
      </c>
      <c r="G40" s="25" t="str">
        <f>IFERROR(INDEX(Personnel[Egtim durumu],$K40),"")</f>
        <v>2 kere sinavden gecemedi</v>
      </c>
      <c r="H40" s="25" t="str">
        <f>IFERROR(INDEX(Personnel[Shohruh Not],$K40),"")</f>
        <v>-</v>
      </c>
      <c r="I40" s="26">
        <f ca="1">IFERROR(INDEX(Personnel[Дней в РФ],$K40),"")</f>
        <v>67</v>
      </c>
      <c r="K40" s="23">
        <f t="array" ref="K40">IFERROR(_xlfn.AGGREGATE(15,6,(ROW(Personnel[Egtim durumu])-MIN(ROW(Personnel[Egtim durumu]))+1)/((Personnel[Egtim durumu]="2 kere sinavden gecemedi")),ROWS($K$7:K40)),"")</f>
        <v>460</v>
      </c>
    </row>
    <row r="41" spans="1:11" ht="25.5" x14ac:dyDescent="0.25">
      <c r="A41" s="18">
        <f>IFERROR(INDEX(Personnel[Sicil],$K41),"")</f>
        <v>644908</v>
      </c>
      <c r="B41" s="17" t="str">
        <f>IFERROR(INDEX(Personnel[Adi Soyadi],$K41),"")</f>
        <v>Юсупов Сами Ахмадалиевич</v>
      </c>
      <c r="C41" s="18" t="str">
        <f>IFERROR(INDEX(Personnel[Vatandaslik],$K41),"")</f>
        <v>УЗБЕКИСТАН</v>
      </c>
      <c r="D41" s="18" t="str">
        <f>IFERROR(INDEX(Personnel[Santiye],$K41),"")</f>
        <v>GPP Proje</v>
      </c>
      <c r="E41" s="18" t="str">
        <f>IFERROR(INDEX(Personnel[Ogretmen],$K41),"")</f>
        <v>Ziazetdinov Arslan / Ziazetdinov Arslan</v>
      </c>
      <c r="F41" s="17" t="str">
        <f>IFERROR(INDEX(Personnel[[Sinav ]],$K41),"")</f>
        <v>30.06.2026 Sineva gitti gecemedi /07.07.2026 Sineva gitti gecemedi</v>
      </c>
      <c r="G41" s="17" t="str">
        <f>IFERROR(INDEX(Personnel[Egtim durumu],$K41),"")</f>
        <v>2 kere sinavden gecemedi</v>
      </c>
      <c r="H41" s="17" t="str">
        <f>IFERROR(INDEX(Personnel[Shohruh Not],$K41),"")</f>
        <v>-</v>
      </c>
      <c r="I41" s="22">
        <f ca="1">IFERROR(INDEX(Personnel[Дней в РФ],$K41),"")</f>
        <v>67</v>
      </c>
      <c r="K41" s="23">
        <f t="array" ref="K41">IFERROR(_xlfn.AGGREGATE(15,6,(ROW(Personnel[Egtim durumu])-MIN(ROW(Personnel[Egtim durumu]))+1)/((Personnel[Egtim durumu]="2 kere sinavden gecemedi")),ROWS($K$7:K41)),"")</f>
        <v>478</v>
      </c>
    </row>
    <row r="42" spans="1:11" ht="25.5" x14ac:dyDescent="0.25">
      <c r="A42" s="24">
        <f>IFERROR(INDEX(Personnel[Sicil],$K42),"")</f>
        <v>627874</v>
      </c>
      <c r="B42" s="25" t="str">
        <f>IFERROR(INDEX(Personnel[Adi Soyadi],$K42),"")</f>
        <v>Кудратов Отабек Жамшид Угли</v>
      </c>
      <c r="C42" s="24" t="str">
        <f>IFERROR(INDEX(Personnel[Vatandaslik],$K42),"")</f>
        <v>УЗБЕКИСТАН</v>
      </c>
      <c r="D42" s="24" t="str">
        <f>IFERROR(INDEX(Personnel[Santiye],$K42),"")</f>
        <v>GPP Proje</v>
      </c>
      <c r="E42" s="24" t="str">
        <f>IFERROR(INDEX(Personnel[Ogretmen],$K42),"")</f>
        <v>Ziazetdinov Arslan / Ziazetdinov Arslan</v>
      </c>
      <c r="F42" s="25" t="str">
        <f>IFERROR(INDEX(Personnel[[Sinav ]],$K42),"")</f>
        <v>01.07.2026 Sineva gitti gecemedi /07.07.2026 Sineva gitti gecemedi</v>
      </c>
      <c r="G42" s="25" t="str">
        <f>IFERROR(INDEX(Personnel[Egtim durumu],$K42),"")</f>
        <v>2 kere sinavden gecemedi</v>
      </c>
      <c r="H42" s="25" t="str">
        <f>IFERROR(INDEX(Personnel[Shohruh Not],$K42),"")</f>
        <v>-</v>
      </c>
      <c r="I42" s="26">
        <f ca="1">IFERROR(INDEX(Personnel[Дней в РФ],$K42),"")</f>
        <v>65</v>
      </c>
      <c r="K42" s="23">
        <f t="array" ref="K42">IFERROR(_xlfn.AGGREGATE(15,6,(ROW(Personnel[Egtim durumu])-MIN(ROW(Personnel[Egtim durumu]))+1)/((Personnel[Egtim durumu]="2 kere sinavden gecemedi")),ROWS($K$7:K42)),"")</f>
        <v>488</v>
      </c>
    </row>
    <row r="43" spans="1:11" ht="38.25" x14ac:dyDescent="0.25">
      <c r="A43" s="18">
        <f>IFERROR(INDEX(Personnel[Sicil],$K43),"")</f>
        <v>634504</v>
      </c>
      <c r="B43" s="17" t="str">
        <f>IFERROR(INDEX(Personnel[Adi Soyadi],$K43),"")</f>
        <v>Уринбоев Мухаммадюсуф Жалолиддин Угли</v>
      </c>
      <c r="C43" s="18" t="str">
        <f>IFERROR(INDEX(Personnel[Vatandaslik],$K43),"")</f>
        <v>УЗБЕКИСТАН</v>
      </c>
      <c r="D43" s="18" t="str">
        <f>IFERROR(INDEX(Personnel[Santiye],$K43),"")</f>
        <v>GPP Proje</v>
      </c>
      <c r="E43" s="18" t="str">
        <f>IFERROR(INDEX(Personnel[Ogretmen],$K43),"")</f>
        <v>Ziazetdinov Arslan  / Tyulina Natalya</v>
      </c>
      <c r="F43" s="17" t="str">
        <f>IFERROR(INDEX(Personnel[[Sinav ]],$K43),"")</f>
        <v>Ic testimizden gecemiyor(29.06.2026 egitime alindi) Ic testimizden gecemiyor 07.07.2026</v>
      </c>
      <c r="G43" s="17" t="str">
        <f>IFERROR(INDEX(Personnel[Egtim durumu],$K43),"")</f>
        <v>2 kere sinavden gecemedi</v>
      </c>
      <c r="H43" s="17" t="str">
        <f>IFERROR(INDEX(Personnel[Shohruh Not],$K43),"")</f>
        <v xml:space="preserve"> Tarih 05.07.2026 Sineve bilgi verildi gelmedi  PV</v>
      </c>
      <c r="I43" s="22">
        <f ca="1">IFERROR(INDEX(Personnel[Дней в РФ],$K43),"")</f>
        <v>404</v>
      </c>
      <c r="K43" s="23">
        <f t="array" ref="K43">IFERROR(_xlfn.AGGREGATE(15,6,(ROW(Personnel[Egtim durumu])-MIN(ROW(Personnel[Egtim durumu]))+1)/((Personnel[Egtim durumu]="2 kere sinavden gecemedi")),ROWS($K$7:K43)),"")</f>
        <v>536</v>
      </c>
    </row>
    <row r="44" spans="1:11" ht="38.25" x14ac:dyDescent="0.25">
      <c r="A44" s="24">
        <f>IFERROR(INDEX(Personnel[Sicil],$K44),"")</f>
        <v>645398</v>
      </c>
      <c r="B44" s="25" t="str">
        <f>IFERROR(INDEX(Personnel[Adi Soyadi],$K44),"")</f>
        <v>Талохов Сайфулло Абдурасулович</v>
      </c>
      <c r="C44" s="24" t="str">
        <f>IFERROR(INDEX(Personnel[Vatandaslik],$K44),"")</f>
        <v>ТАДЖИКИСТАН</v>
      </c>
      <c r="D44" s="24" t="str">
        <f>IFERROR(INDEX(Personnel[Santiye],$K44),"")</f>
        <v>GPP Proje</v>
      </c>
      <c r="E44" s="24" t="str">
        <f>IFERROR(INDEX(Personnel[Ogretmen],$K44),"")</f>
        <v>Ziazetdinov Arslan / Ziazetdinov Arslan</v>
      </c>
      <c r="F44" s="25" t="str">
        <f>IFERROR(INDEX(Personnel[[Sinav ]],$K44),"")</f>
        <v>Ic testimizden gecemiyor(02.07.2026 egitime alindi) /09.07.2026 Sineva gitti gecemedi</v>
      </c>
      <c r="G44" s="25" t="str">
        <f>IFERROR(INDEX(Personnel[Egtim durumu],$K44),"")</f>
        <v>2 kere sinavden gecemedi</v>
      </c>
      <c r="H44" s="25" t="str">
        <f>IFERROR(INDEX(Personnel[Shohruh Not],$K44),"")</f>
        <v>-</v>
      </c>
      <c r="I44" s="26">
        <f ca="1">IFERROR(INDEX(Personnel[Дней в РФ],$K44),"")</f>
        <v>60</v>
      </c>
      <c r="K44" s="23">
        <f t="array" ref="K44">IFERROR(_xlfn.AGGREGATE(15,6,(ROW(Personnel[Egtim durumu])-MIN(ROW(Personnel[Egtim durumu]))+1)/((Personnel[Egtim durumu]="2 kere sinavden gecemedi")),ROWS($K$7:K44)),"")</f>
        <v>548</v>
      </c>
    </row>
    <row r="45" spans="1:11" ht="25.5" x14ac:dyDescent="0.25">
      <c r="A45" s="18">
        <f>IFERROR(INDEX(Personnel[Sicil],$K45),"")</f>
        <v>596628</v>
      </c>
      <c r="B45" s="17" t="str">
        <f>IFERROR(INDEX(Personnel[Adi Soyadi],$K45),"")</f>
        <v>Урмонов Умиджон Юсупович</v>
      </c>
      <c r="C45" s="18" t="str">
        <f>IFERROR(INDEX(Personnel[Vatandaslik],$K45),"")</f>
        <v>УЗБЕКИСТАН</v>
      </c>
      <c r="D45" s="18" t="str">
        <f>IFERROR(INDEX(Personnel[Santiye],$K45),"")</f>
        <v>GPP Proje</v>
      </c>
      <c r="E45" s="18" t="str">
        <f>IFERROR(INDEX(Personnel[Ogretmen],$K45),"")</f>
        <v>Ziazetdinov Arslan / Ziazetdinov Arslan</v>
      </c>
      <c r="F45" s="17" t="str">
        <f>IFERROR(INDEX(Personnel[[Sinav ]],$K45),"")</f>
        <v>Ic testimizden gecemedi 05.07.2026 /14.07.2026 Sineva gitti gecemedi</v>
      </c>
      <c r="G45" s="17" t="str">
        <f>IFERROR(INDEX(Personnel[Egtim durumu],$K45),"")</f>
        <v>2 kere sinavden gecemedi</v>
      </c>
      <c r="H45" s="17" t="str">
        <f>IFERROR(INDEX(Personnel[Shohruh Not],$K45),"")</f>
        <v>-</v>
      </c>
      <c r="I45" s="22">
        <f ca="1">IFERROR(INDEX(Personnel[Дней в РФ],$K45),"")</f>
        <v>59</v>
      </c>
      <c r="K45" s="23">
        <f t="array" ref="K45">IFERROR(_xlfn.AGGREGATE(15,6,(ROW(Personnel[Egtim durumu])-MIN(ROW(Personnel[Egtim durumu]))+1)/((Personnel[Egtim durumu]="2 kere sinavden gecemedi")),ROWS($K$7:K45)),"")</f>
        <v>550</v>
      </c>
    </row>
    <row r="46" spans="1:11" ht="38.25" x14ac:dyDescent="0.25">
      <c r="A46" s="24">
        <f>IFERROR(INDEX(Personnel[Sicil],$K46),"")</f>
        <v>599574</v>
      </c>
      <c r="B46" s="25" t="str">
        <f>IFERROR(INDEX(Personnel[Adi Soyadi],$K46),"")</f>
        <v>Жураев Илхом Махматкулович</v>
      </c>
      <c r="C46" s="24" t="str">
        <f>IFERROR(INDEX(Personnel[Vatandaslik],$K46),"")</f>
        <v>УЗБЕКИСТАН</v>
      </c>
      <c r="D46" s="24" t="str">
        <f>IFERROR(INDEX(Personnel[Santiye],$K46),"")</f>
        <v>GPP Proje</v>
      </c>
      <c r="E46" s="24" t="str">
        <f>IFERROR(INDEX(Personnel[Ogretmen],$K46),"")</f>
        <v>Ziazetdinov Arslan  / Tyulina Natalya</v>
      </c>
      <c r="F46" s="25" t="str">
        <f>IFERROR(INDEX(Personnel[[Sinav ]],$K46),"")</f>
        <v>Ic testimizden gecemiyor (03.07.2026 egitime alindi) Ic testimizden gecemiyor 07.07.2026</v>
      </c>
      <c r="G46" s="25" t="str">
        <f>IFERROR(INDEX(Personnel[Egtim durumu],$K46),"")</f>
        <v>2 kere sinavden gecemedi</v>
      </c>
      <c r="H46" s="25">
        <f>IFERROR(INDEX(Personnel[Shohruh Not],$K46),"")</f>
        <v>0</v>
      </c>
      <c r="I46" s="26">
        <f ca="1">IFERROR(INDEX(Personnel[Дней в РФ],$K46),"")</f>
        <v>54</v>
      </c>
      <c r="K46" s="23">
        <f t="array" ref="K46">IFERROR(_xlfn.AGGREGATE(15,6,(ROW(Personnel[Egtim durumu])-MIN(ROW(Personnel[Egtim durumu]))+1)/((Personnel[Egtim durumu]="2 kere sinavden gecemedi")),ROWS($K$7:K46)),"")</f>
        <v>575</v>
      </c>
    </row>
    <row r="47" spans="1:11" ht="38.25" x14ac:dyDescent="0.25">
      <c r="A47" s="18">
        <f>IFERROR(INDEX(Personnel[Sicil],$K47),"")</f>
        <v>645643</v>
      </c>
      <c r="B47" s="17" t="str">
        <f>IFERROR(INDEX(Personnel[Adi Soyadi],$K47),"")</f>
        <v>Косимов Мирзабек Бахтиёр Угли</v>
      </c>
      <c r="C47" s="18" t="str">
        <f>IFERROR(INDEX(Personnel[Vatandaslik],$K47),"")</f>
        <v>УЗБЕКИСТАН</v>
      </c>
      <c r="D47" s="18" t="str">
        <f>IFERROR(INDEX(Personnel[Santiye],$K47),"")</f>
        <v>GPP Proje</v>
      </c>
      <c r="E47" s="18" t="str">
        <f>IFERROR(INDEX(Personnel[Ogretmen],$K47),"")</f>
        <v>Ziazetdinov Arslan  / Tyulina Natalya</v>
      </c>
      <c r="F47" s="17" t="str">
        <f>IFERROR(INDEX(Personnel[[Sinav ]],$K47),"")</f>
        <v>Ic testimizden gecemiyor (03.07.2026 egitime alindi) Ic testimizden gecemiyor 07.07.2026</v>
      </c>
      <c r="G47" s="17" t="str">
        <f>IFERROR(INDEX(Personnel[Egtim durumu],$K47),"")</f>
        <v>2 kere sinavden gecemedi</v>
      </c>
      <c r="H47" s="17">
        <f>IFERROR(INDEX(Personnel[Shohruh Not],$K47),"")</f>
        <v>0</v>
      </c>
      <c r="I47" s="22">
        <f ca="1">IFERROR(INDEX(Personnel[Дней в РФ],$K47),"")</f>
        <v>54</v>
      </c>
      <c r="K47" s="23">
        <f t="array" ref="K47">IFERROR(_xlfn.AGGREGATE(15,6,(ROW(Personnel[Egtim durumu])-MIN(ROW(Personnel[Egtim durumu]))+1)/((Personnel[Egtim durumu]="2 kere sinavden gecemedi")),ROWS($K$7:K47)),"")</f>
        <v>578</v>
      </c>
    </row>
    <row r="48" spans="1:11" ht="38.25" x14ac:dyDescent="0.25">
      <c r="A48" s="24">
        <f>IFERROR(INDEX(Personnel[Sicil],$K48),"")</f>
        <v>609472</v>
      </c>
      <c r="B48" s="25" t="str">
        <f>IFERROR(INDEX(Personnel[Adi Soyadi],$K48),"")</f>
        <v>Оролов Урол Чориевич</v>
      </c>
      <c r="C48" s="24" t="str">
        <f>IFERROR(INDEX(Personnel[Vatandaslik],$K48),"")</f>
        <v>УЗБЕКИСТАН</v>
      </c>
      <c r="D48" s="24" t="str">
        <f>IFERROR(INDEX(Personnel[Santiye],$K48),"")</f>
        <v>GPP Proje</v>
      </c>
      <c r="E48" s="24" t="str">
        <f>IFERROR(INDEX(Personnel[Ogretmen],$K48),"")</f>
        <v>Ziazetdinov Arslan / Ziazetdinov Arslan</v>
      </c>
      <c r="F48" s="25" t="str">
        <f>IFERROR(INDEX(Personnel[[Sinav ]],$K48),"")</f>
        <v>Ic testimizden gecemiyor 12.07.2026 egitime alindi /20.07.2026 Sineva gitti gecemedi</v>
      </c>
      <c r="G48" s="25" t="str">
        <f>IFERROR(INDEX(Personnel[Egtim durumu],$K48),"")</f>
        <v>2 kere sinavden gecemedi</v>
      </c>
      <c r="H48" s="25" t="str">
        <f>IFERROR(INDEX(Personnel[Shohruh Not],$K48),"")</f>
        <v xml:space="preserve">Tekrar egitime alinacak </v>
      </c>
      <c r="I48" s="26">
        <f ca="1">IFERROR(INDEX(Personnel[Дней в РФ],$K48),"")</f>
        <v>48</v>
      </c>
      <c r="K48" s="23">
        <f t="array" ref="K48">IFERROR(_xlfn.AGGREGATE(15,6,(ROW(Personnel[Egtim durumu])-MIN(ROW(Personnel[Egtim durumu]))+1)/((Personnel[Egtim durumu]="2 kere sinavden gecemedi")),ROWS($K$7:K48)),"")</f>
        <v>606</v>
      </c>
    </row>
    <row r="49" spans="1:11" ht="38.25" x14ac:dyDescent="0.25">
      <c r="A49" s="18">
        <f>IFERROR(INDEX(Personnel[Sicil],$K49),"")</f>
        <v>600855</v>
      </c>
      <c r="B49" s="17" t="str">
        <f>IFERROR(INDEX(Personnel[Adi Soyadi],$K49),"")</f>
        <v xml:space="preserve">Полвонов Эмомали Боймуродович </v>
      </c>
      <c r="C49" s="18" t="str">
        <f>IFERROR(INDEX(Personnel[Vatandaslik],$K49),"")</f>
        <v>ТАДЖИКИСТАН</v>
      </c>
      <c r="D49" s="18" t="str">
        <f>IFERROR(INDEX(Personnel[Santiye],$K49),"")</f>
        <v>GPP Proje</v>
      </c>
      <c r="E49" s="18" t="str">
        <f>IFERROR(INDEX(Personnel[Ogretmen],$K49),"")</f>
        <v>Ziazetdinov Arslan / Ziazetdinov Arslan</v>
      </c>
      <c r="F49" s="17" t="str">
        <f>IFERROR(INDEX(Personnel[[Sinav ]],$K49),"")</f>
        <v>Ic testimizden gecemiyor 12.07.2026 egitime alindi /20.07.2026 Sineva gitti gecemedi</v>
      </c>
      <c r="G49" s="17" t="str">
        <f>IFERROR(INDEX(Personnel[Egtim durumu],$K49),"")</f>
        <v>2 kere sinavden gecemedi</v>
      </c>
      <c r="H49" s="17" t="str">
        <f>IFERROR(INDEX(Personnel[Shohruh Not],$K49),"")</f>
        <v>-</v>
      </c>
      <c r="I49" s="22">
        <f ca="1">IFERROR(INDEX(Personnel[Дней в РФ],$K49),"")</f>
        <v>47</v>
      </c>
      <c r="K49" s="23">
        <f t="array" ref="K49">IFERROR(_xlfn.AGGREGATE(15,6,(ROW(Personnel[Egtim durumu])-MIN(ROW(Personnel[Egtim durumu]))+1)/((Personnel[Egtim durumu]="2 kere sinavden gecemedi")),ROWS($K$7:K49)),"")</f>
        <v>607</v>
      </c>
    </row>
    <row r="50" spans="1:11" ht="38.25" x14ac:dyDescent="0.25">
      <c r="A50" s="24">
        <f>IFERROR(INDEX(Personnel[Sicil],$K50),"")</f>
        <v>645997</v>
      </c>
      <c r="B50" s="25" t="str">
        <f>IFERROR(INDEX(Personnel[Adi Soyadi],$K50),"")</f>
        <v>Пардаев Анвар Номозбоевич</v>
      </c>
      <c r="C50" s="24" t="str">
        <f>IFERROR(INDEX(Personnel[Vatandaslik],$K50),"")</f>
        <v>УЗБЕКИСТАН</v>
      </c>
      <c r="D50" s="24" t="str">
        <f>IFERROR(INDEX(Personnel[Santiye],$K50),"")</f>
        <v>GPP Proje</v>
      </c>
      <c r="E50" s="24" t="str">
        <f>IFERROR(INDEX(Personnel[Ogretmen],$K50),"")</f>
        <v>Ziazetdinov Arslan / Ziazetdinov Arslan</v>
      </c>
      <c r="F50" s="25" t="str">
        <f>IFERROR(INDEX(Personnel[[Sinav ]],$K50),"")</f>
        <v>Ic testimizden gecemiyor 12.07.2026 egitime alindi /20.07.2026 Sineva gitti gecemedi</v>
      </c>
      <c r="G50" s="25" t="str">
        <f>IFERROR(INDEX(Personnel[Egtim durumu],$K50),"")</f>
        <v>2 kere sinavden gecemedi</v>
      </c>
      <c r="H50" s="25" t="str">
        <f>IFERROR(INDEX(Personnel[Shohruh Not],$K50),"")</f>
        <v xml:space="preserve">Tekrar egitime alinacak </v>
      </c>
      <c r="I50" s="26">
        <f ca="1">IFERROR(INDEX(Personnel[Дней в РФ],$K50),"")</f>
        <v>47</v>
      </c>
      <c r="K50" s="23">
        <f t="array" ref="K50">IFERROR(_xlfn.AGGREGATE(15,6,(ROW(Personnel[Egtim durumu])-MIN(ROW(Personnel[Egtim durumu]))+1)/((Personnel[Egtim durumu]="2 kere sinavden gecemedi")),ROWS($K$7:K50)),"")</f>
        <v>613</v>
      </c>
    </row>
    <row r="51" spans="1:11" ht="38.25" x14ac:dyDescent="0.25">
      <c r="A51" s="18">
        <f>IFERROR(INDEX(Personnel[Sicil],$K51),"")</f>
        <v>495512</v>
      </c>
      <c r="B51" s="17" t="str">
        <f>IFERROR(INDEX(Personnel[Adi Soyadi],$K51),"")</f>
        <v>Ниёзов Махмадали Давлаталиевич</v>
      </c>
      <c r="C51" s="18" t="str">
        <f>IFERROR(INDEX(Personnel[Vatandaslik],$K51),"")</f>
        <v>ТАДЖИКИСТАН</v>
      </c>
      <c r="D51" s="18" t="str">
        <f>IFERROR(INDEX(Personnel[Santiye],$K51),"")</f>
        <v>GPP Proje</v>
      </c>
      <c r="E51" s="18" t="str">
        <f>IFERROR(INDEX(Personnel[Ogretmen],$K51),"")</f>
        <v>Tyulina Natalya / Ziaztdinov Arslan</v>
      </c>
      <c r="F51" s="17" t="str">
        <f>IFERROR(INDEX(Personnel[[Sinav ]],$K51),"")</f>
        <v>Ic testimizden gecemiyor 20.06.2026 egitime alindi /Ic testimizden gecemiyor 27.07.2026 egitime alindi</v>
      </c>
      <c r="G51" s="17" t="str">
        <f>IFERROR(INDEX(Personnel[Egtim durumu],$K51),"")</f>
        <v>2 kere sinavden gecemedi</v>
      </c>
      <c r="H51" s="17" t="str">
        <f>IFERROR(INDEX(Personnel[Shohruh Not],$K51),"")</f>
        <v>-</v>
      </c>
      <c r="I51" s="22">
        <f ca="1">IFERROR(INDEX(Personnel[Дней в РФ],$K51),"")</f>
        <v>45</v>
      </c>
      <c r="K51" s="23">
        <f t="array" ref="K51">IFERROR(_xlfn.AGGREGATE(15,6,(ROW(Personnel[Egtim durumu])-MIN(ROW(Personnel[Egtim durumu]))+1)/((Personnel[Egtim durumu]="2 kere sinavden gecemedi")),ROWS($K$7:K51)),"")</f>
        <v>618</v>
      </c>
    </row>
    <row r="52" spans="1:11" ht="38.25" x14ac:dyDescent="0.25">
      <c r="A52" s="24">
        <f>IFERROR(INDEX(Personnel[Sicil],$K52),"")</f>
        <v>646293</v>
      </c>
      <c r="B52" s="25" t="str">
        <f>IFERROR(INDEX(Personnel[Adi Soyadi],$K52),"")</f>
        <v>Исломов Сардор Хайим Угли</v>
      </c>
      <c r="C52" s="24" t="str">
        <f>IFERROR(INDEX(Personnel[Vatandaslik],$K52),"")</f>
        <v>УЗБЕКИСТАН</v>
      </c>
      <c r="D52" s="24" t="str">
        <f>IFERROR(INDEX(Personnel[Santiye],$K52),"")</f>
        <v>GPP Proje</v>
      </c>
      <c r="E52" s="24" t="str">
        <f>IFERROR(INDEX(Personnel[Ogretmen],$K52),"")</f>
        <v>Tyulina Natalya / Ziaztdinov Arslan</v>
      </c>
      <c r="F52" s="25" t="str">
        <f>IFERROR(INDEX(Personnel[[Sinav ]],$K52),"")</f>
        <v xml:space="preserve">Ic testimizden gecemiyor 20.06.2026 egitime alindi /31.07.2026 Sineva gitti gecemedi </v>
      </c>
      <c r="G52" s="25" t="str">
        <f>IFERROR(INDEX(Personnel[Egtim durumu],$K52),"")</f>
        <v>2 kere sinavden gecemedi</v>
      </c>
      <c r="H52" s="25" t="str">
        <f>IFERROR(INDEX(Personnel[Shohruh Not],$K52),"")</f>
        <v>-</v>
      </c>
      <c r="I52" s="26">
        <f ca="1">IFERROR(INDEX(Personnel[Дней в РФ],$K52),"")</f>
        <v>40</v>
      </c>
      <c r="K52" s="23">
        <f t="array" ref="K52">IFERROR(_xlfn.AGGREGATE(15,6,(ROW(Personnel[Egtim durumu])-MIN(ROW(Personnel[Egtim durumu]))+1)/((Personnel[Egtim durumu]="2 kere sinavden gecemedi")),ROWS($K$7:K52)),"")</f>
        <v>629</v>
      </c>
    </row>
    <row r="53" spans="1:11" ht="25.5" x14ac:dyDescent="0.25">
      <c r="A53" s="18">
        <f>IFERROR(INDEX(Personnel[Sicil],$K53),"")</f>
        <v>635071</v>
      </c>
      <c r="B53" s="17" t="str">
        <f>IFERROR(INDEX(Personnel[Adi Soyadi],$K53),"")</f>
        <v>Мамиров Асадбек Аскар Угли</v>
      </c>
      <c r="C53" s="18" t="str">
        <f>IFERROR(INDEX(Personnel[Vatandaslik],$K53),"")</f>
        <v>УЗБЕКИСТАН</v>
      </c>
      <c r="D53" s="18" t="str">
        <f>IFERROR(INDEX(Personnel[Santiye],$K53),"")</f>
        <v>GPP Proje</v>
      </c>
      <c r="E53" s="18" t="str">
        <f>IFERROR(INDEX(Personnel[Ogretmen],$K53),"")</f>
        <v>Ziazetdinov Arslan / Ziazetdinov Arslan</v>
      </c>
      <c r="F53" s="17" t="str">
        <f>IFERROR(INDEX(Personnel[[Sinav ]],$K53),"")</f>
        <v xml:space="preserve">Ic testimizden gecemedi 04.08.2026 /12.06.2026 Sineva gitti gecemedi </v>
      </c>
      <c r="G53" s="17" t="str">
        <f>IFERROR(INDEX(Personnel[Egtim durumu],$K53),"")</f>
        <v>2 kere sinavden gecemedi</v>
      </c>
      <c r="H53" s="17" t="str">
        <f>IFERROR(INDEX(Personnel[Shohruh Not],$K53),"")</f>
        <v>-</v>
      </c>
      <c r="I53" s="22">
        <f ca="1">IFERROR(INDEX(Personnel[Дней в РФ],$K53),"")</f>
        <v>364</v>
      </c>
      <c r="K53" s="23">
        <f t="array" ref="K53">IFERROR(_xlfn.AGGREGATE(15,6,(ROW(Personnel[Egtim durumu])-MIN(ROW(Personnel[Egtim durumu]))+1)/((Personnel[Egtim durumu]="2 kere sinavden gecemedi")),ROWS($K$7:K53)),"")</f>
        <v>683</v>
      </c>
    </row>
    <row r="54" spans="1:11" ht="25.5" x14ac:dyDescent="0.25">
      <c r="A54" s="24">
        <f>IFERROR(INDEX(Personnel[Sicil],$K54),"")</f>
        <v>634978</v>
      </c>
      <c r="B54" s="25" t="str">
        <f>IFERROR(INDEX(Personnel[Adi Soyadi],$K54),"")</f>
        <v>Рузатов Зафар Баходирович</v>
      </c>
      <c r="C54" s="24" t="str">
        <f>IFERROR(INDEX(Personnel[Vatandaslik],$K54),"")</f>
        <v>УЗБЕКИСТАН</v>
      </c>
      <c r="D54" s="24" t="str">
        <f>IFERROR(INDEX(Personnel[Santiye],$K54),"")</f>
        <v>GPP Proje</v>
      </c>
      <c r="E54" s="24" t="str">
        <f>IFERROR(INDEX(Personnel[Ogretmen],$K54),"")</f>
        <v>Ziazetdinov Arslan / Ziazetdinov Arslan</v>
      </c>
      <c r="F54" s="25" t="str">
        <f>IFERROR(INDEX(Personnel[[Sinav ]],$K54),"")</f>
        <v xml:space="preserve">Ic testimizden gecemedi 04.08.2026  /12.06.2026 Sineva gitti gecemedi </v>
      </c>
      <c r="G54" s="25" t="str">
        <f>IFERROR(INDEX(Personnel[Egtim durumu],$K54),"")</f>
        <v>2 kere sinavden gecemedi</v>
      </c>
      <c r="H54" s="25" t="str">
        <f>IFERROR(INDEX(Personnel[Shohruh Not],$K54),"")</f>
        <v>-</v>
      </c>
      <c r="I54" s="26">
        <f ca="1">IFERROR(INDEX(Personnel[Дней в РФ],$K54),"")</f>
        <v>371</v>
      </c>
      <c r="K54" s="23">
        <f t="array" ref="K54">IFERROR(_xlfn.AGGREGATE(15,6,(ROW(Personnel[Egtim durumu])-MIN(ROW(Personnel[Egtim durumu]))+1)/((Personnel[Egtim durumu]="2 kere sinavden gecemedi")),ROWS($K$7:K54)),"")</f>
        <v>688</v>
      </c>
    </row>
    <row r="55" spans="1:11" x14ac:dyDescent="0.25">
      <c r="A55" s="18" t="str">
        <f>IFERROR(INDEX(Personnel[Sicil],$K55),"")</f>
        <v/>
      </c>
      <c r="B55" s="17" t="str">
        <f>IFERROR(INDEX(Personnel[Adi Soyadi],$K55),"")</f>
        <v/>
      </c>
      <c r="C55" s="18" t="str">
        <f>IFERROR(INDEX(Personnel[Vatandaslik],$K55),"")</f>
        <v/>
      </c>
      <c r="D55" s="18" t="str">
        <f>IFERROR(INDEX(Personnel[Santiye],$K55),"")</f>
        <v/>
      </c>
      <c r="E55" s="18" t="str">
        <f>IFERROR(INDEX(Personnel[Ogretmen],$K55),"")</f>
        <v/>
      </c>
      <c r="F55" s="17" t="str">
        <f>IFERROR(INDEX(Personnel[[Sinav ]],$K55),"")</f>
        <v/>
      </c>
      <c r="G55" s="17" t="str">
        <f>IFERROR(INDEX(Personnel[Egtim durumu],$K55),"")</f>
        <v/>
      </c>
      <c r="H55" s="17" t="str">
        <f>IFERROR(INDEX(Personnel[Shohruh Not],$K55),"")</f>
        <v/>
      </c>
      <c r="I55" s="22" t="str">
        <f>IFERROR(INDEX(Personnel[Дней в РФ],$K55),"")</f>
        <v/>
      </c>
      <c r="K55" s="23" t="str">
        <f t="array" ref="K55">IFERROR(_xlfn.AGGREGATE(15,6,(ROW(Personnel[Egtim durumu])-MIN(ROW(Personnel[Egtim durumu]))+1)/((Personnel[Egtim durumu]="2 kere sinavden gecemedi")),ROWS($K$7:K55)),"")</f>
        <v/>
      </c>
    </row>
    <row r="56" spans="1:11" x14ac:dyDescent="0.25">
      <c r="A56" s="24" t="str">
        <f>IFERROR(INDEX(Personnel[Sicil],$K56),"")</f>
        <v/>
      </c>
      <c r="B56" s="25" t="str">
        <f>IFERROR(INDEX(Personnel[Adi Soyadi],$K56),"")</f>
        <v/>
      </c>
      <c r="C56" s="24" t="str">
        <f>IFERROR(INDEX(Personnel[Vatandaslik],$K56),"")</f>
        <v/>
      </c>
      <c r="D56" s="24" t="str">
        <f>IFERROR(INDEX(Personnel[Santiye],$K56),"")</f>
        <v/>
      </c>
      <c r="E56" s="24" t="str">
        <f>IFERROR(INDEX(Personnel[Ogretmen],$K56),"")</f>
        <v/>
      </c>
      <c r="F56" s="25" t="str">
        <f>IFERROR(INDEX(Personnel[[Sinav ]],$K56),"")</f>
        <v/>
      </c>
      <c r="G56" s="25" t="str">
        <f>IFERROR(INDEX(Personnel[Egtim durumu],$K56),"")</f>
        <v/>
      </c>
      <c r="H56" s="25" t="str">
        <f>IFERROR(INDEX(Personnel[Shohruh Not],$K56),"")</f>
        <v/>
      </c>
      <c r="I56" s="24" t="str">
        <f>IFERROR(INDEX(Personnel[Дней в РФ],$K56),"")</f>
        <v/>
      </c>
      <c r="K56" s="23" t="str">
        <f t="array" ref="K56">IFERROR(_xlfn.AGGREGATE(15,6,(ROW(Personnel[Egtim durumu])-MIN(ROW(Personnel[Egtim durumu]))+1)/((Personnel[Egtim durumu]="2 kere sinavden gecemedi")),ROWS($K$7:K56)),"")</f>
        <v/>
      </c>
    </row>
    <row r="57" spans="1:11" x14ac:dyDescent="0.25">
      <c r="A57" s="18" t="str">
        <f>IFERROR(INDEX(Personnel[Sicil],$K57),"")</f>
        <v/>
      </c>
      <c r="B57" s="17" t="str">
        <f>IFERROR(INDEX(Personnel[Adi Soyadi],$K57),"")</f>
        <v/>
      </c>
      <c r="C57" s="18" t="str">
        <f>IFERROR(INDEX(Personnel[Vatandaslik],$K57),"")</f>
        <v/>
      </c>
      <c r="D57" s="18" t="str">
        <f>IFERROR(INDEX(Personnel[Santiye],$K57),"")</f>
        <v/>
      </c>
      <c r="E57" s="18" t="str">
        <f>IFERROR(INDEX(Personnel[Ogretmen],$K57),"")</f>
        <v/>
      </c>
      <c r="F57" s="17" t="str">
        <f>IFERROR(INDEX(Personnel[[Sinav ]],$K57),"")</f>
        <v/>
      </c>
      <c r="G57" s="17" t="str">
        <f>IFERROR(INDEX(Personnel[Egtim durumu],$K57),"")</f>
        <v/>
      </c>
      <c r="H57" s="17" t="str">
        <f>IFERROR(INDEX(Personnel[Shohruh Not],$K57),"")</f>
        <v/>
      </c>
      <c r="I57" s="18" t="str">
        <f>IFERROR(INDEX(Personnel[Дней в РФ],$K57),"")</f>
        <v/>
      </c>
      <c r="K57" s="23" t="str">
        <f t="array" ref="K57">IFERROR(_xlfn.AGGREGATE(15,6,(ROW(Personnel[Egtim durumu])-MIN(ROW(Personnel[Egtim durumu]))+1)/((Personnel[Egtim durumu]="2 kere sinavden gecemedi")),ROWS($K$7:K57)),"")</f>
        <v/>
      </c>
    </row>
    <row r="58" spans="1:11" x14ac:dyDescent="0.25">
      <c r="A58" s="24" t="str">
        <f>IFERROR(INDEX(Personnel[Sicil],$K58),"")</f>
        <v/>
      </c>
      <c r="B58" s="25" t="str">
        <f>IFERROR(INDEX(Personnel[Adi Soyadi],$K58),"")</f>
        <v/>
      </c>
      <c r="C58" s="24" t="str">
        <f>IFERROR(INDEX(Personnel[Vatandaslik],$K58),"")</f>
        <v/>
      </c>
      <c r="D58" s="24" t="str">
        <f>IFERROR(INDEX(Personnel[Santiye],$K58),"")</f>
        <v/>
      </c>
      <c r="E58" s="24" t="str">
        <f>IFERROR(INDEX(Personnel[Ogretmen],$K58),"")</f>
        <v/>
      </c>
      <c r="F58" s="25" t="str">
        <f>IFERROR(INDEX(Personnel[[Sinav ]],$K58),"")</f>
        <v/>
      </c>
      <c r="G58" s="25" t="str">
        <f>IFERROR(INDEX(Personnel[Egtim durumu],$K58),"")</f>
        <v/>
      </c>
      <c r="H58" s="25" t="str">
        <f>IFERROR(INDEX(Personnel[Shohruh Not],$K58),"")</f>
        <v/>
      </c>
      <c r="I58" s="24" t="str">
        <f>IFERROR(INDEX(Personnel[Дней в РФ],$K58),"")</f>
        <v/>
      </c>
      <c r="K58" s="23" t="str">
        <f t="array" ref="K58">IFERROR(_xlfn.AGGREGATE(15,6,(ROW(Personnel[Egtim durumu])-MIN(ROW(Personnel[Egtim durumu]))+1)/((Personnel[Egtim durumu]="2 kere sinavden gecemedi")),ROWS($K$7:K58)),"")</f>
        <v/>
      </c>
    </row>
    <row r="59" spans="1:11" x14ac:dyDescent="0.25">
      <c r="A59" s="18" t="str">
        <f>IFERROR(INDEX(Personnel[Sicil],$K59),"")</f>
        <v/>
      </c>
      <c r="B59" s="17" t="str">
        <f>IFERROR(INDEX(Personnel[Adi Soyadi],$K59),"")</f>
        <v/>
      </c>
      <c r="C59" s="18" t="str">
        <f>IFERROR(INDEX(Personnel[Vatandaslik],$K59),"")</f>
        <v/>
      </c>
      <c r="D59" s="18" t="str">
        <f>IFERROR(INDEX(Personnel[Santiye],$K59),"")</f>
        <v/>
      </c>
      <c r="E59" s="18" t="str">
        <f>IFERROR(INDEX(Personnel[Ogretmen],$K59),"")</f>
        <v/>
      </c>
      <c r="F59" s="17" t="str">
        <f>IFERROR(INDEX(Personnel[[Sinav ]],$K59),"")</f>
        <v/>
      </c>
      <c r="G59" s="17" t="str">
        <f>IFERROR(INDEX(Personnel[Egtim durumu],$K59),"")</f>
        <v/>
      </c>
      <c r="H59" s="17" t="str">
        <f>IFERROR(INDEX(Personnel[Shohruh Not],$K59),"")</f>
        <v/>
      </c>
      <c r="I59" s="18" t="str">
        <f>IFERROR(INDEX(Personnel[Дней в РФ],$K59),"")</f>
        <v/>
      </c>
      <c r="K59" s="23" t="str">
        <f t="array" ref="K59">IFERROR(_xlfn.AGGREGATE(15,6,(ROW(Personnel[Egtim durumu])-MIN(ROW(Personnel[Egtim durumu]))+1)/((Personnel[Egtim durumu]="2 kere sinavden gecemedi")),ROWS($K$7:K59)),"")</f>
        <v/>
      </c>
    </row>
    <row r="60" spans="1:11" x14ac:dyDescent="0.25">
      <c r="A60" s="24" t="str">
        <f>IFERROR(INDEX(Personnel[Sicil],$K60),"")</f>
        <v/>
      </c>
      <c r="B60" s="25" t="str">
        <f>IFERROR(INDEX(Personnel[Adi Soyadi],$K60),"")</f>
        <v/>
      </c>
      <c r="C60" s="24" t="str">
        <f>IFERROR(INDEX(Personnel[Vatandaslik],$K60),"")</f>
        <v/>
      </c>
      <c r="D60" s="24" t="str">
        <f>IFERROR(INDEX(Personnel[Santiye],$K60),"")</f>
        <v/>
      </c>
      <c r="E60" s="24" t="str">
        <f>IFERROR(INDEX(Personnel[Ogretmen],$K60),"")</f>
        <v/>
      </c>
      <c r="F60" s="25" t="str">
        <f>IFERROR(INDEX(Personnel[[Sinav ]],$K60),"")</f>
        <v/>
      </c>
      <c r="G60" s="25" t="str">
        <f>IFERROR(INDEX(Personnel[Egtim durumu],$K60),"")</f>
        <v/>
      </c>
      <c r="H60" s="25" t="str">
        <f>IFERROR(INDEX(Personnel[Shohruh Not],$K60),"")</f>
        <v/>
      </c>
      <c r="I60" s="24" t="str">
        <f>IFERROR(INDEX(Personnel[Дней в РФ],$K60),"")</f>
        <v/>
      </c>
      <c r="K60" s="23" t="str">
        <f t="array" ref="K60">IFERROR(_xlfn.AGGREGATE(15,6,(ROW(Personnel[Egtim durumu])-MIN(ROW(Personnel[Egtim durumu]))+1)/((Personnel[Egtim durumu]="2 kere sinavden gecemedi")),ROWS($K$7:K60)),"")</f>
        <v/>
      </c>
    </row>
    <row r="61" spans="1:11" x14ac:dyDescent="0.25">
      <c r="A61" s="18" t="str">
        <f>IFERROR(INDEX(Personnel[Sicil],$K61),"")</f>
        <v/>
      </c>
      <c r="B61" s="17" t="str">
        <f>IFERROR(INDEX(Personnel[Adi Soyadi],$K61),"")</f>
        <v/>
      </c>
      <c r="C61" s="18" t="str">
        <f>IFERROR(INDEX(Personnel[Vatandaslik],$K61),"")</f>
        <v/>
      </c>
      <c r="D61" s="18" t="str">
        <f>IFERROR(INDEX(Personnel[Santiye],$K61),"")</f>
        <v/>
      </c>
      <c r="E61" s="18" t="str">
        <f>IFERROR(INDEX(Personnel[Ogretmen],$K61),"")</f>
        <v/>
      </c>
      <c r="F61" s="17" t="str">
        <f>IFERROR(INDEX(Personnel[[Sinav ]],$K61),"")</f>
        <v/>
      </c>
      <c r="G61" s="17" t="str">
        <f>IFERROR(INDEX(Personnel[Egtim durumu],$K61),"")</f>
        <v/>
      </c>
      <c r="H61" s="17" t="str">
        <f>IFERROR(INDEX(Personnel[Shohruh Not],$K61),"")</f>
        <v/>
      </c>
      <c r="I61" s="18" t="str">
        <f>IFERROR(INDEX(Personnel[Дней в РФ],$K61),"")</f>
        <v/>
      </c>
      <c r="K61" s="23" t="str">
        <f t="array" ref="K61">IFERROR(_xlfn.AGGREGATE(15,6,(ROW(Personnel[Egtim durumu])-MIN(ROW(Personnel[Egtim durumu]))+1)/((Personnel[Egtim durumu]="2 kere sinavden gecemedi")),ROWS($K$7:K61)),"")</f>
        <v/>
      </c>
    </row>
    <row r="62" spans="1:11" x14ac:dyDescent="0.25">
      <c r="A62" s="24" t="str">
        <f>IFERROR(INDEX(Personnel[Sicil],$K62),"")</f>
        <v/>
      </c>
      <c r="B62" s="25" t="str">
        <f>IFERROR(INDEX(Personnel[Adi Soyadi],$K62),"")</f>
        <v/>
      </c>
      <c r="C62" s="24" t="str">
        <f>IFERROR(INDEX(Personnel[Vatandaslik],$K62),"")</f>
        <v/>
      </c>
      <c r="D62" s="24" t="str">
        <f>IFERROR(INDEX(Personnel[Santiye],$K62),"")</f>
        <v/>
      </c>
      <c r="E62" s="24" t="str">
        <f>IFERROR(INDEX(Personnel[Ogretmen],$K62),"")</f>
        <v/>
      </c>
      <c r="F62" s="25" t="str">
        <f>IFERROR(INDEX(Personnel[[Sinav ]],$K62),"")</f>
        <v/>
      </c>
      <c r="G62" s="25" t="str">
        <f>IFERROR(INDEX(Personnel[Egtim durumu],$K62),"")</f>
        <v/>
      </c>
      <c r="H62" s="25" t="str">
        <f>IFERROR(INDEX(Personnel[Shohruh Not],$K62),"")</f>
        <v/>
      </c>
      <c r="I62" s="24" t="str">
        <f>IFERROR(INDEX(Personnel[Дней в РФ],$K62),"")</f>
        <v/>
      </c>
      <c r="K62" s="23" t="str">
        <f t="array" ref="K62">IFERROR(_xlfn.AGGREGATE(15,6,(ROW(Personnel[Egtim durumu])-MIN(ROW(Personnel[Egtim durumu]))+1)/((Personnel[Egtim durumu]="2 kere sinavden gecemedi")),ROWS($K$7:K62)),"")</f>
        <v/>
      </c>
    </row>
    <row r="63" spans="1:11" x14ac:dyDescent="0.25">
      <c r="A63" s="18" t="str">
        <f>IFERROR(INDEX(Personnel[Sicil],$K63),"")</f>
        <v/>
      </c>
      <c r="B63" s="17" t="str">
        <f>IFERROR(INDEX(Personnel[Adi Soyadi],$K63),"")</f>
        <v/>
      </c>
      <c r="C63" s="18" t="str">
        <f>IFERROR(INDEX(Personnel[Vatandaslik],$K63),"")</f>
        <v/>
      </c>
      <c r="D63" s="18" t="str">
        <f>IFERROR(INDEX(Personnel[Santiye],$K63),"")</f>
        <v/>
      </c>
      <c r="E63" s="18" t="str">
        <f>IFERROR(INDEX(Personnel[Ogretmen],$K63),"")</f>
        <v/>
      </c>
      <c r="F63" s="17" t="str">
        <f>IFERROR(INDEX(Personnel[[Sinav ]],$K63),"")</f>
        <v/>
      </c>
      <c r="G63" s="17" t="str">
        <f>IFERROR(INDEX(Personnel[Egtim durumu],$K63),"")</f>
        <v/>
      </c>
      <c r="H63" s="17" t="str">
        <f>IFERROR(INDEX(Personnel[Shohruh Not],$K63),"")</f>
        <v/>
      </c>
      <c r="I63" s="18" t="str">
        <f>IFERROR(INDEX(Personnel[Дней в РФ],$K63),"")</f>
        <v/>
      </c>
      <c r="K63" s="23" t="str">
        <f t="array" ref="K63">IFERROR(_xlfn.AGGREGATE(15,6,(ROW(Personnel[Egtim durumu])-MIN(ROW(Personnel[Egtim durumu]))+1)/((Personnel[Egtim durumu]="2 kere sinavden gecemedi")),ROWS($K$7:K63)),"")</f>
        <v/>
      </c>
    </row>
    <row r="64" spans="1:11" x14ac:dyDescent="0.25">
      <c r="A64" s="24" t="str">
        <f>IFERROR(INDEX(Personnel[Sicil],$K64),"")</f>
        <v/>
      </c>
      <c r="B64" s="25" t="str">
        <f>IFERROR(INDEX(Personnel[Adi Soyadi],$K64),"")</f>
        <v/>
      </c>
      <c r="C64" s="24" t="str">
        <f>IFERROR(INDEX(Personnel[Vatandaslik],$K64),"")</f>
        <v/>
      </c>
      <c r="D64" s="24" t="str">
        <f>IFERROR(INDEX(Personnel[Santiye],$K64),"")</f>
        <v/>
      </c>
      <c r="E64" s="24" t="str">
        <f>IFERROR(INDEX(Personnel[Ogretmen],$K64),"")</f>
        <v/>
      </c>
      <c r="F64" s="25" t="str">
        <f>IFERROR(INDEX(Personnel[[Sinav ]],$K64),"")</f>
        <v/>
      </c>
      <c r="G64" s="25" t="str">
        <f>IFERROR(INDEX(Personnel[Egtim durumu],$K64),"")</f>
        <v/>
      </c>
      <c r="H64" s="25" t="str">
        <f>IFERROR(INDEX(Personnel[Shohruh Not],$K64),"")</f>
        <v/>
      </c>
      <c r="I64" s="24" t="str">
        <f>IFERROR(INDEX(Personnel[Дней в РФ],$K64),"")</f>
        <v/>
      </c>
      <c r="K64" s="23" t="str">
        <f t="array" ref="K64">IFERROR(_xlfn.AGGREGATE(15,6,(ROW(Personnel[Egtim durumu])-MIN(ROW(Personnel[Egtim durumu]))+1)/((Personnel[Egtim durumu]="2 kere sinavden gecemedi")),ROWS($K$7:K64)),"")</f>
        <v/>
      </c>
    </row>
    <row r="65" spans="1:11" x14ac:dyDescent="0.25">
      <c r="A65" s="18" t="str">
        <f>IFERROR(INDEX(Personnel[Sicil],$K65),"")</f>
        <v/>
      </c>
      <c r="B65" s="17" t="str">
        <f>IFERROR(INDEX(Personnel[Adi Soyadi],$K65),"")</f>
        <v/>
      </c>
      <c r="C65" s="18" t="str">
        <f>IFERROR(INDEX(Personnel[Vatandaslik],$K65),"")</f>
        <v/>
      </c>
      <c r="D65" s="18" t="str">
        <f>IFERROR(INDEX(Personnel[Santiye],$K65),"")</f>
        <v/>
      </c>
      <c r="E65" s="18" t="str">
        <f>IFERROR(INDEX(Personnel[Ogretmen],$K65),"")</f>
        <v/>
      </c>
      <c r="F65" s="17" t="str">
        <f>IFERROR(INDEX(Personnel[[Sinav ]],$K65),"")</f>
        <v/>
      </c>
      <c r="G65" s="17" t="str">
        <f>IFERROR(INDEX(Personnel[Egtim durumu],$K65),"")</f>
        <v/>
      </c>
      <c r="H65" s="17" t="str">
        <f>IFERROR(INDEX(Personnel[Shohruh Not],$K65),"")</f>
        <v/>
      </c>
      <c r="I65" s="18" t="str">
        <f>IFERROR(INDEX(Personnel[Дней в РФ],$K65),"")</f>
        <v/>
      </c>
      <c r="K65" s="23" t="str">
        <f t="array" ref="K65">IFERROR(_xlfn.AGGREGATE(15,6,(ROW(Personnel[Egtim durumu])-MIN(ROW(Personnel[Egtim durumu]))+1)/((Personnel[Egtim durumu]="2 kere sinavden gecemedi")),ROWS($K$7:K65)),"")</f>
        <v/>
      </c>
    </row>
    <row r="66" spans="1:11" x14ac:dyDescent="0.25">
      <c r="A66" s="24" t="str">
        <f>IFERROR(INDEX(Personnel[Sicil],$K66),"")</f>
        <v/>
      </c>
      <c r="B66" s="25" t="str">
        <f>IFERROR(INDEX(Personnel[Adi Soyadi],$K66),"")</f>
        <v/>
      </c>
      <c r="C66" s="24" t="str">
        <f>IFERROR(INDEX(Personnel[Vatandaslik],$K66),"")</f>
        <v/>
      </c>
      <c r="D66" s="24" t="str">
        <f>IFERROR(INDEX(Personnel[Santiye],$K66),"")</f>
        <v/>
      </c>
      <c r="E66" s="24" t="str">
        <f>IFERROR(INDEX(Personnel[Ogretmen],$K66),"")</f>
        <v/>
      </c>
      <c r="F66" s="25" t="str">
        <f>IFERROR(INDEX(Personnel[[Sinav ]],$K66),"")</f>
        <v/>
      </c>
      <c r="G66" s="25" t="str">
        <f>IFERROR(INDEX(Personnel[Egtim durumu],$K66),"")</f>
        <v/>
      </c>
      <c r="H66" s="25" t="str">
        <f>IFERROR(INDEX(Personnel[Shohruh Not],$K66),"")</f>
        <v/>
      </c>
      <c r="I66" s="24" t="str">
        <f>IFERROR(INDEX(Personnel[Дней в РФ],$K66),"")</f>
        <v/>
      </c>
      <c r="K66" s="23" t="str">
        <f t="array" ref="K66">IFERROR(_xlfn.AGGREGATE(15,6,(ROW(Personnel[Egtim durumu])-MIN(ROW(Personnel[Egtim durumu]))+1)/((Personnel[Egtim durumu]="2 kere sinavden gecemedi")),ROWS($K$7:K66)),"")</f>
        <v/>
      </c>
    </row>
    <row r="67" spans="1:11" x14ac:dyDescent="0.25">
      <c r="A67" s="18" t="str">
        <f>IFERROR(INDEX(Personnel[Sicil],$K67),"")</f>
        <v/>
      </c>
      <c r="B67" s="17" t="str">
        <f>IFERROR(INDEX(Personnel[Adi Soyadi],$K67),"")</f>
        <v/>
      </c>
      <c r="C67" s="18" t="str">
        <f>IFERROR(INDEX(Personnel[Vatandaslik],$K67),"")</f>
        <v/>
      </c>
      <c r="D67" s="18" t="str">
        <f>IFERROR(INDEX(Personnel[Santiye],$K67),"")</f>
        <v/>
      </c>
      <c r="E67" s="18" t="str">
        <f>IFERROR(INDEX(Personnel[Ogretmen],$K67),"")</f>
        <v/>
      </c>
      <c r="F67" s="17" t="str">
        <f>IFERROR(INDEX(Personnel[[Sinav ]],$K67),"")</f>
        <v/>
      </c>
      <c r="G67" s="17" t="str">
        <f>IFERROR(INDEX(Personnel[Egtim durumu],$K67),"")</f>
        <v/>
      </c>
      <c r="H67" s="17" t="str">
        <f>IFERROR(INDEX(Personnel[Shohruh Not],$K67),"")</f>
        <v/>
      </c>
      <c r="I67" s="18" t="str">
        <f>IFERROR(INDEX(Personnel[Дней в РФ],$K67),"")</f>
        <v/>
      </c>
      <c r="K67" s="23" t="str">
        <f t="array" ref="K67">IFERROR(_xlfn.AGGREGATE(15,6,(ROW(Personnel[Egtim durumu])-MIN(ROW(Personnel[Egtim durumu]))+1)/((Personnel[Egtim durumu]="2 kere sinavden gecemedi")),ROWS($K$7:K67)),"")</f>
        <v/>
      </c>
    </row>
    <row r="68" spans="1:11" x14ac:dyDescent="0.25">
      <c r="A68" s="24" t="str">
        <f>IFERROR(INDEX(Personnel[Sicil],$K68),"")</f>
        <v/>
      </c>
      <c r="B68" s="25" t="str">
        <f>IFERROR(INDEX(Personnel[Adi Soyadi],$K68),"")</f>
        <v/>
      </c>
      <c r="C68" s="24" t="str">
        <f>IFERROR(INDEX(Personnel[Vatandaslik],$K68),"")</f>
        <v/>
      </c>
      <c r="D68" s="24" t="str">
        <f>IFERROR(INDEX(Personnel[Santiye],$K68),"")</f>
        <v/>
      </c>
      <c r="E68" s="24" t="str">
        <f>IFERROR(INDEX(Personnel[Ogretmen],$K68),"")</f>
        <v/>
      </c>
      <c r="F68" s="25" t="str">
        <f>IFERROR(INDEX(Personnel[[Sinav ]],$K68),"")</f>
        <v/>
      </c>
      <c r="G68" s="25" t="str">
        <f>IFERROR(INDEX(Personnel[Egtim durumu],$K68),"")</f>
        <v/>
      </c>
      <c r="H68" s="25" t="str">
        <f>IFERROR(INDEX(Personnel[Shohruh Not],$K68),"")</f>
        <v/>
      </c>
      <c r="I68" s="24" t="str">
        <f>IFERROR(INDEX(Personnel[Дней в РФ],$K68),"")</f>
        <v/>
      </c>
      <c r="K68" s="23" t="str">
        <f t="array" ref="K68">IFERROR(_xlfn.AGGREGATE(15,6,(ROW(Personnel[Egtim durumu])-MIN(ROW(Personnel[Egtim durumu]))+1)/((Personnel[Egtim durumu]="2 kere sinavden gecemedi")),ROWS($K$7:K68)),"")</f>
        <v/>
      </c>
    </row>
    <row r="69" spans="1:11" x14ac:dyDescent="0.25">
      <c r="A69" s="18" t="str">
        <f>IFERROR(INDEX(Personnel[Sicil],$K69),"")</f>
        <v/>
      </c>
      <c r="B69" s="17" t="str">
        <f>IFERROR(INDEX(Personnel[Adi Soyadi],$K69),"")</f>
        <v/>
      </c>
      <c r="C69" s="18" t="str">
        <f>IFERROR(INDEX(Personnel[Vatandaslik],$K69),"")</f>
        <v/>
      </c>
      <c r="D69" s="18" t="str">
        <f>IFERROR(INDEX(Personnel[Santiye],$K69),"")</f>
        <v/>
      </c>
      <c r="E69" s="18" t="str">
        <f>IFERROR(INDEX(Personnel[Ogretmen],$K69),"")</f>
        <v/>
      </c>
      <c r="F69" s="17" t="str">
        <f>IFERROR(INDEX(Personnel[[Sinav ]],$K69),"")</f>
        <v/>
      </c>
      <c r="G69" s="17" t="str">
        <f>IFERROR(INDEX(Personnel[Egtim durumu],$K69),"")</f>
        <v/>
      </c>
      <c r="H69" s="17" t="str">
        <f>IFERROR(INDEX(Personnel[Shohruh Not],$K69),"")</f>
        <v/>
      </c>
      <c r="I69" s="18" t="str">
        <f>IFERROR(INDEX(Personnel[Дней в РФ],$K69),"")</f>
        <v/>
      </c>
      <c r="K69" s="23" t="str">
        <f t="array" ref="K69">IFERROR(_xlfn.AGGREGATE(15,6,(ROW(Personnel[Egtim durumu])-MIN(ROW(Personnel[Egtim durumu]))+1)/((Personnel[Egtim durumu]="2 kere sinavden gecemedi")),ROWS($K$7:K69)),"")</f>
        <v/>
      </c>
    </row>
    <row r="70" spans="1:11" x14ac:dyDescent="0.25">
      <c r="A70" s="24" t="str">
        <f>IFERROR(INDEX(Personnel[Sicil],$K70),"")</f>
        <v/>
      </c>
      <c r="B70" s="25" t="str">
        <f>IFERROR(INDEX(Personnel[Adi Soyadi],$K70),"")</f>
        <v/>
      </c>
      <c r="C70" s="24" t="str">
        <f>IFERROR(INDEX(Personnel[Vatandaslik],$K70),"")</f>
        <v/>
      </c>
      <c r="D70" s="24" t="str">
        <f>IFERROR(INDEX(Personnel[Santiye],$K70),"")</f>
        <v/>
      </c>
      <c r="E70" s="24" t="str">
        <f>IFERROR(INDEX(Personnel[Ogretmen],$K70),"")</f>
        <v/>
      </c>
      <c r="F70" s="25" t="str">
        <f>IFERROR(INDEX(Personnel[[Sinav ]],$K70),"")</f>
        <v/>
      </c>
      <c r="G70" s="25" t="str">
        <f>IFERROR(INDEX(Personnel[Egtim durumu],$K70),"")</f>
        <v/>
      </c>
      <c r="H70" s="25" t="str">
        <f>IFERROR(INDEX(Personnel[Shohruh Not],$K70),"")</f>
        <v/>
      </c>
      <c r="I70" s="24" t="str">
        <f>IFERROR(INDEX(Personnel[Дней в РФ],$K70),"")</f>
        <v/>
      </c>
      <c r="K70" s="23" t="str">
        <f t="array" ref="K70">IFERROR(_xlfn.AGGREGATE(15,6,(ROW(Personnel[Egtim durumu])-MIN(ROW(Personnel[Egtim durumu]))+1)/((Personnel[Egtim durumu]="2 kere sinavden gecemedi")),ROWS($K$7:K70)),"")</f>
        <v/>
      </c>
    </row>
    <row r="71" spans="1:11" x14ac:dyDescent="0.25">
      <c r="A71" s="18" t="str">
        <f>IFERROR(INDEX(Personnel[Sicil],$K71),"")</f>
        <v/>
      </c>
      <c r="B71" s="17" t="str">
        <f>IFERROR(INDEX(Personnel[Adi Soyadi],$K71),"")</f>
        <v/>
      </c>
      <c r="C71" s="18" t="str">
        <f>IFERROR(INDEX(Personnel[Vatandaslik],$K71),"")</f>
        <v/>
      </c>
      <c r="D71" s="18" t="str">
        <f>IFERROR(INDEX(Personnel[Santiye],$K71),"")</f>
        <v/>
      </c>
      <c r="E71" s="18" t="str">
        <f>IFERROR(INDEX(Personnel[Ogretmen],$K71),"")</f>
        <v/>
      </c>
      <c r="F71" s="17" t="str">
        <f>IFERROR(INDEX(Personnel[[Sinav ]],$K71),"")</f>
        <v/>
      </c>
      <c r="G71" s="17" t="str">
        <f>IFERROR(INDEX(Personnel[Egtim durumu],$K71),"")</f>
        <v/>
      </c>
      <c r="H71" s="17" t="str">
        <f>IFERROR(INDEX(Personnel[Shohruh Not],$K71),"")</f>
        <v/>
      </c>
      <c r="I71" s="18" t="str">
        <f>IFERROR(INDEX(Personnel[Дней в РФ],$K71),"")</f>
        <v/>
      </c>
      <c r="K71" s="23" t="str">
        <f t="array" ref="K71">IFERROR(_xlfn.AGGREGATE(15,6,(ROW(Personnel[Egtim durumu])-MIN(ROW(Personnel[Egtim durumu]))+1)/((Personnel[Egtim durumu]="2 kere sinavden gecemedi")),ROWS($K$7:K71)),"")</f>
        <v/>
      </c>
    </row>
    <row r="72" spans="1:11" x14ac:dyDescent="0.25">
      <c r="A72" s="24" t="str">
        <f>IFERROR(INDEX(Personnel[Sicil],$K72),"")</f>
        <v/>
      </c>
      <c r="B72" s="25" t="str">
        <f>IFERROR(INDEX(Personnel[Adi Soyadi],$K72),"")</f>
        <v/>
      </c>
      <c r="C72" s="24" t="str">
        <f>IFERROR(INDEX(Personnel[Vatandaslik],$K72),"")</f>
        <v/>
      </c>
      <c r="D72" s="24" t="str">
        <f>IFERROR(INDEX(Personnel[Santiye],$K72),"")</f>
        <v/>
      </c>
      <c r="E72" s="24" t="str">
        <f>IFERROR(INDEX(Personnel[Ogretmen],$K72),"")</f>
        <v/>
      </c>
      <c r="F72" s="25" t="str">
        <f>IFERROR(INDEX(Personnel[[Sinav ]],$K72),"")</f>
        <v/>
      </c>
      <c r="G72" s="25" t="str">
        <f>IFERROR(INDEX(Personnel[Egtim durumu],$K72),"")</f>
        <v/>
      </c>
      <c r="H72" s="25" t="str">
        <f>IFERROR(INDEX(Personnel[Shohruh Not],$K72),"")</f>
        <v/>
      </c>
      <c r="I72" s="24" t="str">
        <f>IFERROR(INDEX(Personnel[Дней в РФ],$K72),"")</f>
        <v/>
      </c>
      <c r="K72" s="23" t="str">
        <f t="array" ref="K72">IFERROR(_xlfn.AGGREGATE(15,6,(ROW(Personnel[Egtim durumu])-MIN(ROW(Personnel[Egtim durumu]))+1)/((Personnel[Egtim durumu]="2 kere sinavden gecemedi")),ROWS($K$7:K72)),"")</f>
        <v/>
      </c>
    </row>
    <row r="73" spans="1:11" x14ac:dyDescent="0.25">
      <c r="A73" s="18" t="str">
        <f>IFERROR(INDEX(Personnel[Sicil],$K73),"")</f>
        <v/>
      </c>
      <c r="B73" s="17" t="str">
        <f>IFERROR(INDEX(Personnel[Adi Soyadi],$K73),"")</f>
        <v/>
      </c>
      <c r="C73" s="18" t="str">
        <f>IFERROR(INDEX(Personnel[Vatandaslik],$K73),"")</f>
        <v/>
      </c>
      <c r="D73" s="18" t="str">
        <f>IFERROR(INDEX(Personnel[Santiye],$K73),"")</f>
        <v/>
      </c>
      <c r="E73" s="18" t="str">
        <f>IFERROR(INDEX(Personnel[Ogretmen],$K73),"")</f>
        <v/>
      </c>
      <c r="F73" s="17" t="str">
        <f>IFERROR(INDEX(Personnel[[Sinav ]],$K73),"")</f>
        <v/>
      </c>
      <c r="G73" s="17" t="str">
        <f>IFERROR(INDEX(Personnel[Egtim durumu],$K73),"")</f>
        <v/>
      </c>
      <c r="H73" s="17" t="str">
        <f>IFERROR(INDEX(Personnel[Shohruh Not],$K73),"")</f>
        <v/>
      </c>
      <c r="I73" s="18" t="str">
        <f>IFERROR(INDEX(Personnel[Дней в РФ],$K73),"")</f>
        <v/>
      </c>
      <c r="K73" s="23" t="str">
        <f t="array" ref="K73">IFERROR(_xlfn.AGGREGATE(15,6,(ROW(Personnel[Egtim durumu])-MIN(ROW(Personnel[Egtim durumu]))+1)/((Personnel[Egtim durumu]="2 kere sinavden gecemedi")),ROWS($K$7:K73)),"")</f>
        <v/>
      </c>
    </row>
    <row r="74" spans="1:11" x14ac:dyDescent="0.25">
      <c r="A74" s="24" t="str">
        <f>IFERROR(INDEX(Personnel[Sicil],$K74),"")</f>
        <v/>
      </c>
      <c r="B74" s="25" t="str">
        <f>IFERROR(INDEX(Personnel[Adi Soyadi],$K74),"")</f>
        <v/>
      </c>
      <c r="C74" s="24" t="str">
        <f>IFERROR(INDEX(Personnel[Vatandaslik],$K74),"")</f>
        <v/>
      </c>
      <c r="D74" s="24" t="str">
        <f>IFERROR(INDEX(Personnel[Santiye],$K74),"")</f>
        <v/>
      </c>
      <c r="E74" s="24" t="str">
        <f>IFERROR(INDEX(Personnel[Ogretmen],$K74),"")</f>
        <v/>
      </c>
      <c r="F74" s="25" t="str">
        <f>IFERROR(INDEX(Personnel[[Sinav ]],$K74),"")</f>
        <v/>
      </c>
      <c r="G74" s="25" t="str">
        <f>IFERROR(INDEX(Personnel[Egtim durumu],$K74),"")</f>
        <v/>
      </c>
      <c r="H74" s="25" t="str">
        <f>IFERROR(INDEX(Personnel[Shohruh Not],$K74),"")</f>
        <v/>
      </c>
      <c r="I74" s="24" t="str">
        <f>IFERROR(INDEX(Personnel[Дней в РФ],$K74),"")</f>
        <v/>
      </c>
      <c r="K74" s="23" t="str">
        <f t="array" ref="K74">IFERROR(_xlfn.AGGREGATE(15,6,(ROW(Personnel[Egtim durumu])-MIN(ROW(Personnel[Egtim durumu]))+1)/((Personnel[Egtim durumu]="2 kere sinavden gecemedi")),ROWS($K$7:K74)),"")</f>
        <v/>
      </c>
    </row>
    <row r="75" spans="1:11" x14ac:dyDescent="0.25">
      <c r="A75" s="18" t="str">
        <f>IFERROR(INDEX(Personnel[Sicil],$K75),"")</f>
        <v/>
      </c>
      <c r="B75" s="17" t="str">
        <f>IFERROR(INDEX(Personnel[Adi Soyadi],$K75),"")</f>
        <v/>
      </c>
      <c r="C75" s="18" t="str">
        <f>IFERROR(INDEX(Personnel[Vatandaslik],$K75),"")</f>
        <v/>
      </c>
      <c r="D75" s="18" t="str">
        <f>IFERROR(INDEX(Personnel[Santiye],$K75),"")</f>
        <v/>
      </c>
      <c r="E75" s="18" t="str">
        <f>IFERROR(INDEX(Personnel[Ogretmen],$K75),"")</f>
        <v/>
      </c>
      <c r="F75" s="17" t="str">
        <f>IFERROR(INDEX(Personnel[[Sinav ]],$K75),"")</f>
        <v/>
      </c>
      <c r="G75" s="17" t="str">
        <f>IFERROR(INDEX(Personnel[Egtim durumu],$K75),"")</f>
        <v/>
      </c>
      <c r="H75" s="17" t="str">
        <f>IFERROR(INDEX(Personnel[Shohruh Not],$K75),"")</f>
        <v/>
      </c>
      <c r="I75" s="18" t="str">
        <f>IFERROR(INDEX(Personnel[Дней в РФ],$K75),"")</f>
        <v/>
      </c>
      <c r="K75" s="23" t="str">
        <f t="array" ref="K75">IFERROR(_xlfn.AGGREGATE(15,6,(ROW(Personnel[Egtim durumu])-MIN(ROW(Personnel[Egtim durumu]))+1)/((Personnel[Egtim durumu]="2 kere sinavden gecemedi")),ROWS($K$7:K75)),"")</f>
        <v/>
      </c>
    </row>
    <row r="76" spans="1:11" x14ac:dyDescent="0.25">
      <c r="A76" s="24" t="str">
        <f>IFERROR(INDEX(Personnel[Sicil],$K76),"")</f>
        <v/>
      </c>
      <c r="B76" s="25" t="str">
        <f>IFERROR(INDEX(Personnel[Adi Soyadi],$K76),"")</f>
        <v/>
      </c>
      <c r="C76" s="24" t="str">
        <f>IFERROR(INDEX(Personnel[Vatandaslik],$K76),"")</f>
        <v/>
      </c>
      <c r="D76" s="24" t="str">
        <f>IFERROR(INDEX(Personnel[Santiye],$K76),"")</f>
        <v/>
      </c>
      <c r="E76" s="24" t="str">
        <f>IFERROR(INDEX(Personnel[Ogretmen],$K76),"")</f>
        <v/>
      </c>
      <c r="F76" s="25" t="str">
        <f>IFERROR(INDEX(Personnel[[Sinav ]],$K76),"")</f>
        <v/>
      </c>
      <c r="G76" s="25" t="str">
        <f>IFERROR(INDEX(Personnel[Egtim durumu],$K76),"")</f>
        <v/>
      </c>
      <c r="H76" s="25" t="str">
        <f>IFERROR(INDEX(Personnel[Shohruh Not],$K76),"")</f>
        <v/>
      </c>
      <c r="I76" s="24" t="str">
        <f>IFERROR(INDEX(Personnel[Дней в РФ],$K76),"")</f>
        <v/>
      </c>
      <c r="K76" s="23" t="str">
        <f t="array" ref="K76">IFERROR(_xlfn.AGGREGATE(15,6,(ROW(Personnel[Egtim durumu])-MIN(ROW(Personnel[Egtim durumu]))+1)/((Personnel[Egtim durumu]="2 kere sinavden gecemedi")),ROWS($K$7:K76)),"")</f>
        <v/>
      </c>
    </row>
    <row r="77" spans="1:11" x14ac:dyDescent="0.25">
      <c r="A77" s="18" t="str">
        <f>IFERROR(INDEX(Personnel[Sicil],$K77),"")</f>
        <v/>
      </c>
      <c r="B77" s="17" t="str">
        <f>IFERROR(INDEX(Personnel[Adi Soyadi],$K77),"")</f>
        <v/>
      </c>
      <c r="C77" s="18" t="str">
        <f>IFERROR(INDEX(Personnel[Vatandaslik],$K77),"")</f>
        <v/>
      </c>
      <c r="D77" s="18" t="str">
        <f>IFERROR(INDEX(Personnel[Santiye],$K77),"")</f>
        <v/>
      </c>
      <c r="E77" s="18" t="str">
        <f>IFERROR(INDEX(Personnel[Ogretmen],$K77),"")</f>
        <v/>
      </c>
      <c r="F77" s="17" t="str">
        <f>IFERROR(INDEX(Personnel[[Sinav ]],$K77),"")</f>
        <v/>
      </c>
      <c r="G77" s="17" t="str">
        <f>IFERROR(INDEX(Personnel[Egtim durumu],$K77),"")</f>
        <v/>
      </c>
      <c r="H77" s="17" t="str">
        <f>IFERROR(INDEX(Personnel[Shohruh Not],$K77),"")</f>
        <v/>
      </c>
      <c r="I77" s="18" t="str">
        <f>IFERROR(INDEX(Personnel[Дней в РФ],$K77),"")</f>
        <v/>
      </c>
      <c r="K77" s="23" t="str">
        <f t="array" ref="K77">IFERROR(_xlfn.AGGREGATE(15,6,(ROW(Personnel[Egtim durumu])-MIN(ROW(Personnel[Egtim durumu]))+1)/((Personnel[Egtim durumu]="2 kere sinavden gecemedi")),ROWS($K$7:K77)),"")</f>
        <v/>
      </c>
    </row>
    <row r="78" spans="1:11" x14ac:dyDescent="0.25">
      <c r="A78" s="24" t="str">
        <f>IFERROR(INDEX(Personnel[Sicil],$K78),"")</f>
        <v/>
      </c>
      <c r="B78" s="25" t="str">
        <f>IFERROR(INDEX(Personnel[Adi Soyadi],$K78),"")</f>
        <v/>
      </c>
      <c r="C78" s="24" t="str">
        <f>IFERROR(INDEX(Personnel[Vatandaslik],$K78),"")</f>
        <v/>
      </c>
      <c r="D78" s="24" t="str">
        <f>IFERROR(INDEX(Personnel[Santiye],$K78),"")</f>
        <v/>
      </c>
      <c r="E78" s="24" t="str">
        <f>IFERROR(INDEX(Personnel[Ogretmen],$K78),"")</f>
        <v/>
      </c>
      <c r="F78" s="25" t="str">
        <f>IFERROR(INDEX(Personnel[[Sinav ]],$K78),"")</f>
        <v/>
      </c>
      <c r="G78" s="25" t="str">
        <f>IFERROR(INDEX(Personnel[Egtim durumu],$K78),"")</f>
        <v/>
      </c>
      <c r="H78" s="25" t="str">
        <f>IFERROR(INDEX(Personnel[Shohruh Not],$K78),"")</f>
        <v/>
      </c>
      <c r="I78" s="24" t="str">
        <f>IFERROR(INDEX(Personnel[Дней в РФ],$K78),"")</f>
        <v/>
      </c>
      <c r="K78" s="23" t="str">
        <f t="array" ref="K78">IFERROR(_xlfn.AGGREGATE(15,6,(ROW(Personnel[Egtim durumu])-MIN(ROW(Personnel[Egtim durumu]))+1)/((Personnel[Egtim durumu]="2 kere sinavden gecemedi")),ROWS($K$7:K78)),"")</f>
        <v/>
      </c>
    </row>
    <row r="79" spans="1:11" x14ac:dyDescent="0.25">
      <c r="A79" s="18" t="str">
        <f>IFERROR(INDEX(Personnel[Sicil],$K79),"")</f>
        <v/>
      </c>
      <c r="B79" s="17" t="str">
        <f>IFERROR(INDEX(Personnel[Adi Soyadi],$K79),"")</f>
        <v/>
      </c>
      <c r="C79" s="18" t="str">
        <f>IFERROR(INDEX(Personnel[Vatandaslik],$K79),"")</f>
        <v/>
      </c>
      <c r="D79" s="18" t="str">
        <f>IFERROR(INDEX(Personnel[Santiye],$K79),"")</f>
        <v/>
      </c>
      <c r="E79" s="18" t="str">
        <f>IFERROR(INDEX(Personnel[Ogretmen],$K79),"")</f>
        <v/>
      </c>
      <c r="F79" s="17" t="str">
        <f>IFERROR(INDEX(Personnel[[Sinav ]],$K79),"")</f>
        <v/>
      </c>
      <c r="G79" s="17" t="str">
        <f>IFERROR(INDEX(Personnel[Egtim durumu],$K79),"")</f>
        <v/>
      </c>
      <c r="H79" s="17" t="str">
        <f>IFERROR(INDEX(Personnel[Shohruh Not],$K79),"")</f>
        <v/>
      </c>
      <c r="I79" s="18" t="str">
        <f>IFERROR(INDEX(Personnel[Дней в РФ],$K79),"")</f>
        <v/>
      </c>
      <c r="K79" s="23" t="str">
        <f t="array" ref="K79">IFERROR(_xlfn.AGGREGATE(15,6,(ROW(Personnel[Egtim durumu])-MIN(ROW(Personnel[Egtim durumu]))+1)/((Personnel[Egtim durumu]="2 kere sinavden gecemedi")),ROWS($K$7:K79)),"")</f>
        <v/>
      </c>
    </row>
    <row r="80" spans="1:11" x14ac:dyDescent="0.25">
      <c r="A80" s="24" t="str">
        <f>IFERROR(INDEX(Personnel[Sicil],$K80),"")</f>
        <v/>
      </c>
      <c r="B80" s="25" t="str">
        <f>IFERROR(INDEX(Personnel[Adi Soyadi],$K80),"")</f>
        <v/>
      </c>
      <c r="C80" s="24" t="str">
        <f>IFERROR(INDEX(Personnel[Vatandaslik],$K80),"")</f>
        <v/>
      </c>
      <c r="D80" s="24" t="str">
        <f>IFERROR(INDEX(Personnel[Santiye],$K80),"")</f>
        <v/>
      </c>
      <c r="E80" s="24" t="str">
        <f>IFERROR(INDEX(Personnel[Ogretmen],$K80),"")</f>
        <v/>
      </c>
      <c r="F80" s="25" t="str">
        <f>IFERROR(INDEX(Personnel[[Sinav ]],$K80),"")</f>
        <v/>
      </c>
      <c r="G80" s="25" t="str">
        <f>IFERROR(INDEX(Personnel[Egtim durumu],$K80),"")</f>
        <v/>
      </c>
      <c r="H80" s="25" t="str">
        <f>IFERROR(INDEX(Personnel[Shohruh Not],$K80),"")</f>
        <v/>
      </c>
      <c r="I80" s="24" t="str">
        <f>IFERROR(INDEX(Personnel[Дней в РФ],$K80),"")</f>
        <v/>
      </c>
      <c r="K80" s="23" t="str">
        <f t="array" ref="K80">IFERROR(_xlfn.AGGREGATE(15,6,(ROW(Personnel[Egtim durumu])-MIN(ROW(Personnel[Egtim durumu]))+1)/((Personnel[Egtim durumu]="2 kere sinavden gecemedi")),ROWS($K$7:K80)),"")</f>
        <v/>
      </c>
    </row>
    <row r="81" spans="1:11" x14ac:dyDescent="0.25">
      <c r="A81" s="18" t="str">
        <f>IFERROR(INDEX(Personnel[Sicil],$K81),"")</f>
        <v/>
      </c>
      <c r="B81" s="17" t="str">
        <f>IFERROR(INDEX(Personnel[Adi Soyadi],$K81),"")</f>
        <v/>
      </c>
      <c r="C81" s="18" t="str">
        <f>IFERROR(INDEX(Personnel[Vatandaslik],$K81),"")</f>
        <v/>
      </c>
      <c r="D81" s="18" t="str">
        <f>IFERROR(INDEX(Personnel[Santiye],$K81),"")</f>
        <v/>
      </c>
      <c r="E81" s="18" t="str">
        <f>IFERROR(INDEX(Personnel[Ogretmen],$K81),"")</f>
        <v/>
      </c>
      <c r="F81" s="17" t="str">
        <f>IFERROR(INDEX(Personnel[[Sinav ]],$K81),"")</f>
        <v/>
      </c>
      <c r="G81" s="17" t="str">
        <f>IFERROR(INDEX(Personnel[Egtim durumu],$K81),"")</f>
        <v/>
      </c>
      <c r="H81" s="17" t="str">
        <f>IFERROR(INDEX(Personnel[Shohruh Not],$K81),"")</f>
        <v/>
      </c>
      <c r="I81" s="18" t="str">
        <f>IFERROR(INDEX(Personnel[Дней в РФ],$K81),"")</f>
        <v/>
      </c>
      <c r="K81" s="23" t="str">
        <f t="array" ref="K81">IFERROR(_xlfn.AGGREGATE(15,6,(ROW(Personnel[Egtim durumu])-MIN(ROW(Personnel[Egtim durumu]))+1)/((Personnel[Egtim durumu]="2 kere sinavden gecemedi")),ROWS($K$7:K81)),"")</f>
        <v/>
      </c>
    </row>
    <row r="82" spans="1:11" x14ac:dyDescent="0.25">
      <c r="A82" s="24" t="str">
        <f>IFERROR(INDEX(Personnel[Sicil],$K82),"")</f>
        <v/>
      </c>
      <c r="B82" s="25" t="str">
        <f>IFERROR(INDEX(Personnel[Adi Soyadi],$K82),"")</f>
        <v/>
      </c>
      <c r="C82" s="24" t="str">
        <f>IFERROR(INDEX(Personnel[Vatandaslik],$K82),"")</f>
        <v/>
      </c>
      <c r="D82" s="24" t="str">
        <f>IFERROR(INDEX(Personnel[Santiye],$K82),"")</f>
        <v/>
      </c>
      <c r="E82" s="24" t="str">
        <f>IFERROR(INDEX(Personnel[Ogretmen],$K82),"")</f>
        <v/>
      </c>
      <c r="F82" s="25" t="str">
        <f>IFERROR(INDEX(Personnel[[Sinav ]],$K82),"")</f>
        <v/>
      </c>
      <c r="G82" s="25" t="str">
        <f>IFERROR(INDEX(Personnel[Egtim durumu],$K82),"")</f>
        <v/>
      </c>
      <c r="H82" s="25" t="str">
        <f>IFERROR(INDEX(Personnel[Shohruh Not],$K82),"")</f>
        <v/>
      </c>
      <c r="I82" s="24" t="str">
        <f>IFERROR(INDEX(Personnel[Дней в РФ],$K82),"")</f>
        <v/>
      </c>
      <c r="K82" s="23" t="str">
        <f t="array" ref="K82">IFERROR(_xlfn.AGGREGATE(15,6,(ROW(Personnel[Egtim durumu])-MIN(ROW(Personnel[Egtim durumu]))+1)/((Personnel[Egtim durumu]="2 kere sinavden gecemedi")),ROWS($K$7:K82)),"")</f>
        <v/>
      </c>
    </row>
    <row r="83" spans="1:11" x14ac:dyDescent="0.25">
      <c r="A83" s="18" t="str">
        <f>IFERROR(INDEX(Personnel[Sicil],$K83),"")</f>
        <v/>
      </c>
      <c r="B83" s="17" t="str">
        <f>IFERROR(INDEX(Personnel[Adi Soyadi],$K83),"")</f>
        <v/>
      </c>
      <c r="C83" s="18" t="str">
        <f>IFERROR(INDEX(Personnel[Vatandaslik],$K83),"")</f>
        <v/>
      </c>
      <c r="D83" s="18" t="str">
        <f>IFERROR(INDEX(Personnel[Santiye],$K83),"")</f>
        <v/>
      </c>
      <c r="E83" s="18" t="str">
        <f>IFERROR(INDEX(Personnel[Ogretmen],$K83),"")</f>
        <v/>
      </c>
      <c r="F83" s="17" t="str">
        <f>IFERROR(INDEX(Personnel[[Sinav ]],$K83),"")</f>
        <v/>
      </c>
      <c r="G83" s="17" t="str">
        <f>IFERROR(INDEX(Personnel[Egtim durumu],$K83),"")</f>
        <v/>
      </c>
      <c r="H83" s="17" t="str">
        <f>IFERROR(INDEX(Personnel[Shohruh Not],$K83),"")</f>
        <v/>
      </c>
      <c r="I83" s="18" t="str">
        <f>IFERROR(INDEX(Personnel[Дней в РФ],$K83),"")</f>
        <v/>
      </c>
      <c r="K83" s="23" t="str">
        <f t="array" ref="K83">IFERROR(_xlfn.AGGREGATE(15,6,(ROW(Personnel[Egtim durumu])-MIN(ROW(Personnel[Egtim durumu]))+1)/((Personnel[Egtim durumu]="2 kere sinavden gecemedi")),ROWS($K$7:K83)),"")</f>
        <v/>
      </c>
    </row>
    <row r="84" spans="1:11" x14ac:dyDescent="0.25">
      <c r="A84" s="24" t="str">
        <f>IFERROR(INDEX(Personnel[Sicil],$K84),"")</f>
        <v/>
      </c>
      <c r="B84" s="25" t="str">
        <f>IFERROR(INDEX(Personnel[Adi Soyadi],$K84),"")</f>
        <v/>
      </c>
      <c r="C84" s="24" t="str">
        <f>IFERROR(INDEX(Personnel[Vatandaslik],$K84),"")</f>
        <v/>
      </c>
      <c r="D84" s="24" t="str">
        <f>IFERROR(INDEX(Personnel[Santiye],$K84),"")</f>
        <v/>
      </c>
      <c r="E84" s="24" t="str">
        <f>IFERROR(INDEX(Personnel[Ogretmen],$K84),"")</f>
        <v/>
      </c>
      <c r="F84" s="25" t="str">
        <f>IFERROR(INDEX(Personnel[[Sinav ]],$K84),"")</f>
        <v/>
      </c>
      <c r="G84" s="25" t="str">
        <f>IFERROR(INDEX(Personnel[Egtim durumu],$K84),"")</f>
        <v/>
      </c>
      <c r="H84" s="25" t="str">
        <f>IFERROR(INDEX(Personnel[Shohruh Not],$K84),"")</f>
        <v/>
      </c>
      <c r="I84" s="24" t="str">
        <f>IFERROR(INDEX(Personnel[Дней в РФ],$K84),"")</f>
        <v/>
      </c>
      <c r="K84" s="23" t="str">
        <f t="array" ref="K84">IFERROR(_xlfn.AGGREGATE(15,6,(ROW(Personnel[Egtim durumu])-MIN(ROW(Personnel[Egtim durumu]))+1)/((Personnel[Egtim durumu]="2 kere sinavden gecemedi")),ROWS($K$7:K84)),"")</f>
        <v/>
      </c>
    </row>
    <row r="85" spans="1:11" x14ac:dyDescent="0.25">
      <c r="A85" s="18" t="str">
        <f>IFERROR(INDEX(Personnel[Sicil],$K85),"")</f>
        <v/>
      </c>
      <c r="B85" s="17" t="str">
        <f>IFERROR(INDEX(Personnel[Adi Soyadi],$K85),"")</f>
        <v/>
      </c>
      <c r="C85" s="18" t="str">
        <f>IFERROR(INDEX(Personnel[Vatandaslik],$K85),"")</f>
        <v/>
      </c>
      <c r="D85" s="18" t="str">
        <f>IFERROR(INDEX(Personnel[Santiye],$K85),"")</f>
        <v/>
      </c>
      <c r="E85" s="18" t="str">
        <f>IFERROR(INDEX(Personnel[Ogretmen],$K85),"")</f>
        <v/>
      </c>
      <c r="F85" s="17" t="str">
        <f>IFERROR(INDEX(Personnel[[Sinav ]],$K85),"")</f>
        <v/>
      </c>
      <c r="G85" s="17" t="str">
        <f>IFERROR(INDEX(Personnel[Egtim durumu],$K85),"")</f>
        <v/>
      </c>
      <c r="H85" s="17" t="str">
        <f>IFERROR(INDEX(Personnel[Shohruh Not],$K85),"")</f>
        <v/>
      </c>
      <c r="I85" s="18" t="str">
        <f>IFERROR(INDEX(Personnel[Дней в РФ],$K85),"")</f>
        <v/>
      </c>
      <c r="K85" s="23" t="str">
        <f t="array" ref="K85">IFERROR(_xlfn.AGGREGATE(15,6,(ROW(Personnel[Egtim durumu])-MIN(ROW(Personnel[Egtim durumu]))+1)/((Personnel[Egtim durumu]="2 kere sinavden gecemedi")),ROWS($K$7:K85)),"")</f>
        <v/>
      </c>
    </row>
    <row r="86" spans="1:11" x14ac:dyDescent="0.25">
      <c r="A86" s="24" t="str">
        <f>IFERROR(INDEX(Personnel[Sicil],$K86),"")</f>
        <v/>
      </c>
      <c r="B86" s="25" t="str">
        <f>IFERROR(INDEX(Personnel[Adi Soyadi],$K86),"")</f>
        <v/>
      </c>
      <c r="C86" s="24" t="str">
        <f>IFERROR(INDEX(Personnel[Vatandaslik],$K86),"")</f>
        <v/>
      </c>
      <c r="D86" s="24" t="str">
        <f>IFERROR(INDEX(Personnel[Santiye],$K86),"")</f>
        <v/>
      </c>
      <c r="E86" s="24" t="str">
        <f>IFERROR(INDEX(Personnel[Ogretmen],$K86),"")</f>
        <v/>
      </c>
      <c r="F86" s="25" t="str">
        <f>IFERROR(INDEX(Personnel[[Sinav ]],$K86),"")</f>
        <v/>
      </c>
      <c r="G86" s="25" t="str">
        <f>IFERROR(INDEX(Personnel[Egtim durumu],$K86),"")</f>
        <v/>
      </c>
      <c r="H86" s="25" t="str">
        <f>IFERROR(INDEX(Personnel[Shohruh Not],$K86),"")</f>
        <v/>
      </c>
      <c r="I86" s="24" t="str">
        <f>IFERROR(INDEX(Personnel[Дней в РФ],$K86),"")</f>
        <v/>
      </c>
      <c r="K86" s="23" t="str">
        <f t="array" ref="K86">IFERROR(_xlfn.AGGREGATE(15,6,(ROW(Personnel[Egtim durumu])-MIN(ROW(Personnel[Egtim durumu]))+1)/((Personnel[Egtim durumu]="2 kere sinavden gecemedi")),ROWS($K$7:K86)),"")</f>
        <v/>
      </c>
    </row>
    <row r="87" spans="1:11" x14ac:dyDescent="0.25">
      <c r="A87" s="18" t="str">
        <f>IFERROR(INDEX(Personnel[Sicil],$K87),"")</f>
        <v/>
      </c>
      <c r="B87" s="17" t="str">
        <f>IFERROR(INDEX(Personnel[Adi Soyadi],$K87),"")</f>
        <v/>
      </c>
      <c r="C87" s="18" t="str">
        <f>IFERROR(INDEX(Personnel[Vatandaslik],$K87),"")</f>
        <v/>
      </c>
      <c r="D87" s="18" t="str">
        <f>IFERROR(INDEX(Personnel[Santiye],$K87),"")</f>
        <v/>
      </c>
      <c r="E87" s="18" t="str">
        <f>IFERROR(INDEX(Personnel[Ogretmen],$K87),"")</f>
        <v/>
      </c>
      <c r="F87" s="17" t="str">
        <f>IFERROR(INDEX(Personnel[[Sinav ]],$K87),"")</f>
        <v/>
      </c>
      <c r="G87" s="17" t="str">
        <f>IFERROR(INDEX(Personnel[Egtim durumu],$K87),"")</f>
        <v/>
      </c>
      <c r="H87" s="17" t="str">
        <f>IFERROR(INDEX(Personnel[Shohruh Not],$K87),"")</f>
        <v/>
      </c>
      <c r="I87" s="18" t="str">
        <f>IFERROR(INDEX(Personnel[Дней в РФ],$K87),"")</f>
        <v/>
      </c>
      <c r="K87" s="23" t="str">
        <f t="array" ref="K87">IFERROR(_xlfn.AGGREGATE(15,6,(ROW(Personnel[Egtim durumu])-MIN(ROW(Personnel[Egtim durumu]))+1)/((Personnel[Egtim durumu]="2 kere sinavden gecemedi")),ROWS($K$7:K87)),"")</f>
        <v/>
      </c>
    </row>
    <row r="88" spans="1:11" x14ac:dyDescent="0.25">
      <c r="A88" s="24" t="str">
        <f>IFERROR(INDEX(Personnel[Sicil],$K88),"")</f>
        <v/>
      </c>
      <c r="B88" s="25" t="str">
        <f>IFERROR(INDEX(Personnel[Adi Soyadi],$K88),"")</f>
        <v/>
      </c>
      <c r="C88" s="24" t="str">
        <f>IFERROR(INDEX(Personnel[Vatandaslik],$K88),"")</f>
        <v/>
      </c>
      <c r="D88" s="24" t="str">
        <f>IFERROR(INDEX(Personnel[Santiye],$K88),"")</f>
        <v/>
      </c>
      <c r="E88" s="24" t="str">
        <f>IFERROR(INDEX(Personnel[Ogretmen],$K88),"")</f>
        <v/>
      </c>
      <c r="F88" s="25" t="str">
        <f>IFERROR(INDEX(Personnel[[Sinav ]],$K88),"")</f>
        <v/>
      </c>
      <c r="G88" s="25" t="str">
        <f>IFERROR(INDEX(Personnel[Egtim durumu],$K88),"")</f>
        <v/>
      </c>
      <c r="H88" s="25" t="str">
        <f>IFERROR(INDEX(Personnel[Shohruh Not],$K88),"")</f>
        <v/>
      </c>
      <c r="I88" s="24" t="str">
        <f>IFERROR(INDEX(Personnel[Дней в РФ],$K88),"")</f>
        <v/>
      </c>
      <c r="K88" s="23" t="str">
        <f t="array" ref="K88">IFERROR(_xlfn.AGGREGATE(15,6,(ROW(Personnel[Egtim durumu])-MIN(ROW(Personnel[Egtim durumu]))+1)/((Personnel[Egtim durumu]="2 kere sinavden gecemedi")),ROWS($K$7:K88)),"")</f>
        <v/>
      </c>
    </row>
    <row r="89" spans="1:11" x14ac:dyDescent="0.25">
      <c r="A89" s="18" t="str">
        <f>IFERROR(INDEX(Personnel[Sicil],$K89),"")</f>
        <v/>
      </c>
      <c r="B89" s="17" t="str">
        <f>IFERROR(INDEX(Personnel[Adi Soyadi],$K89),"")</f>
        <v/>
      </c>
      <c r="C89" s="18" t="str">
        <f>IFERROR(INDEX(Personnel[Vatandaslik],$K89),"")</f>
        <v/>
      </c>
      <c r="D89" s="18" t="str">
        <f>IFERROR(INDEX(Personnel[Santiye],$K89),"")</f>
        <v/>
      </c>
      <c r="E89" s="18" t="str">
        <f>IFERROR(INDEX(Personnel[Ogretmen],$K89),"")</f>
        <v/>
      </c>
      <c r="F89" s="17" t="str">
        <f>IFERROR(INDEX(Personnel[[Sinav ]],$K89),"")</f>
        <v/>
      </c>
      <c r="G89" s="17" t="str">
        <f>IFERROR(INDEX(Personnel[Egtim durumu],$K89),"")</f>
        <v/>
      </c>
      <c r="H89" s="17" t="str">
        <f>IFERROR(INDEX(Personnel[Shohruh Not],$K89),"")</f>
        <v/>
      </c>
      <c r="I89" s="18" t="str">
        <f>IFERROR(INDEX(Personnel[Дней в РФ],$K89),"")</f>
        <v/>
      </c>
      <c r="K89" s="23" t="str">
        <f t="array" ref="K89">IFERROR(_xlfn.AGGREGATE(15,6,(ROW(Personnel[Egtim durumu])-MIN(ROW(Personnel[Egtim durumu]))+1)/((Personnel[Egtim durumu]="2 kere sinavden gecemedi")),ROWS($K$7:K89)),"")</f>
        <v/>
      </c>
    </row>
    <row r="90" spans="1:11" x14ac:dyDescent="0.25">
      <c r="A90" s="24" t="str">
        <f>IFERROR(INDEX(Personnel[Sicil],$K90),"")</f>
        <v/>
      </c>
      <c r="B90" s="25" t="str">
        <f>IFERROR(INDEX(Personnel[Adi Soyadi],$K90),"")</f>
        <v/>
      </c>
      <c r="C90" s="24" t="str">
        <f>IFERROR(INDEX(Personnel[Vatandaslik],$K90),"")</f>
        <v/>
      </c>
      <c r="D90" s="24" t="str">
        <f>IFERROR(INDEX(Personnel[Santiye],$K90),"")</f>
        <v/>
      </c>
      <c r="E90" s="24" t="str">
        <f>IFERROR(INDEX(Personnel[Ogretmen],$K90),"")</f>
        <v/>
      </c>
      <c r="F90" s="25" t="str">
        <f>IFERROR(INDEX(Personnel[[Sinav ]],$K90),"")</f>
        <v/>
      </c>
      <c r="G90" s="25" t="str">
        <f>IFERROR(INDEX(Personnel[Egtim durumu],$K90),"")</f>
        <v/>
      </c>
      <c r="H90" s="25" t="str">
        <f>IFERROR(INDEX(Personnel[Shohruh Not],$K90),"")</f>
        <v/>
      </c>
      <c r="I90" s="24" t="str">
        <f>IFERROR(INDEX(Personnel[Дней в РФ],$K90),"")</f>
        <v/>
      </c>
      <c r="K90" s="23" t="str">
        <f t="array" ref="K90">IFERROR(_xlfn.AGGREGATE(15,6,(ROW(Personnel[Egtim durumu])-MIN(ROW(Personnel[Egtim durumu]))+1)/((Personnel[Egtim durumu]="2 kere sinavden gecemedi")),ROWS($K$7:K90)),"")</f>
        <v/>
      </c>
    </row>
    <row r="91" spans="1:11" x14ac:dyDescent="0.25">
      <c r="A91" s="18" t="str">
        <f>IFERROR(INDEX(Personnel[Sicil],$K91),"")</f>
        <v/>
      </c>
      <c r="B91" s="17" t="str">
        <f>IFERROR(INDEX(Personnel[Adi Soyadi],$K91),"")</f>
        <v/>
      </c>
      <c r="C91" s="18" t="str">
        <f>IFERROR(INDEX(Personnel[Vatandaslik],$K91),"")</f>
        <v/>
      </c>
      <c r="D91" s="18" t="str">
        <f>IFERROR(INDEX(Personnel[Santiye],$K91),"")</f>
        <v/>
      </c>
      <c r="E91" s="18" t="str">
        <f>IFERROR(INDEX(Personnel[Ogretmen],$K91),"")</f>
        <v/>
      </c>
      <c r="F91" s="17" t="str">
        <f>IFERROR(INDEX(Personnel[[Sinav ]],$K91),"")</f>
        <v/>
      </c>
      <c r="G91" s="17" t="str">
        <f>IFERROR(INDEX(Personnel[Egtim durumu],$K91),"")</f>
        <v/>
      </c>
      <c r="H91" s="17" t="str">
        <f>IFERROR(INDEX(Personnel[Shohruh Not],$K91),"")</f>
        <v/>
      </c>
      <c r="I91" s="18" t="str">
        <f>IFERROR(INDEX(Personnel[Дней в РФ],$K91),"")</f>
        <v/>
      </c>
      <c r="K91" s="23" t="str">
        <f t="array" ref="K91">IFERROR(_xlfn.AGGREGATE(15,6,(ROW(Personnel[Egtim durumu])-MIN(ROW(Personnel[Egtim durumu]))+1)/((Personnel[Egtim durumu]="2 kere sinavden gecemedi")),ROWS($K$7:K91)),"")</f>
        <v/>
      </c>
    </row>
    <row r="92" spans="1:11" x14ac:dyDescent="0.25">
      <c r="A92" s="24" t="str">
        <f>IFERROR(INDEX(Personnel[Sicil],$K92),"")</f>
        <v/>
      </c>
      <c r="B92" s="25" t="str">
        <f>IFERROR(INDEX(Personnel[Adi Soyadi],$K92),"")</f>
        <v/>
      </c>
      <c r="C92" s="24" t="str">
        <f>IFERROR(INDEX(Personnel[Vatandaslik],$K92),"")</f>
        <v/>
      </c>
      <c r="D92" s="24" t="str">
        <f>IFERROR(INDEX(Personnel[Santiye],$K92),"")</f>
        <v/>
      </c>
      <c r="E92" s="24" t="str">
        <f>IFERROR(INDEX(Personnel[Ogretmen],$K92),"")</f>
        <v/>
      </c>
      <c r="F92" s="25" t="str">
        <f>IFERROR(INDEX(Personnel[[Sinav ]],$K92),"")</f>
        <v/>
      </c>
      <c r="G92" s="25" t="str">
        <f>IFERROR(INDEX(Personnel[Egtim durumu],$K92),"")</f>
        <v/>
      </c>
      <c r="H92" s="25" t="str">
        <f>IFERROR(INDEX(Personnel[Shohruh Not],$K92),"")</f>
        <v/>
      </c>
      <c r="I92" s="24" t="str">
        <f>IFERROR(INDEX(Personnel[Дней в РФ],$K92),"")</f>
        <v/>
      </c>
      <c r="K92" s="23" t="str">
        <f t="array" ref="K92">IFERROR(_xlfn.AGGREGATE(15,6,(ROW(Personnel[Egtim durumu])-MIN(ROW(Personnel[Egtim durumu]))+1)/((Personnel[Egtim durumu]="2 kere sinavden gecemedi")),ROWS($K$7:K92)),"")</f>
        <v/>
      </c>
    </row>
    <row r="93" spans="1:11" x14ac:dyDescent="0.25">
      <c r="A93" s="18" t="str">
        <f>IFERROR(INDEX(Personnel[Sicil],$K93),"")</f>
        <v/>
      </c>
      <c r="B93" s="17" t="str">
        <f>IFERROR(INDEX(Personnel[Adi Soyadi],$K93),"")</f>
        <v/>
      </c>
      <c r="C93" s="18" t="str">
        <f>IFERROR(INDEX(Personnel[Vatandaslik],$K93),"")</f>
        <v/>
      </c>
      <c r="D93" s="18" t="str">
        <f>IFERROR(INDEX(Personnel[Santiye],$K93),"")</f>
        <v/>
      </c>
      <c r="E93" s="18" t="str">
        <f>IFERROR(INDEX(Personnel[Ogretmen],$K93),"")</f>
        <v/>
      </c>
      <c r="F93" s="17" t="str">
        <f>IFERROR(INDEX(Personnel[[Sinav ]],$K93),"")</f>
        <v/>
      </c>
      <c r="G93" s="17" t="str">
        <f>IFERROR(INDEX(Personnel[Egtim durumu],$K93),"")</f>
        <v/>
      </c>
      <c r="H93" s="17" t="str">
        <f>IFERROR(INDEX(Personnel[Shohruh Not],$K93),"")</f>
        <v/>
      </c>
      <c r="I93" s="18" t="str">
        <f>IFERROR(INDEX(Personnel[Дней в РФ],$K93),"")</f>
        <v/>
      </c>
      <c r="K93" s="23" t="str">
        <f t="array" ref="K93">IFERROR(_xlfn.AGGREGATE(15,6,(ROW(Personnel[Egtim durumu])-MIN(ROW(Personnel[Egtim durumu]))+1)/((Personnel[Egtim durumu]="2 kere sinavden gecemedi")),ROWS($K$7:K93)),"")</f>
        <v/>
      </c>
    </row>
    <row r="94" spans="1:11" x14ac:dyDescent="0.25">
      <c r="A94" s="24" t="str">
        <f>IFERROR(INDEX(Personnel[Sicil],$K94),"")</f>
        <v/>
      </c>
      <c r="B94" s="25" t="str">
        <f>IFERROR(INDEX(Personnel[Adi Soyadi],$K94),"")</f>
        <v/>
      </c>
      <c r="C94" s="24" t="str">
        <f>IFERROR(INDEX(Personnel[Vatandaslik],$K94),"")</f>
        <v/>
      </c>
      <c r="D94" s="24" t="str">
        <f>IFERROR(INDEX(Personnel[Santiye],$K94),"")</f>
        <v/>
      </c>
      <c r="E94" s="24" t="str">
        <f>IFERROR(INDEX(Personnel[Ogretmen],$K94),"")</f>
        <v/>
      </c>
      <c r="F94" s="25" t="str">
        <f>IFERROR(INDEX(Personnel[[Sinav ]],$K94),"")</f>
        <v/>
      </c>
      <c r="G94" s="25" t="str">
        <f>IFERROR(INDEX(Personnel[Egtim durumu],$K94),"")</f>
        <v/>
      </c>
      <c r="H94" s="25" t="str">
        <f>IFERROR(INDEX(Personnel[Shohruh Not],$K94),"")</f>
        <v/>
      </c>
      <c r="I94" s="24" t="str">
        <f>IFERROR(INDEX(Personnel[Дней в РФ],$K94),"")</f>
        <v/>
      </c>
      <c r="K94" s="23" t="str">
        <f t="array" ref="K94">IFERROR(_xlfn.AGGREGATE(15,6,(ROW(Personnel[Egtim durumu])-MIN(ROW(Personnel[Egtim durumu]))+1)/((Personnel[Egtim durumu]="2 kere sinavden gecemedi")),ROWS($K$7:K94)),"")</f>
        <v/>
      </c>
    </row>
    <row r="95" spans="1:11" x14ac:dyDescent="0.25">
      <c r="A95" s="18" t="str">
        <f>IFERROR(INDEX(Personnel[Sicil],$K95),"")</f>
        <v/>
      </c>
      <c r="B95" s="17" t="str">
        <f>IFERROR(INDEX(Personnel[Adi Soyadi],$K95),"")</f>
        <v/>
      </c>
      <c r="C95" s="18" t="str">
        <f>IFERROR(INDEX(Personnel[Vatandaslik],$K95),"")</f>
        <v/>
      </c>
      <c r="D95" s="18" t="str">
        <f>IFERROR(INDEX(Personnel[Santiye],$K95),"")</f>
        <v/>
      </c>
      <c r="E95" s="18" t="str">
        <f>IFERROR(INDEX(Personnel[Ogretmen],$K95),"")</f>
        <v/>
      </c>
      <c r="F95" s="17" t="str">
        <f>IFERROR(INDEX(Personnel[[Sinav ]],$K95),"")</f>
        <v/>
      </c>
      <c r="G95" s="17" t="str">
        <f>IFERROR(INDEX(Personnel[Egtim durumu],$K95),"")</f>
        <v/>
      </c>
      <c r="H95" s="17" t="str">
        <f>IFERROR(INDEX(Personnel[Shohruh Not],$K95),"")</f>
        <v/>
      </c>
      <c r="I95" s="18" t="str">
        <f>IFERROR(INDEX(Personnel[Дней в РФ],$K95),"")</f>
        <v/>
      </c>
      <c r="K95" s="23" t="str">
        <f t="array" ref="K95">IFERROR(_xlfn.AGGREGATE(15,6,(ROW(Personnel[Egtim durumu])-MIN(ROW(Personnel[Egtim durumu]))+1)/((Personnel[Egtim durumu]="2 kere sinavden gecemedi")),ROWS($K$7:K95)),"")</f>
        <v/>
      </c>
    </row>
    <row r="96" spans="1:11" x14ac:dyDescent="0.25">
      <c r="A96" s="24" t="str">
        <f>IFERROR(INDEX(Personnel[Sicil],$K96),"")</f>
        <v/>
      </c>
      <c r="B96" s="25" t="str">
        <f>IFERROR(INDEX(Personnel[Adi Soyadi],$K96),"")</f>
        <v/>
      </c>
      <c r="C96" s="24" t="str">
        <f>IFERROR(INDEX(Personnel[Vatandaslik],$K96),"")</f>
        <v/>
      </c>
      <c r="D96" s="24" t="str">
        <f>IFERROR(INDEX(Personnel[Santiye],$K96),"")</f>
        <v/>
      </c>
      <c r="E96" s="24" t="str">
        <f>IFERROR(INDEX(Personnel[Ogretmen],$K96),"")</f>
        <v/>
      </c>
      <c r="F96" s="25" t="str">
        <f>IFERROR(INDEX(Personnel[[Sinav ]],$K96),"")</f>
        <v/>
      </c>
      <c r="G96" s="25" t="str">
        <f>IFERROR(INDEX(Personnel[Egtim durumu],$K96),"")</f>
        <v/>
      </c>
      <c r="H96" s="25" t="str">
        <f>IFERROR(INDEX(Personnel[Shohruh Not],$K96),"")</f>
        <v/>
      </c>
      <c r="I96" s="24" t="str">
        <f>IFERROR(INDEX(Personnel[Дней в РФ],$K96),"")</f>
        <v/>
      </c>
      <c r="K96" s="23" t="str">
        <f t="array" ref="K96">IFERROR(_xlfn.AGGREGATE(15,6,(ROW(Personnel[Egtim durumu])-MIN(ROW(Personnel[Egtim durumu]))+1)/((Personnel[Egtim durumu]="2 kere sinavden gecemedi")),ROWS($K$7:K96)),"")</f>
        <v/>
      </c>
    </row>
    <row r="97" spans="1:11" x14ac:dyDescent="0.25">
      <c r="A97" s="18" t="str">
        <f>IFERROR(INDEX(Personnel[Sicil],$K97),"")</f>
        <v/>
      </c>
      <c r="B97" s="17" t="str">
        <f>IFERROR(INDEX(Personnel[Adi Soyadi],$K97),"")</f>
        <v/>
      </c>
      <c r="C97" s="18" t="str">
        <f>IFERROR(INDEX(Personnel[Vatandaslik],$K97),"")</f>
        <v/>
      </c>
      <c r="D97" s="18" t="str">
        <f>IFERROR(INDEX(Personnel[Santiye],$K97),"")</f>
        <v/>
      </c>
      <c r="E97" s="18" t="str">
        <f>IFERROR(INDEX(Personnel[Ogretmen],$K97),"")</f>
        <v/>
      </c>
      <c r="F97" s="17" t="str">
        <f>IFERROR(INDEX(Personnel[[Sinav ]],$K97),"")</f>
        <v/>
      </c>
      <c r="G97" s="17" t="str">
        <f>IFERROR(INDEX(Personnel[Egtim durumu],$K97),"")</f>
        <v/>
      </c>
      <c r="H97" s="17" t="str">
        <f>IFERROR(INDEX(Personnel[Shohruh Not],$K97),"")</f>
        <v/>
      </c>
      <c r="I97" s="18" t="str">
        <f>IFERROR(INDEX(Personnel[Дней в РФ],$K97),"")</f>
        <v/>
      </c>
      <c r="K97" s="23" t="str">
        <f t="array" ref="K97">IFERROR(_xlfn.AGGREGATE(15,6,(ROW(Personnel[Egtim durumu])-MIN(ROW(Personnel[Egtim durumu]))+1)/((Personnel[Egtim durumu]="2 kere sinavden gecemedi")),ROWS($K$7:K97)),"")</f>
        <v/>
      </c>
    </row>
    <row r="98" spans="1:11" x14ac:dyDescent="0.25">
      <c r="A98" s="24" t="str">
        <f>IFERROR(INDEX(Personnel[Sicil],$K98),"")</f>
        <v/>
      </c>
      <c r="B98" s="25" t="str">
        <f>IFERROR(INDEX(Personnel[Adi Soyadi],$K98),"")</f>
        <v/>
      </c>
      <c r="C98" s="24" t="str">
        <f>IFERROR(INDEX(Personnel[Vatandaslik],$K98),"")</f>
        <v/>
      </c>
      <c r="D98" s="24" t="str">
        <f>IFERROR(INDEX(Personnel[Santiye],$K98),"")</f>
        <v/>
      </c>
      <c r="E98" s="24" t="str">
        <f>IFERROR(INDEX(Personnel[Ogretmen],$K98),"")</f>
        <v/>
      </c>
      <c r="F98" s="25" t="str">
        <f>IFERROR(INDEX(Personnel[[Sinav ]],$K98),"")</f>
        <v/>
      </c>
      <c r="G98" s="25" t="str">
        <f>IFERROR(INDEX(Personnel[Egtim durumu],$K98),"")</f>
        <v/>
      </c>
      <c r="H98" s="25" t="str">
        <f>IFERROR(INDEX(Personnel[Shohruh Not],$K98),"")</f>
        <v/>
      </c>
      <c r="I98" s="24" t="str">
        <f>IFERROR(INDEX(Personnel[Дней в РФ],$K98),"")</f>
        <v/>
      </c>
      <c r="K98" s="23" t="str">
        <f t="array" ref="K98">IFERROR(_xlfn.AGGREGATE(15,6,(ROW(Personnel[Egtim durumu])-MIN(ROW(Personnel[Egtim durumu]))+1)/((Personnel[Egtim durumu]="2 kere sinavden gecemedi")),ROWS($K$7:K98)),"")</f>
        <v/>
      </c>
    </row>
    <row r="99" spans="1:11" x14ac:dyDescent="0.25">
      <c r="A99" s="18" t="str">
        <f>IFERROR(INDEX(Personnel[Sicil],$K99),"")</f>
        <v/>
      </c>
      <c r="B99" s="17" t="str">
        <f>IFERROR(INDEX(Personnel[Adi Soyadi],$K99),"")</f>
        <v/>
      </c>
      <c r="C99" s="18" t="str">
        <f>IFERROR(INDEX(Personnel[Vatandaslik],$K99),"")</f>
        <v/>
      </c>
      <c r="D99" s="18" t="str">
        <f>IFERROR(INDEX(Personnel[Santiye],$K99),"")</f>
        <v/>
      </c>
      <c r="E99" s="18" t="str">
        <f>IFERROR(INDEX(Personnel[Ogretmen],$K99),"")</f>
        <v/>
      </c>
      <c r="F99" s="17" t="str">
        <f>IFERROR(INDEX(Personnel[[Sinav ]],$K99),"")</f>
        <v/>
      </c>
      <c r="G99" s="17" t="str">
        <f>IFERROR(INDEX(Personnel[Egtim durumu],$K99),"")</f>
        <v/>
      </c>
      <c r="H99" s="17" t="str">
        <f>IFERROR(INDEX(Personnel[Shohruh Not],$K99),"")</f>
        <v/>
      </c>
      <c r="I99" s="18" t="str">
        <f>IFERROR(INDEX(Personnel[Дней в РФ],$K99),"")</f>
        <v/>
      </c>
      <c r="K99" s="23" t="str">
        <f t="array" ref="K99">IFERROR(_xlfn.AGGREGATE(15,6,(ROW(Personnel[Egtim durumu])-MIN(ROW(Personnel[Egtim durumu]))+1)/((Personnel[Egtim durumu]="2 kere sinavden gecemedi")),ROWS($K$7:K99)),"")</f>
        <v/>
      </c>
    </row>
    <row r="100" spans="1:11" x14ac:dyDescent="0.25">
      <c r="A100" s="24" t="str">
        <f>IFERROR(INDEX(Personnel[Sicil],$K100),"")</f>
        <v/>
      </c>
      <c r="B100" s="25" t="str">
        <f>IFERROR(INDEX(Personnel[Adi Soyadi],$K100),"")</f>
        <v/>
      </c>
      <c r="C100" s="24" t="str">
        <f>IFERROR(INDEX(Personnel[Vatandaslik],$K100),"")</f>
        <v/>
      </c>
      <c r="D100" s="24" t="str">
        <f>IFERROR(INDEX(Personnel[Santiye],$K100),"")</f>
        <v/>
      </c>
      <c r="E100" s="24" t="str">
        <f>IFERROR(INDEX(Personnel[Ogretmen],$K100),"")</f>
        <v/>
      </c>
      <c r="F100" s="25" t="str">
        <f>IFERROR(INDEX(Personnel[[Sinav ]],$K100),"")</f>
        <v/>
      </c>
      <c r="G100" s="25" t="str">
        <f>IFERROR(INDEX(Personnel[Egtim durumu],$K100),"")</f>
        <v/>
      </c>
      <c r="H100" s="25" t="str">
        <f>IFERROR(INDEX(Personnel[Shohruh Not],$K100),"")</f>
        <v/>
      </c>
      <c r="I100" s="24" t="str">
        <f>IFERROR(INDEX(Personnel[Дней в РФ],$K100),"")</f>
        <v/>
      </c>
      <c r="K100" s="23" t="str">
        <f t="array" ref="K100">IFERROR(_xlfn.AGGREGATE(15,6,(ROW(Personnel[Egtim durumu])-MIN(ROW(Personnel[Egtim durumu]))+1)/((Personnel[Egtim durumu]="2 kere sinavden gecemedi")),ROWS($K$7:K100)),"")</f>
        <v/>
      </c>
    </row>
    <row r="101" spans="1:11" x14ac:dyDescent="0.25">
      <c r="A101" s="18" t="str">
        <f>IFERROR(INDEX(Personnel[Sicil],$K101),"")</f>
        <v/>
      </c>
      <c r="B101" s="17" t="str">
        <f>IFERROR(INDEX(Personnel[Adi Soyadi],$K101),"")</f>
        <v/>
      </c>
      <c r="C101" s="18" t="str">
        <f>IFERROR(INDEX(Personnel[Vatandaslik],$K101),"")</f>
        <v/>
      </c>
      <c r="D101" s="18" t="str">
        <f>IFERROR(INDEX(Personnel[Santiye],$K101),"")</f>
        <v/>
      </c>
      <c r="E101" s="18" t="str">
        <f>IFERROR(INDEX(Personnel[Ogretmen],$K101),"")</f>
        <v/>
      </c>
      <c r="F101" s="17" t="str">
        <f>IFERROR(INDEX(Personnel[[Sinav ]],$K101),"")</f>
        <v/>
      </c>
      <c r="G101" s="17" t="str">
        <f>IFERROR(INDEX(Personnel[Egtim durumu],$K101),"")</f>
        <v/>
      </c>
      <c r="H101" s="17" t="str">
        <f>IFERROR(INDEX(Personnel[Shohruh Not],$K101),"")</f>
        <v/>
      </c>
      <c r="I101" s="18" t="str">
        <f>IFERROR(INDEX(Personnel[Дней в РФ],$K101),"")</f>
        <v/>
      </c>
      <c r="K101" s="23" t="str">
        <f t="array" ref="K101">IFERROR(_xlfn.AGGREGATE(15,6,(ROW(Personnel[Egtim durumu])-MIN(ROW(Personnel[Egtim durumu]))+1)/((Personnel[Egtim durumu]="2 kere sinavden gecemedi")),ROWS($K$7:K101)),"")</f>
        <v/>
      </c>
    </row>
    <row r="102" spans="1:11" x14ac:dyDescent="0.25">
      <c r="A102" s="24" t="str">
        <f>IFERROR(INDEX(Personnel[Sicil],$K102),"")</f>
        <v/>
      </c>
      <c r="B102" s="25" t="str">
        <f>IFERROR(INDEX(Personnel[Adi Soyadi],$K102),"")</f>
        <v/>
      </c>
      <c r="C102" s="24" t="str">
        <f>IFERROR(INDEX(Personnel[Vatandaslik],$K102),"")</f>
        <v/>
      </c>
      <c r="D102" s="24" t="str">
        <f>IFERROR(INDEX(Personnel[Santiye],$K102),"")</f>
        <v/>
      </c>
      <c r="E102" s="24" t="str">
        <f>IFERROR(INDEX(Personnel[Ogretmen],$K102),"")</f>
        <v/>
      </c>
      <c r="F102" s="25" t="str">
        <f>IFERROR(INDEX(Personnel[[Sinav ]],$K102),"")</f>
        <v/>
      </c>
      <c r="G102" s="25" t="str">
        <f>IFERROR(INDEX(Personnel[Egtim durumu],$K102),"")</f>
        <v/>
      </c>
      <c r="H102" s="25" t="str">
        <f>IFERROR(INDEX(Personnel[Shohruh Not],$K102),"")</f>
        <v/>
      </c>
      <c r="I102" s="24" t="str">
        <f>IFERROR(INDEX(Personnel[Дней в РФ],$K102),"")</f>
        <v/>
      </c>
      <c r="K102" s="23" t="str">
        <f t="array" ref="K102">IFERROR(_xlfn.AGGREGATE(15,6,(ROW(Personnel[Egtim durumu])-MIN(ROW(Personnel[Egtim durumu]))+1)/((Personnel[Egtim durumu]="2 kere sinavden gecemedi")),ROWS($K$7:K102)),"")</f>
        <v/>
      </c>
    </row>
    <row r="103" spans="1:11" x14ac:dyDescent="0.25">
      <c r="A103" s="18" t="str">
        <f>IFERROR(INDEX(Personnel[Sicil],$K103),"")</f>
        <v/>
      </c>
      <c r="B103" s="17" t="str">
        <f>IFERROR(INDEX(Personnel[Adi Soyadi],$K103),"")</f>
        <v/>
      </c>
      <c r="C103" s="18" t="str">
        <f>IFERROR(INDEX(Personnel[Vatandaslik],$K103),"")</f>
        <v/>
      </c>
      <c r="D103" s="18" t="str">
        <f>IFERROR(INDEX(Personnel[Santiye],$K103),"")</f>
        <v/>
      </c>
      <c r="E103" s="18" t="str">
        <f>IFERROR(INDEX(Personnel[Ogretmen],$K103),"")</f>
        <v/>
      </c>
      <c r="F103" s="17" t="str">
        <f>IFERROR(INDEX(Personnel[[Sinav ]],$K103),"")</f>
        <v/>
      </c>
      <c r="G103" s="17" t="str">
        <f>IFERROR(INDEX(Personnel[Egtim durumu],$K103),"")</f>
        <v/>
      </c>
      <c r="H103" s="17" t="str">
        <f>IFERROR(INDEX(Personnel[Shohruh Not],$K103),"")</f>
        <v/>
      </c>
      <c r="I103" s="18" t="str">
        <f>IFERROR(INDEX(Personnel[Дней в РФ],$K103),"")</f>
        <v/>
      </c>
      <c r="K103" s="23" t="str">
        <f t="array" ref="K103">IFERROR(_xlfn.AGGREGATE(15,6,(ROW(Personnel[Egtim durumu])-MIN(ROW(Personnel[Egtim durumu]))+1)/((Personnel[Egtim durumu]="2 kere sinavden gecemedi")),ROWS($K$7:K103)),"")</f>
        <v/>
      </c>
    </row>
    <row r="104" spans="1:11" x14ac:dyDescent="0.25">
      <c r="A104" s="24" t="str">
        <f>IFERROR(INDEX(Personnel[Sicil],$K104),"")</f>
        <v/>
      </c>
      <c r="B104" s="25" t="str">
        <f>IFERROR(INDEX(Personnel[Adi Soyadi],$K104),"")</f>
        <v/>
      </c>
      <c r="C104" s="24" t="str">
        <f>IFERROR(INDEX(Personnel[Vatandaslik],$K104),"")</f>
        <v/>
      </c>
      <c r="D104" s="24" t="str">
        <f>IFERROR(INDEX(Personnel[Santiye],$K104),"")</f>
        <v/>
      </c>
      <c r="E104" s="24" t="str">
        <f>IFERROR(INDEX(Personnel[Ogretmen],$K104),"")</f>
        <v/>
      </c>
      <c r="F104" s="25" t="str">
        <f>IFERROR(INDEX(Personnel[[Sinav ]],$K104),"")</f>
        <v/>
      </c>
      <c r="G104" s="25" t="str">
        <f>IFERROR(INDEX(Personnel[Egtim durumu],$K104),"")</f>
        <v/>
      </c>
      <c r="H104" s="25" t="str">
        <f>IFERROR(INDEX(Personnel[Shohruh Not],$K104),"")</f>
        <v/>
      </c>
      <c r="I104" s="24" t="str">
        <f>IFERROR(INDEX(Personnel[Дней в РФ],$K104),"")</f>
        <v/>
      </c>
      <c r="K104" s="23" t="str">
        <f t="array" ref="K104">IFERROR(_xlfn.AGGREGATE(15,6,(ROW(Personnel[Egtim durumu])-MIN(ROW(Personnel[Egtim durumu]))+1)/((Personnel[Egtim durumu]="2 kere sinavden gecemedi")),ROWS($K$7:K104)),"")</f>
        <v/>
      </c>
    </row>
    <row r="105" spans="1:11" x14ac:dyDescent="0.25">
      <c r="A105" s="18" t="str">
        <f>IFERROR(INDEX(Personnel[Sicil],$K105),"")</f>
        <v/>
      </c>
      <c r="B105" s="17" t="str">
        <f>IFERROR(INDEX(Personnel[Adi Soyadi],$K105),"")</f>
        <v/>
      </c>
      <c r="C105" s="18" t="str">
        <f>IFERROR(INDEX(Personnel[Vatandaslik],$K105),"")</f>
        <v/>
      </c>
      <c r="D105" s="18" t="str">
        <f>IFERROR(INDEX(Personnel[Santiye],$K105),"")</f>
        <v/>
      </c>
      <c r="E105" s="18" t="str">
        <f>IFERROR(INDEX(Personnel[Ogretmen],$K105),"")</f>
        <v/>
      </c>
      <c r="F105" s="17" t="str">
        <f>IFERROR(INDEX(Personnel[[Sinav ]],$K105),"")</f>
        <v/>
      </c>
      <c r="G105" s="17" t="str">
        <f>IFERROR(INDEX(Personnel[Egtim durumu],$K105),"")</f>
        <v/>
      </c>
      <c r="H105" s="17" t="str">
        <f>IFERROR(INDEX(Personnel[Shohruh Not],$K105),"")</f>
        <v/>
      </c>
      <c r="I105" s="18" t="str">
        <f>IFERROR(INDEX(Personnel[Дней в РФ],$K105),"")</f>
        <v/>
      </c>
      <c r="K105" s="23" t="str">
        <f t="array" ref="K105">IFERROR(_xlfn.AGGREGATE(15,6,(ROW(Personnel[Egtim durumu])-MIN(ROW(Personnel[Egtim durumu]))+1)/((Personnel[Egtim durumu]="2 kere sinavden gecemedi")),ROWS($K$7:K105)),"")</f>
        <v/>
      </c>
    </row>
    <row r="106" spans="1:11" x14ac:dyDescent="0.25">
      <c r="A106" s="24" t="str">
        <f>IFERROR(INDEX(Personnel[Sicil],$K106),"")</f>
        <v/>
      </c>
      <c r="B106" s="25" t="str">
        <f>IFERROR(INDEX(Personnel[Adi Soyadi],$K106),"")</f>
        <v/>
      </c>
      <c r="C106" s="24" t="str">
        <f>IFERROR(INDEX(Personnel[Vatandaslik],$K106),"")</f>
        <v/>
      </c>
      <c r="D106" s="24" t="str">
        <f>IFERROR(INDEX(Personnel[Santiye],$K106),"")</f>
        <v/>
      </c>
      <c r="E106" s="24" t="str">
        <f>IFERROR(INDEX(Personnel[Ogretmen],$K106),"")</f>
        <v/>
      </c>
      <c r="F106" s="25" t="str">
        <f>IFERROR(INDEX(Personnel[[Sinav ]],$K106),"")</f>
        <v/>
      </c>
      <c r="G106" s="25" t="str">
        <f>IFERROR(INDEX(Personnel[Egtim durumu],$K106),"")</f>
        <v/>
      </c>
      <c r="H106" s="25" t="str">
        <f>IFERROR(INDEX(Personnel[Shohruh Not],$K106),"")</f>
        <v/>
      </c>
      <c r="I106" s="24" t="str">
        <f>IFERROR(INDEX(Personnel[Дней в РФ],$K106),"")</f>
        <v/>
      </c>
      <c r="K106" s="23" t="str">
        <f t="array" ref="K106">IFERROR(_xlfn.AGGREGATE(15,6,(ROW(Personnel[Egtim durumu])-MIN(ROW(Personnel[Egtim durumu]))+1)/((Personnel[Egtim durumu]="2 kere sinavden gecemedi")),ROWS($K$7:K106)),"")</f>
        <v/>
      </c>
    </row>
    <row r="107" spans="1:11" x14ac:dyDescent="0.25">
      <c r="A107" s="18" t="str">
        <f>IFERROR(INDEX(Personnel[Sicil],$K107),"")</f>
        <v/>
      </c>
      <c r="B107" s="17" t="str">
        <f>IFERROR(INDEX(Personnel[Adi Soyadi],$K107),"")</f>
        <v/>
      </c>
      <c r="C107" s="18" t="str">
        <f>IFERROR(INDEX(Personnel[Vatandaslik],$K107),"")</f>
        <v/>
      </c>
      <c r="D107" s="18" t="str">
        <f>IFERROR(INDEX(Personnel[Santiye],$K107),"")</f>
        <v/>
      </c>
      <c r="E107" s="18" t="str">
        <f>IFERROR(INDEX(Personnel[Ogretmen],$K107),"")</f>
        <v/>
      </c>
      <c r="F107" s="17" t="str">
        <f>IFERROR(INDEX(Personnel[[Sinav ]],$K107),"")</f>
        <v/>
      </c>
      <c r="G107" s="17" t="str">
        <f>IFERROR(INDEX(Personnel[Egtim durumu],$K107),"")</f>
        <v/>
      </c>
      <c r="H107" s="17" t="str">
        <f>IFERROR(INDEX(Personnel[Shohruh Not],$K107),"")</f>
        <v/>
      </c>
      <c r="I107" s="18" t="str">
        <f>IFERROR(INDEX(Personnel[Дней в РФ],$K107),"")</f>
        <v/>
      </c>
      <c r="K107" s="23" t="str">
        <f t="array" ref="K107">IFERROR(_xlfn.AGGREGATE(15,6,(ROW(Personnel[Egtim durumu])-MIN(ROW(Personnel[Egtim durumu]))+1)/((Personnel[Egtim durumu]="2 kere sinavden gecemedi")),ROWS($K$7:K107)),"")</f>
        <v/>
      </c>
    </row>
    <row r="108" spans="1:11" x14ac:dyDescent="0.25">
      <c r="A108" s="24" t="str">
        <f>IFERROR(INDEX(Personnel[Sicil],$K108),"")</f>
        <v/>
      </c>
      <c r="B108" s="25" t="str">
        <f>IFERROR(INDEX(Personnel[Adi Soyadi],$K108),"")</f>
        <v/>
      </c>
      <c r="C108" s="24" t="str">
        <f>IFERROR(INDEX(Personnel[Vatandaslik],$K108),"")</f>
        <v/>
      </c>
      <c r="D108" s="24" t="str">
        <f>IFERROR(INDEX(Personnel[Santiye],$K108),"")</f>
        <v/>
      </c>
      <c r="E108" s="24" t="str">
        <f>IFERROR(INDEX(Personnel[Ogretmen],$K108),"")</f>
        <v/>
      </c>
      <c r="F108" s="25" t="str">
        <f>IFERROR(INDEX(Personnel[[Sinav ]],$K108),"")</f>
        <v/>
      </c>
      <c r="G108" s="25" t="str">
        <f>IFERROR(INDEX(Personnel[Egtim durumu],$K108),"")</f>
        <v/>
      </c>
      <c r="H108" s="25" t="str">
        <f>IFERROR(INDEX(Personnel[Shohruh Not],$K108),"")</f>
        <v/>
      </c>
      <c r="I108" s="24" t="str">
        <f>IFERROR(INDEX(Personnel[Дней в РФ],$K108),"")</f>
        <v/>
      </c>
      <c r="K108" s="23" t="str">
        <f t="array" ref="K108">IFERROR(_xlfn.AGGREGATE(15,6,(ROW(Personnel[Egtim durumu])-MIN(ROW(Personnel[Egtim durumu]))+1)/((Personnel[Egtim durumu]="2 kere sinavden gecemedi")),ROWS($K$7:K108)),"")</f>
        <v/>
      </c>
    </row>
    <row r="109" spans="1:11" x14ac:dyDescent="0.25">
      <c r="A109" s="18" t="str">
        <f>IFERROR(INDEX(Personnel[Sicil],$K109),"")</f>
        <v/>
      </c>
      <c r="B109" s="17" t="str">
        <f>IFERROR(INDEX(Personnel[Adi Soyadi],$K109),"")</f>
        <v/>
      </c>
      <c r="C109" s="18" t="str">
        <f>IFERROR(INDEX(Personnel[Vatandaslik],$K109),"")</f>
        <v/>
      </c>
      <c r="D109" s="18" t="str">
        <f>IFERROR(INDEX(Personnel[Santiye],$K109),"")</f>
        <v/>
      </c>
      <c r="E109" s="18" t="str">
        <f>IFERROR(INDEX(Personnel[Ogretmen],$K109),"")</f>
        <v/>
      </c>
      <c r="F109" s="17" t="str">
        <f>IFERROR(INDEX(Personnel[[Sinav ]],$K109),"")</f>
        <v/>
      </c>
      <c r="G109" s="17" t="str">
        <f>IFERROR(INDEX(Personnel[Egtim durumu],$K109),"")</f>
        <v/>
      </c>
      <c r="H109" s="17" t="str">
        <f>IFERROR(INDEX(Personnel[Shohruh Not],$K109),"")</f>
        <v/>
      </c>
      <c r="I109" s="18" t="str">
        <f>IFERROR(INDEX(Personnel[Дней в РФ],$K109),"")</f>
        <v/>
      </c>
      <c r="K109" s="23" t="str">
        <f t="array" ref="K109">IFERROR(_xlfn.AGGREGATE(15,6,(ROW(Personnel[Egtim durumu])-MIN(ROW(Personnel[Egtim durumu]))+1)/((Personnel[Egtim durumu]="2 kere sinavden gecemedi")),ROWS($K$7:K109)),"")</f>
        <v/>
      </c>
    </row>
    <row r="110" spans="1:11" x14ac:dyDescent="0.25">
      <c r="A110" s="24" t="str">
        <f>IFERROR(INDEX(Personnel[Sicil],$K110),"")</f>
        <v/>
      </c>
      <c r="B110" s="25" t="str">
        <f>IFERROR(INDEX(Personnel[Adi Soyadi],$K110),"")</f>
        <v/>
      </c>
      <c r="C110" s="24" t="str">
        <f>IFERROR(INDEX(Personnel[Vatandaslik],$K110),"")</f>
        <v/>
      </c>
      <c r="D110" s="24" t="str">
        <f>IFERROR(INDEX(Personnel[Santiye],$K110),"")</f>
        <v/>
      </c>
      <c r="E110" s="24" t="str">
        <f>IFERROR(INDEX(Personnel[Ogretmen],$K110),"")</f>
        <v/>
      </c>
      <c r="F110" s="25" t="str">
        <f>IFERROR(INDEX(Personnel[[Sinav ]],$K110),"")</f>
        <v/>
      </c>
      <c r="G110" s="25" t="str">
        <f>IFERROR(INDEX(Personnel[Egtim durumu],$K110),"")</f>
        <v/>
      </c>
      <c r="H110" s="25" t="str">
        <f>IFERROR(INDEX(Personnel[Shohruh Not],$K110),"")</f>
        <v/>
      </c>
      <c r="I110" s="24" t="str">
        <f>IFERROR(INDEX(Personnel[Дней в РФ],$K110),"")</f>
        <v/>
      </c>
      <c r="K110" s="23" t="str">
        <f t="array" ref="K110">IFERROR(_xlfn.AGGREGATE(15,6,(ROW(Personnel[Egtim durumu])-MIN(ROW(Personnel[Egtim durumu]))+1)/((Personnel[Egtim durumu]="2 kere sinavden gecemedi")),ROWS($K$7:K110)),"")</f>
        <v/>
      </c>
    </row>
    <row r="111" spans="1:11" x14ac:dyDescent="0.25">
      <c r="A111" s="18" t="str">
        <f>IFERROR(INDEX(Personnel[Sicil],$K111),"")</f>
        <v/>
      </c>
      <c r="B111" s="17" t="str">
        <f>IFERROR(INDEX(Personnel[Adi Soyadi],$K111),"")</f>
        <v/>
      </c>
      <c r="C111" s="18" t="str">
        <f>IFERROR(INDEX(Personnel[Vatandaslik],$K111),"")</f>
        <v/>
      </c>
      <c r="D111" s="18" t="str">
        <f>IFERROR(INDEX(Personnel[Santiye],$K111),"")</f>
        <v/>
      </c>
      <c r="E111" s="18" t="str">
        <f>IFERROR(INDEX(Personnel[Ogretmen],$K111),"")</f>
        <v/>
      </c>
      <c r="F111" s="17" t="str">
        <f>IFERROR(INDEX(Personnel[[Sinav ]],$K111),"")</f>
        <v/>
      </c>
      <c r="G111" s="17" t="str">
        <f>IFERROR(INDEX(Personnel[Egtim durumu],$K111),"")</f>
        <v/>
      </c>
      <c r="H111" s="17" t="str">
        <f>IFERROR(INDEX(Personnel[Shohruh Not],$K111),"")</f>
        <v/>
      </c>
      <c r="I111" s="18" t="str">
        <f>IFERROR(INDEX(Personnel[Дней в РФ],$K111),"")</f>
        <v/>
      </c>
      <c r="K111" s="23" t="str">
        <f t="array" ref="K111">IFERROR(_xlfn.AGGREGATE(15,6,(ROW(Personnel[Egtim durumu])-MIN(ROW(Personnel[Egtim durumu]))+1)/((Personnel[Egtim durumu]="2 kere sinavden gecemedi")),ROWS($K$7:K111)),"")</f>
        <v/>
      </c>
    </row>
    <row r="112" spans="1:11" x14ac:dyDescent="0.25">
      <c r="A112" s="24" t="str">
        <f>IFERROR(INDEX(Personnel[Sicil],$K112),"")</f>
        <v/>
      </c>
      <c r="B112" s="25" t="str">
        <f>IFERROR(INDEX(Personnel[Adi Soyadi],$K112),"")</f>
        <v/>
      </c>
      <c r="C112" s="24" t="str">
        <f>IFERROR(INDEX(Personnel[Vatandaslik],$K112),"")</f>
        <v/>
      </c>
      <c r="D112" s="24" t="str">
        <f>IFERROR(INDEX(Personnel[Santiye],$K112),"")</f>
        <v/>
      </c>
      <c r="E112" s="24" t="str">
        <f>IFERROR(INDEX(Personnel[Ogretmen],$K112),"")</f>
        <v/>
      </c>
      <c r="F112" s="25" t="str">
        <f>IFERROR(INDEX(Personnel[[Sinav ]],$K112),"")</f>
        <v/>
      </c>
      <c r="G112" s="25" t="str">
        <f>IFERROR(INDEX(Personnel[Egtim durumu],$K112),"")</f>
        <v/>
      </c>
      <c r="H112" s="25" t="str">
        <f>IFERROR(INDEX(Personnel[Shohruh Not],$K112),"")</f>
        <v/>
      </c>
      <c r="I112" s="24" t="str">
        <f>IFERROR(INDEX(Personnel[Дней в РФ],$K112),"")</f>
        <v/>
      </c>
      <c r="K112" s="23" t="str">
        <f t="array" ref="K112">IFERROR(_xlfn.AGGREGATE(15,6,(ROW(Personnel[Egtim durumu])-MIN(ROW(Personnel[Egtim durumu]))+1)/((Personnel[Egtim durumu]="2 kere sinavden gecemedi")),ROWS($K$7:K112)),"")</f>
        <v/>
      </c>
    </row>
    <row r="113" spans="1:11" x14ac:dyDescent="0.25">
      <c r="A113" s="18" t="str">
        <f>IFERROR(INDEX(Personnel[Sicil],$K113),"")</f>
        <v/>
      </c>
      <c r="B113" s="17" t="str">
        <f>IFERROR(INDEX(Personnel[Adi Soyadi],$K113),"")</f>
        <v/>
      </c>
      <c r="C113" s="18" t="str">
        <f>IFERROR(INDEX(Personnel[Vatandaslik],$K113),"")</f>
        <v/>
      </c>
      <c r="D113" s="18" t="str">
        <f>IFERROR(INDEX(Personnel[Santiye],$K113),"")</f>
        <v/>
      </c>
      <c r="E113" s="18" t="str">
        <f>IFERROR(INDEX(Personnel[Ogretmen],$K113),"")</f>
        <v/>
      </c>
      <c r="F113" s="17" t="str">
        <f>IFERROR(INDEX(Personnel[[Sinav ]],$K113),"")</f>
        <v/>
      </c>
      <c r="G113" s="17" t="str">
        <f>IFERROR(INDEX(Personnel[Egtim durumu],$K113),"")</f>
        <v/>
      </c>
      <c r="H113" s="17" t="str">
        <f>IFERROR(INDEX(Personnel[Shohruh Not],$K113),"")</f>
        <v/>
      </c>
      <c r="I113" s="18" t="str">
        <f>IFERROR(INDEX(Personnel[Дней в РФ],$K113),"")</f>
        <v/>
      </c>
      <c r="K113" s="23" t="str">
        <f t="array" ref="K113">IFERROR(_xlfn.AGGREGATE(15,6,(ROW(Personnel[Egtim durumu])-MIN(ROW(Personnel[Egtim durumu]))+1)/((Personnel[Egtim durumu]="2 kere sinavden gecemedi")),ROWS($K$7:K113)),"")</f>
        <v/>
      </c>
    </row>
    <row r="114" spans="1:11" x14ac:dyDescent="0.25">
      <c r="A114" s="24" t="str">
        <f>IFERROR(INDEX(Personnel[Sicil],$K114),"")</f>
        <v/>
      </c>
      <c r="B114" s="25" t="str">
        <f>IFERROR(INDEX(Personnel[Adi Soyadi],$K114),"")</f>
        <v/>
      </c>
      <c r="C114" s="24" t="str">
        <f>IFERROR(INDEX(Personnel[Vatandaslik],$K114),"")</f>
        <v/>
      </c>
      <c r="D114" s="24" t="str">
        <f>IFERROR(INDEX(Personnel[Santiye],$K114),"")</f>
        <v/>
      </c>
      <c r="E114" s="24" t="str">
        <f>IFERROR(INDEX(Personnel[Ogretmen],$K114),"")</f>
        <v/>
      </c>
      <c r="F114" s="25" t="str">
        <f>IFERROR(INDEX(Personnel[[Sinav ]],$K114),"")</f>
        <v/>
      </c>
      <c r="G114" s="25" t="str">
        <f>IFERROR(INDEX(Personnel[Egtim durumu],$K114),"")</f>
        <v/>
      </c>
      <c r="H114" s="25" t="str">
        <f>IFERROR(INDEX(Personnel[Shohruh Not],$K114),"")</f>
        <v/>
      </c>
      <c r="I114" s="24" t="str">
        <f>IFERROR(INDEX(Personnel[Дней в РФ],$K114),"")</f>
        <v/>
      </c>
      <c r="K114" s="23" t="str">
        <f t="array" ref="K114">IFERROR(_xlfn.AGGREGATE(15,6,(ROW(Personnel[Egtim durumu])-MIN(ROW(Personnel[Egtim durumu]))+1)/((Personnel[Egtim durumu]="2 kere sinavden gecemedi")),ROWS($K$7:K114)),"")</f>
        <v/>
      </c>
    </row>
    <row r="115" spans="1:11" x14ac:dyDescent="0.25">
      <c r="A115" s="18" t="str">
        <f>IFERROR(INDEX(Personnel[Sicil],$K115),"")</f>
        <v/>
      </c>
      <c r="B115" s="17" t="str">
        <f>IFERROR(INDEX(Personnel[Adi Soyadi],$K115),"")</f>
        <v/>
      </c>
      <c r="C115" s="18" t="str">
        <f>IFERROR(INDEX(Personnel[Vatandaslik],$K115),"")</f>
        <v/>
      </c>
      <c r="D115" s="18" t="str">
        <f>IFERROR(INDEX(Personnel[Santiye],$K115),"")</f>
        <v/>
      </c>
      <c r="E115" s="18" t="str">
        <f>IFERROR(INDEX(Personnel[Ogretmen],$K115),"")</f>
        <v/>
      </c>
      <c r="F115" s="17" t="str">
        <f>IFERROR(INDEX(Personnel[[Sinav ]],$K115),"")</f>
        <v/>
      </c>
      <c r="G115" s="17" t="str">
        <f>IFERROR(INDEX(Personnel[Egtim durumu],$K115),"")</f>
        <v/>
      </c>
      <c r="H115" s="17" t="str">
        <f>IFERROR(INDEX(Personnel[Shohruh Not],$K115),"")</f>
        <v/>
      </c>
      <c r="I115" s="18" t="str">
        <f>IFERROR(INDEX(Personnel[Дней в РФ],$K115),"")</f>
        <v/>
      </c>
      <c r="K115" s="23" t="str">
        <f t="array" ref="K115">IFERROR(_xlfn.AGGREGATE(15,6,(ROW(Personnel[Egtim durumu])-MIN(ROW(Personnel[Egtim durumu]))+1)/((Personnel[Egtim durumu]="2 kere sinavden gecemedi")),ROWS($K$7:K115)),"")</f>
        <v/>
      </c>
    </row>
    <row r="116" spans="1:11" x14ac:dyDescent="0.25">
      <c r="A116" s="24" t="str">
        <f>IFERROR(INDEX(Personnel[Sicil],$K116),"")</f>
        <v/>
      </c>
      <c r="B116" s="25" t="str">
        <f>IFERROR(INDEX(Personnel[Adi Soyadi],$K116),"")</f>
        <v/>
      </c>
      <c r="C116" s="24" t="str">
        <f>IFERROR(INDEX(Personnel[Vatandaslik],$K116),"")</f>
        <v/>
      </c>
      <c r="D116" s="24" t="str">
        <f>IFERROR(INDEX(Personnel[Santiye],$K116),"")</f>
        <v/>
      </c>
      <c r="E116" s="24" t="str">
        <f>IFERROR(INDEX(Personnel[Ogretmen],$K116),"")</f>
        <v/>
      </c>
      <c r="F116" s="25" t="str">
        <f>IFERROR(INDEX(Personnel[[Sinav ]],$K116),"")</f>
        <v/>
      </c>
      <c r="G116" s="25" t="str">
        <f>IFERROR(INDEX(Personnel[Egtim durumu],$K116),"")</f>
        <v/>
      </c>
      <c r="H116" s="25" t="str">
        <f>IFERROR(INDEX(Personnel[Shohruh Not],$K116),"")</f>
        <v/>
      </c>
      <c r="I116" s="24" t="str">
        <f>IFERROR(INDEX(Personnel[Дней в РФ],$K116),"")</f>
        <v/>
      </c>
      <c r="K116" s="23" t="str">
        <f t="array" ref="K116">IFERROR(_xlfn.AGGREGATE(15,6,(ROW(Personnel[Egtim durumu])-MIN(ROW(Personnel[Egtim durumu]))+1)/((Personnel[Egtim durumu]="2 kere sinavden gecemedi")),ROWS($K$7:K116)),"")</f>
        <v/>
      </c>
    </row>
    <row r="117" spans="1:11" x14ac:dyDescent="0.25">
      <c r="A117" s="18" t="str">
        <f>IFERROR(INDEX(Personnel[Sicil],$K117),"")</f>
        <v/>
      </c>
      <c r="B117" s="17" t="str">
        <f>IFERROR(INDEX(Personnel[Adi Soyadi],$K117),"")</f>
        <v/>
      </c>
      <c r="C117" s="18" t="str">
        <f>IFERROR(INDEX(Personnel[Vatandaslik],$K117),"")</f>
        <v/>
      </c>
      <c r="D117" s="18" t="str">
        <f>IFERROR(INDEX(Personnel[Santiye],$K117),"")</f>
        <v/>
      </c>
      <c r="E117" s="18" t="str">
        <f>IFERROR(INDEX(Personnel[Ogretmen],$K117),"")</f>
        <v/>
      </c>
      <c r="F117" s="17" t="str">
        <f>IFERROR(INDEX(Personnel[[Sinav ]],$K117),"")</f>
        <v/>
      </c>
      <c r="G117" s="17" t="str">
        <f>IFERROR(INDEX(Personnel[Egtim durumu],$K117),"")</f>
        <v/>
      </c>
      <c r="H117" s="17" t="str">
        <f>IFERROR(INDEX(Personnel[Shohruh Not],$K117),"")</f>
        <v/>
      </c>
      <c r="I117" s="18" t="str">
        <f>IFERROR(INDEX(Personnel[Дней в РФ],$K117),"")</f>
        <v/>
      </c>
      <c r="K117" s="23" t="str">
        <f t="array" ref="K117">IFERROR(_xlfn.AGGREGATE(15,6,(ROW(Personnel[Egtim durumu])-MIN(ROW(Personnel[Egtim durumu]))+1)/((Personnel[Egtim durumu]="2 kere sinavden gecemedi")),ROWS($K$7:K117)),"")</f>
        <v/>
      </c>
    </row>
    <row r="118" spans="1:11" x14ac:dyDescent="0.25">
      <c r="A118" s="24" t="str">
        <f>IFERROR(INDEX(Personnel[Sicil],$K118),"")</f>
        <v/>
      </c>
      <c r="B118" s="25" t="str">
        <f>IFERROR(INDEX(Personnel[Adi Soyadi],$K118),"")</f>
        <v/>
      </c>
      <c r="C118" s="24" t="str">
        <f>IFERROR(INDEX(Personnel[Vatandaslik],$K118),"")</f>
        <v/>
      </c>
      <c r="D118" s="24" t="str">
        <f>IFERROR(INDEX(Personnel[Santiye],$K118),"")</f>
        <v/>
      </c>
      <c r="E118" s="24" t="str">
        <f>IFERROR(INDEX(Personnel[Ogretmen],$K118),"")</f>
        <v/>
      </c>
      <c r="F118" s="25" t="str">
        <f>IFERROR(INDEX(Personnel[[Sinav ]],$K118),"")</f>
        <v/>
      </c>
      <c r="G118" s="25" t="str">
        <f>IFERROR(INDEX(Personnel[Egtim durumu],$K118),"")</f>
        <v/>
      </c>
      <c r="H118" s="25" t="str">
        <f>IFERROR(INDEX(Personnel[Shohruh Not],$K118),"")</f>
        <v/>
      </c>
      <c r="I118" s="24" t="str">
        <f>IFERROR(INDEX(Personnel[Дней в РФ],$K118),"")</f>
        <v/>
      </c>
      <c r="K118" s="23" t="str">
        <f t="array" ref="K118">IFERROR(_xlfn.AGGREGATE(15,6,(ROW(Personnel[Egtim durumu])-MIN(ROW(Personnel[Egtim durumu]))+1)/((Personnel[Egtim durumu]="2 kere sinavden gecemedi")),ROWS($K$7:K118)),"")</f>
        <v/>
      </c>
    </row>
    <row r="119" spans="1:11" x14ac:dyDescent="0.25">
      <c r="A119" s="18" t="str">
        <f>IFERROR(INDEX(Personnel[Sicil],$K119),"")</f>
        <v/>
      </c>
      <c r="B119" s="17" t="str">
        <f>IFERROR(INDEX(Personnel[Adi Soyadi],$K119),"")</f>
        <v/>
      </c>
      <c r="C119" s="18" t="str">
        <f>IFERROR(INDEX(Personnel[Vatandaslik],$K119),"")</f>
        <v/>
      </c>
      <c r="D119" s="18" t="str">
        <f>IFERROR(INDEX(Personnel[Santiye],$K119),"")</f>
        <v/>
      </c>
      <c r="E119" s="18" t="str">
        <f>IFERROR(INDEX(Personnel[Ogretmen],$K119),"")</f>
        <v/>
      </c>
      <c r="F119" s="17" t="str">
        <f>IFERROR(INDEX(Personnel[[Sinav ]],$K119),"")</f>
        <v/>
      </c>
      <c r="G119" s="17" t="str">
        <f>IFERROR(INDEX(Personnel[Egtim durumu],$K119),"")</f>
        <v/>
      </c>
      <c r="H119" s="17" t="str">
        <f>IFERROR(INDEX(Personnel[Shohruh Not],$K119),"")</f>
        <v/>
      </c>
      <c r="I119" s="18" t="str">
        <f>IFERROR(INDEX(Personnel[Дней в РФ],$K119),"")</f>
        <v/>
      </c>
      <c r="K119" s="23" t="str">
        <f t="array" ref="K119">IFERROR(_xlfn.AGGREGATE(15,6,(ROW(Personnel[Egtim durumu])-MIN(ROW(Personnel[Egtim durumu]))+1)/((Personnel[Egtim durumu]="2 kere sinavden gecemedi")),ROWS($K$7:K119)),"")</f>
        <v/>
      </c>
    </row>
    <row r="120" spans="1:11" x14ac:dyDescent="0.25">
      <c r="A120" s="24" t="str">
        <f>IFERROR(INDEX(Personnel[Sicil],$K120),"")</f>
        <v/>
      </c>
      <c r="B120" s="25" t="str">
        <f>IFERROR(INDEX(Personnel[Adi Soyadi],$K120),"")</f>
        <v/>
      </c>
      <c r="C120" s="24" t="str">
        <f>IFERROR(INDEX(Personnel[Vatandaslik],$K120),"")</f>
        <v/>
      </c>
      <c r="D120" s="24" t="str">
        <f>IFERROR(INDEX(Personnel[Santiye],$K120),"")</f>
        <v/>
      </c>
      <c r="E120" s="24" t="str">
        <f>IFERROR(INDEX(Personnel[Ogretmen],$K120),"")</f>
        <v/>
      </c>
      <c r="F120" s="25" t="str">
        <f>IFERROR(INDEX(Personnel[[Sinav ]],$K120),"")</f>
        <v/>
      </c>
      <c r="G120" s="25" t="str">
        <f>IFERROR(INDEX(Personnel[Egtim durumu],$K120),"")</f>
        <v/>
      </c>
      <c r="H120" s="25" t="str">
        <f>IFERROR(INDEX(Personnel[Shohruh Not],$K120),"")</f>
        <v/>
      </c>
      <c r="I120" s="24" t="str">
        <f>IFERROR(INDEX(Personnel[Дней в РФ],$K120),"")</f>
        <v/>
      </c>
      <c r="K120" s="23" t="str">
        <f t="array" ref="K120">IFERROR(_xlfn.AGGREGATE(15,6,(ROW(Personnel[Egtim durumu])-MIN(ROW(Personnel[Egtim durumu]))+1)/((Personnel[Egtim durumu]="2 kere sinavden gecemedi")),ROWS($K$7:K120)),"")</f>
        <v/>
      </c>
    </row>
    <row r="121" spans="1:11" x14ac:dyDescent="0.25">
      <c r="A121" s="18" t="str">
        <f>IFERROR(INDEX(Personnel[Sicil],$K121),"")</f>
        <v/>
      </c>
      <c r="B121" s="17" t="str">
        <f>IFERROR(INDEX(Personnel[Adi Soyadi],$K121),"")</f>
        <v/>
      </c>
      <c r="C121" s="18" t="str">
        <f>IFERROR(INDEX(Personnel[Vatandaslik],$K121),"")</f>
        <v/>
      </c>
      <c r="D121" s="18" t="str">
        <f>IFERROR(INDEX(Personnel[Santiye],$K121),"")</f>
        <v/>
      </c>
      <c r="E121" s="18" t="str">
        <f>IFERROR(INDEX(Personnel[Ogretmen],$K121),"")</f>
        <v/>
      </c>
      <c r="F121" s="17" t="str">
        <f>IFERROR(INDEX(Personnel[[Sinav ]],$K121),"")</f>
        <v/>
      </c>
      <c r="G121" s="17" t="str">
        <f>IFERROR(INDEX(Personnel[Egtim durumu],$K121),"")</f>
        <v/>
      </c>
      <c r="H121" s="17" t="str">
        <f>IFERROR(INDEX(Personnel[Shohruh Not],$K121),"")</f>
        <v/>
      </c>
      <c r="I121" s="18" t="str">
        <f>IFERROR(INDEX(Personnel[Дней в РФ],$K121),"")</f>
        <v/>
      </c>
      <c r="K121" s="23" t="str">
        <f t="array" ref="K121">IFERROR(_xlfn.AGGREGATE(15,6,(ROW(Personnel[Egtim durumu])-MIN(ROW(Personnel[Egtim durumu]))+1)/((Personnel[Egtim durumu]="2 kere sinavden gecemedi")),ROWS($K$7:K121)),"")</f>
        <v/>
      </c>
    </row>
    <row r="122" spans="1:11" x14ac:dyDescent="0.25">
      <c r="A122" s="24" t="str">
        <f>IFERROR(INDEX(Personnel[Sicil],$K122),"")</f>
        <v/>
      </c>
      <c r="B122" s="25" t="str">
        <f>IFERROR(INDEX(Personnel[Adi Soyadi],$K122),"")</f>
        <v/>
      </c>
      <c r="C122" s="24" t="str">
        <f>IFERROR(INDEX(Personnel[Vatandaslik],$K122),"")</f>
        <v/>
      </c>
      <c r="D122" s="24" t="str">
        <f>IFERROR(INDEX(Personnel[Santiye],$K122),"")</f>
        <v/>
      </c>
      <c r="E122" s="24" t="str">
        <f>IFERROR(INDEX(Personnel[Ogretmen],$K122),"")</f>
        <v/>
      </c>
      <c r="F122" s="25" t="str">
        <f>IFERROR(INDEX(Personnel[[Sinav ]],$K122),"")</f>
        <v/>
      </c>
      <c r="G122" s="25" t="str">
        <f>IFERROR(INDEX(Personnel[Egtim durumu],$K122),"")</f>
        <v/>
      </c>
      <c r="H122" s="25" t="str">
        <f>IFERROR(INDEX(Personnel[Shohruh Not],$K122),"")</f>
        <v/>
      </c>
      <c r="I122" s="24" t="str">
        <f>IFERROR(INDEX(Personnel[Дней в РФ],$K122),"")</f>
        <v/>
      </c>
      <c r="K122" s="23" t="str">
        <f t="array" ref="K122">IFERROR(_xlfn.AGGREGATE(15,6,(ROW(Personnel[Egtim durumu])-MIN(ROW(Personnel[Egtim durumu]))+1)/((Personnel[Egtim durumu]="2 kere sinavden gecemedi")),ROWS($K$7:K122)),"")</f>
        <v/>
      </c>
    </row>
    <row r="123" spans="1:11" x14ac:dyDescent="0.25">
      <c r="A123" s="18" t="str">
        <f>IFERROR(INDEX(Personnel[Sicil],$K123),"")</f>
        <v/>
      </c>
      <c r="B123" s="17" t="str">
        <f>IFERROR(INDEX(Personnel[Adi Soyadi],$K123),"")</f>
        <v/>
      </c>
      <c r="C123" s="18" t="str">
        <f>IFERROR(INDEX(Personnel[Vatandaslik],$K123),"")</f>
        <v/>
      </c>
      <c r="D123" s="18" t="str">
        <f>IFERROR(INDEX(Personnel[Santiye],$K123),"")</f>
        <v/>
      </c>
      <c r="E123" s="18" t="str">
        <f>IFERROR(INDEX(Personnel[Ogretmen],$K123),"")</f>
        <v/>
      </c>
      <c r="F123" s="17" t="str">
        <f>IFERROR(INDEX(Personnel[[Sinav ]],$K123),"")</f>
        <v/>
      </c>
      <c r="G123" s="17" t="str">
        <f>IFERROR(INDEX(Personnel[Egtim durumu],$K123),"")</f>
        <v/>
      </c>
      <c r="H123" s="17" t="str">
        <f>IFERROR(INDEX(Personnel[Shohruh Not],$K123),"")</f>
        <v/>
      </c>
      <c r="I123" s="18" t="str">
        <f>IFERROR(INDEX(Personnel[Дней в РФ],$K123),"")</f>
        <v/>
      </c>
      <c r="K123" s="23" t="str">
        <f t="array" ref="K123">IFERROR(_xlfn.AGGREGATE(15,6,(ROW(Personnel[Egtim durumu])-MIN(ROW(Personnel[Egtim durumu]))+1)/((Personnel[Egtim durumu]="2 kere sinavden gecemedi")),ROWS($K$7:K123)),"")</f>
        <v/>
      </c>
    </row>
    <row r="124" spans="1:11" x14ac:dyDescent="0.25">
      <c r="A124" s="24" t="str">
        <f>IFERROR(INDEX(Personnel[Sicil],$K124),"")</f>
        <v/>
      </c>
      <c r="B124" s="25" t="str">
        <f>IFERROR(INDEX(Personnel[Adi Soyadi],$K124),"")</f>
        <v/>
      </c>
      <c r="C124" s="24" t="str">
        <f>IFERROR(INDEX(Personnel[Vatandaslik],$K124),"")</f>
        <v/>
      </c>
      <c r="D124" s="24" t="str">
        <f>IFERROR(INDEX(Personnel[Santiye],$K124),"")</f>
        <v/>
      </c>
      <c r="E124" s="24" t="str">
        <f>IFERROR(INDEX(Personnel[Ogretmen],$K124),"")</f>
        <v/>
      </c>
      <c r="F124" s="25" t="str">
        <f>IFERROR(INDEX(Personnel[[Sinav ]],$K124),"")</f>
        <v/>
      </c>
      <c r="G124" s="25" t="str">
        <f>IFERROR(INDEX(Personnel[Egtim durumu],$K124),"")</f>
        <v/>
      </c>
      <c r="H124" s="25" t="str">
        <f>IFERROR(INDEX(Personnel[Shohruh Not],$K124),"")</f>
        <v/>
      </c>
      <c r="I124" s="24" t="str">
        <f>IFERROR(INDEX(Personnel[Дней в РФ],$K124),"")</f>
        <v/>
      </c>
      <c r="K124" s="23" t="str">
        <f t="array" ref="K124">IFERROR(_xlfn.AGGREGATE(15,6,(ROW(Personnel[Egtim durumu])-MIN(ROW(Personnel[Egtim durumu]))+1)/((Personnel[Egtim durumu]="2 kere sinavden gecemedi")),ROWS($K$7:K124)),"")</f>
        <v/>
      </c>
    </row>
    <row r="125" spans="1:11" x14ac:dyDescent="0.25">
      <c r="A125" s="18" t="str">
        <f>IFERROR(INDEX(Personnel[Sicil],$K125),"")</f>
        <v/>
      </c>
      <c r="B125" s="17" t="str">
        <f>IFERROR(INDEX(Personnel[Adi Soyadi],$K125),"")</f>
        <v/>
      </c>
      <c r="C125" s="18" t="str">
        <f>IFERROR(INDEX(Personnel[Vatandaslik],$K125),"")</f>
        <v/>
      </c>
      <c r="D125" s="18" t="str">
        <f>IFERROR(INDEX(Personnel[Santiye],$K125),"")</f>
        <v/>
      </c>
      <c r="E125" s="18" t="str">
        <f>IFERROR(INDEX(Personnel[Ogretmen],$K125),"")</f>
        <v/>
      </c>
      <c r="F125" s="17" t="str">
        <f>IFERROR(INDEX(Personnel[[Sinav ]],$K125),"")</f>
        <v/>
      </c>
      <c r="G125" s="17" t="str">
        <f>IFERROR(INDEX(Personnel[Egtim durumu],$K125),"")</f>
        <v/>
      </c>
      <c r="H125" s="17" t="str">
        <f>IFERROR(INDEX(Personnel[Shohruh Not],$K125),"")</f>
        <v/>
      </c>
      <c r="I125" s="18" t="str">
        <f>IFERROR(INDEX(Personnel[Дней в РФ],$K125),"")</f>
        <v/>
      </c>
      <c r="K125" s="23" t="str">
        <f t="array" ref="K125">IFERROR(_xlfn.AGGREGATE(15,6,(ROW(Personnel[Egtim durumu])-MIN(ROW(Personnel[Egtim durumu]))+1)/((Personnel[Egtim durumu]="2 kere sinavden gecemedi")),ROWS($K$7:K125)),"")</f>
        <v/>
      </c>
    </row>
    <row r="126" spans="1:11" x14ac:dyDescent="0.25">
      <c r="A126" s="24" t="str">
        <f>IFERROR(INDEX(Personnel[Sicil],$K126),"")</f>
        <v/>
      </c>
      <c r="B126" s="25" t="str">
        <f>IFERROR(INDEX(Personnel[Adi Soyadi],$K126),"")</f>
        <v/>
      </c>
      <c r="C126" s="24" t="str">
        <f>IFERROR(INDEX(Personnel[Vatandaslik],$K126),"")</f>
        <v/>
      </c>
      <c r="D126" s="24" t="str">
        <f>IFERROR(INDEX(Personnel[Santiye],$K126),"")</f>
        <v/>
      </c>
      <c r="E126" s="24" t="str">
        <f>IFERROR(INDEX(Personnel[Ogretmen],$K126),"")</f>
        <v/>
      </c>
      <c r="F126" s="25" t="str">
        <f>IFERROR(INDEX(Personnel[[Sinav ]],$K126),"")</f>
        <v/>
      </c>
      <c r="G126" s="25" t="str">
        <f>IFERROR(INDEX(Personnel[Egtim durumu],$K126),"")</f>
        <v/>
      </c>
      <c r="H126" s="25" t="str">
        <f>IFERROR(INDEX(Personnel[Shohruh Not],$K126),"")</f>
        <v/>
      </c>
      <c r="I126" s="24" t="str">
        <f>IFERROR(INDEX(Personnel[Дней в РФ],$K126),"")</f>
        <v/>
      </c>
      <c r="K126" s="23" t="str">
        <f t="array" ref="K126">IFERROR(_xlfn.AGGREGATE(15,6,(ROW(Personnel[Egtim durumu])-MIN(ROW(Personnel[Egtim durumu]))+1)/((Personnel[Egtim durumu]="2 kere sinavden gecemedi")),ROWS($K$7:K126)),"")</f>
        <v/>
      </c>
    </row>
    <row r="127" spans="1:11" x14ac:dyDescent="0.25">
      <c r="A127" s="18" t="str">
        <f>IFERROR(INDEX(Personnel[Sicil],$K127),"")</f>
        <v/>
      </c>
      <c r="B127" s="17" t="str">
        <f>IFERROR(INDEX(Personnel[Adi Soyadi],$K127),"")</f>
        <v/>
      </c>
      <c r="C127" s="18" t="str">
        <f>IFERROR(INDEX(Personnel[Vatandaslik],$K127),"")</f>
        <v/>
      </c>
      <c r="D127" s="18" t="str">
        <f>IFERROR(INDEX(Personnel[Santiye],$K127),"")</f>
        <v/>
      </c>
      <c r="E127" s="18" t="str">
        <f>IFERROR(INDEX(Personnel[Ogretmen],$K127),"")</f>
        <v/>
      </c>
      <c r="F127" s="17" t="str">
        <f>IFERROR(INDEX(Personnel[[Sinav ]],$K127),"")</f>
        <v/>
      </c>
      <c r="G127" s="17" t="str">
        <f>IFERROR(INDEX(Personnel[Egtim durumu],$K127),"")</f>
        <v/>
      </c>
      <c r="H127" s="17" t="str">
        <f>IFERROR(INDEX(Personnel[Shohruh Not],$K127),"")</f>
        <v/>
      </c>
      <c r="I127" s="18" t="str">
        <f>IFERROR(INDEX(Personnel[Дней в РФ],$K127),"")</f>
        <v/>
      </c>
      <c r="K127" s="23" t="str">
        <f t="array" ref="K127">IFERROR(_xlfn.AGGREGATE(15,6,(ROW(Personnel[Egtim durumu])-MIN(ROW(Personnel[Egtim durumu]))+1)/((Personnel[Egtim durumu]="2 kere sinavden gecemedi")),ROWS($K$7:K127)),"")</f>
        <v/>
      </c>
    </row>
    <row r="128" spans="1:11" x14ac:dyDescent="0.25">
      <c r="A128" s="24" t="str">
        <f>IFERROR(INDEX(Personnel[Sicil],$K128),"")</f>
        <v/>
      </c>
      <c r="B128" s="25" t="str">
        <f>IFERROR(INDEX(Personnel[Adi Soyadi],$K128),"")</f>
        <v/>
      </c>
      <c r="C128" s="24" t="str">
        <f>IFERROR(INDEX(Personnel[Vatandaslik],$K128),"")</f>
        <v/>
      </c>
      <c r="D128" s="24" t="str">
        <f>IFERROR(INDEX(Personnel[Santiye],$K128),"")</f>
        <v/>
      </c>
      <c r="E128" s="24" t="str">
        <f>IFERROR(INDEX(Personnel[Ogretmen],$K128),"")</f>
        <v/>
      </c>
      <c r="F128" s="25" t="str">
        <f>IFERROR(INDEX(Personnel[[Sinav ]],$K128),"")</f>
        <v/>
      </c>
      <c r="G128" s="25" t="str">
        <f>IFERROR(INDEX(Personnel[Egtim durumu],$K128),"")</f>
        <v/>
      </c>
      <c r="H128" s="25" t="str">
        <f>IFERROR(INDEX(Personnel[Shohruh Not],$K128),"")</f>
        <v/>
      </c>
      <c r="I128" s="24" t="str">
        <f>IFERROR(INDEX(Personnel[Дней в РФ],$K128),"")</f>
        <v/>
      </c>
      <c r="K128" s="23" t="str">
        <f t="array" ref="K128">IFERROR(_xlfn.AGGREGATE(15,6,(ROW(Personnel[Egtim durumu])-MIN(ROW(Personnel[Egtim durumu]))+1)/((Personnel[Egtim durumu]="2 kere sinavden gecemedi")),ROWS($K$7:K128)),"")</f>
        <v/>
      </c>
    </row>
    <row r="129" spans="1:11" x14ac:dyDescent="0.25">
      <c r="A129" s="18" t="str">
        <f>IFERROR(INDEX(Personnel[Sicil],$K129),"")</f>
        <v/>
      </c>
      <c r="B129" s="17" t="str">
        <f>IFERROR(INDEX(Personnel[Adi Soyadi],$K129),"")</f>
        <v/>
      </c>
      <c r="C129" s="18" t="str">
        <f>IFERROR(INDEX(Personnel[Vatandaslik],$K129),"")</f>
        <v/>
      </c>
      <c r="D129" s="18" t="str">
        <f>IFERROR(INDEX(Personnel[Santiye],$K129),"")</f>
        <v/>
      </c>
      <c r="E129" s="18" t="str">
        <f>IFERROR(INDEX(Personnel[Ogretmen],$K129),"")</f>
        <v/>
      </c>
      <c r="F129" s="17" t="str">
        <f>IFERROR(INDEX(Personnel[[Sinav ]],$K129),"")</f>
        <v/>
      </c>
      <c r="G129" s="17" t="str">
        <f>IFERROR(INDEX(Personnel[Egtim durumu],$K129),"")</f>
        <v/>
      </c>
      <c r="H129" s="17" t="str">
        <f>IFERROR(INDEX(Personnel[Shohruh Not],$K129),"")</f>
        <v/>
      </c>
      <c r="I129" s="18" t="str">
        <f>IFERROR(INDEX(Personnel[Дней в РФ],$K129),"")</f>
        <v/>
      </c>
      <c r="K129" s="23" t="str">
        <f t="array" ref="K129">IFERROR(_xlfn.AGGREGATE(15,6,(ROW(Personnel[Egtim durumu])-MIN(ROW(Personnel[Egtim durumu]))+1)/((Personnel[Egtim durumu]="2 kere sinavden gecemedi")),ROWS($K$7:K129)),"")</f>
        <v/>
      </c>
    </row>
    <row r="130" spans="1:11" x14ac:dyDescent="0.25">
      <c r="A130" s="24" t="str">
        <f>IFERROR(INDEX(Personnel[Sicil],$K130),"")</f>
        <v/>
      </c>
      <c r="B130" s="25" t="str">
        <f>IFERROR(INDEX(Personnel[Adi Soyadi],$K130),"")</f>
        <v/>
      </c>
      <c r="C130" s="24" t="str">
        <f>IFERROR(INDEX(Personnel[Vatandaslik],$K130),"")</f>
        <v/>
      </c>
      <c r="D130" s="24" t="str">
        <f>IFERROR(INDEX(Personnel[Santiye],$K130),"")</f>
        <v/>
      </c>
      <c r="E130" s="24" t="str">
        <f>IFERROR(INDEX(Personnel[Ogretmen],$K130),"")</f>
        <v/>
      </c>
      <c r="F130" s="25" t="str">
        <f>IFERROR(INDEX(Personnel[[Sinav ]],$K130),"")</f>
        <v/>
      </c>
      <c r="G130" s="25" t="str">
        <f>IFERROR(INDEX(Personnel[Egtim durumu],$K130),"")</f>
        <v/>
      </c>
      <c r="H130" s="25" t="str">
        <f>IFERROR(INDEX(Personnel[Shohruh Not],$K130),"")</f>
        <v/>
      </c>
      <c r="I130" s="24" t="str">
        <f>IFERROR(INDEX(Personnel[Дней в РФ],$K130),"")</f>
        <v/>
      </c>
      <c r="K130" s="23" t="str">
        <f t="array" ref="K130">IFERROR(_xlfn.AGGREGATE(15,6,(ROW(Personnel[Egtim durumu])-MIN(ROW(Personnel[Egtim durumu]))+1)/((Personnel[Egtim durumu]="2 kere sinavden gecemedi")),ROWS($K$7:K130)),"")</f>
        <v/>
      </c>
    </row>
    <row r="131" spans="1:11" x14ac:dyDescent="0.25">
      <c r="A131" s="18" t="str">
        <f>IFERROR(INDEX(Personnel[Sicil],$K131),"")</f>
        <v/>
      </c>
      <c r="B131" s="17" t="str">
        <f>IFERROR(INDEX(Personnel[Adi Soyadi],$K131),"")</f>
        <v/>
      </c>
      <c r="C131" s="18" t="str">
        <f>IFERROR(INDEX(Personnel[Vatandaslik],$K131),"")</f>
        <v/>
      </c>
      <c r="D131" s="18" t="str">
        <f>IFERROR(INDEX(Personnel[Santiye],$K131),"")</f>
        <v/>
      </c>
      <c r="E131" s="18" t="str">
        <f>IFERROR(INDEX(Personnel[Ogretmen],$K131),"")</f>
        <v/>
      </c>
      <c r="F131" s="17" t="str">
        <f>IFERROR(INDEX(Personnel[[Sinav ]],$K131),"")</f>
        <v/>
      </c>
      <c r="G131" s="17" t="str">
        <f>IFERROR(INDEX(Personnel[Egtim durumu],$K131),"")</f>
        <v/>
      </c>
      <c r="H131" s="17" t="str">
        <f>IFERROR(INDEX(Personnel[Shohruh Not],$K131),"")</f>
        <v/>
      </c>
      <c r="I131" s="18" t="str">
        <f>IFERROR(INDEX(Personnel[Дней в РФ],$K131),"")</f>
        <v/>
      </c>
      <c r="K131" s="23" t="str">
        <f t="array" ref="K131">IFERROR(_xlfn.AGGREGATE(15,6,(ROW(Personnel[Egtim durumu])-MIN(ROW(Personnel[Egtim durumu]))+1)/((Personnel[Egtim durumu]="2 kere sinavden gecemedi")),ROWS($K$7:K131)),"")</f>
        <v/>
      </c>
    </row>
    <row r="132" spans="1:11" x14ac:dyDescent="0.25">
      <c r="A132" s="24" t="str">
        <f>IFERROR(INDEX(Personnel[Sicil],$K132),"")</f>
        <v/>
      </c>
      <c r="B132" s="25" t="str">
        <f>IFERROR(INDEX(Personnel[Adi Soyadi],$K132),"")</f>
        <v/>
      </c>
      <c r="C132" s="24" t="str">
        <f>IFERROR(INDEX(Personnel[Vatandaslik],$K132),"")</f>
        <v/>
      </c>
      <c r="D132" s="24" t="str">
        <f>IFERROR(INDEX(Personnel[Santiye],$K132),"")</f>
        <v/>
      </c>
      <c r="E132" s="24" t="str">
        <f>IFERROR(INDEX(Personnel[Ogretmen],$K132),"")</f>
        <v/>
      </c>
      <c r="F132" s="25" t="str">
        <f>IFERROR(INDEX(Personnel[[Sinav ]],$K132),"")</f>
        <v/>
      </c>
      <c r="G132" s="25" t="str">
        <f>IFERROR(INDEX(Personnel[Egtim durumu],$K132),"")</f>
        <v/>
      </c>
      <c r="H132" s="25" t="str">
        <f>IFERROR(INDEX(Personnel[Shohruh Not],$K132),"")</f>
        <v/>
      </c>
      <c r="I132" s="24" t="str">
        <f>IFERROR(INDEX(Personnel[Дней в РФ],$K132),"")</f>
        <v/>
      </c>
      <c r="K132" s="23" t="str">
        <f t="array" ref="K132">IFERROR(_xlfn.AGGREGATE(15,6,(ROW(Personnel[Egtim durumu])-MIN(ROW(Personnel[Egtim durumu]))+1)/((Personnel[Egtim durumu]="2 kere sinavden gecemedi")),ROWS($K$7:K132)),"")</f>
        <v/>
      </c>
    </row>
    <row r="133" spans="1:11" x14ac:dyDescent="0.25">
      <c r="A133" s="18" t="str">
        <f>IFERROR(INDEX(Personnel[Sicil],$K133),"")</f>
        <v/>
      </c>
      <c r="B133" s="17" t="str">
        <f>IFERROR(INDEX(Personnel[Adi Soyadi],$K133),"")</f>
        <v/>
      </c>
      <c r="C133" s="18" t="str">
        <f>IFERROR(INDEX(Personnel[Vatandaslik],$K133),"")</f>
        <v/>
      </c>
      <c r="D133" s="18" t="str">
        <f>IFERROR(INDEX(Personnel[Santiye],$K133),"")</f>
        <v/>
      </c>
      <c r="E133" s="18" t="str">
        <f>IFERROR(INDEX(Personnel[Ogretmen],$K133),"")</f>
        <v/>
      </c>
      <c r="F133" s="17" t="str">
        <f>IFERROR(INDEX(Personnel[[Sinav ]],$K133),"")</f>
        <v/>
      </c>
      <c r="G133" s="17" t="str">
        <f>IFERROR(INDEX(Personnel[Egtim durumu],$K133),"")</f>
        <v/>
      </c>
      <c r="H133" s="17" t="str">
        <f>IFERROR(INDEX(Personnel[Shohruh Not],$K133),"")</f>
        <v/>
      </c>
      <c r="I133" s="18" t="str">
        <f>IFERROR(INDEX(Personnel[Дней в РФ],$K133),"")</f>
        <v/>
      </c>
      <c r="K133" s="23" t="str">
        <f t="array" ref="K133">IFERROR(_xlfn.AGGREGATE(15,6,(ROW(Personnel[Egtim durumu])-MIN(ROW(Personnel[Egtim durumu]))+1)/((Personnel[Egtim durumu]="2 kere sinavden gecemedi")),ROWS($K$7:K133)),"")</f>
        <v/>
      </c>
    </row>
    <row r="134" spans="1:11" x14ac:dyDescent="0.25">
      <c r="A134" s="24" t="str">
        <f>IFERROR(INDEX(Personnel[Sicil],$K134),"")</f>
        <v/>
      </c>
      <c r="B134" s="25" t="str">
        <f>IFERROR(INDEX(Personnel[Adi Soyadi],$K134),"")</f>
        <v/>
      </c>
      <c r="C134" s="24" t="str">
        <f>IFERROR(INDEX(Personnel[Vatandaslik],$K134),"")</f>
        <v/>
      </c>
      <c r="D134" s="24" t="str">
        <f>IFERROR(INDEX(Personnel[Santiye],$K134),"")</f>
        <v/>
      </c>
      <c r="E134" s="24" t="str">
        <f>IFERROR(INDEX(Personnel[Ogretmen],$K134),"")</f>
        <v/>
      </c>
      <c r="F134" s="25" t="str">
        <f>IFERROR(INDEX(Personnel[[Sinav ]],$K134),"")</f>
        <v/>
      </c>
      <c r="G134" s="25" t="str">
        <f>IFERROR(INDEX(Personnel[Egtim durumu],$K134),"")</f>
        <v/>
      </c>
      <c r="H134" s="25" t="str">
        <f>IFERROR(INDEX(Personnel[Shohruh Not],$K134),"")</f>
        <v/>
      </c>
      <c r="I134" s="24" t="str">
        <f>IFERROR(INDEX(Personnel[Дней в РФ],$K134),"")</f>
        <v/>
      </c>
      <c r="K134" s="23" t="str">
        <f t="array" ref="K134">IFERROR(_xlfn.AGGREGATE(15,6,(ROW(Personnel[Egtim durumu])-MIN(ROW(Personnel[Egtim durumu]))+1)/((Personnel[Egtim durumu]="2 kere sinavden gecemedi")),ROWS($K$7:K134)),"")</f>
        <v/>
      </c>
    </row>
    <row r="135" spans="1:11" x14ac:dyDescent="0.25">
      <c r="A135" s="18" t="str">
        <f>IFERROR(INDEX(Personnel[Sicil],$K135),"")</f>
        <v/>
      </c>
      <c r="B135" s="17" t="str">
        <f>IFERROR(INDEX(Personnel[Adi Soyadi],$K135),"")</f>
        <v/>
      </c>
      <c r="C135" s="18" t="str">
        <f>IFERROR(INDEX(Personnel[Vatandaslik],$K135),"")</f>
        <v/>
      </c>
      <c r="D135" s="18" t="str">
        <f>IFERROR(INDEX(Personnel[Santiye],$K135),"")</f>
        <v/>
      </c>
      <c r="E135" s="18" t="str">
        <f>IFERROR(INDEX(Personnel[Ogretmen],$K135),"")</f>
        <v/>
      </c>
      <c r="F135" s="17" t="str">
        <f>IFERROR(INDEX(Personnel[[Sinav ]],$K135),"")</f>
        <v/>
      </c>
      <c r="G135" s="17" t="str">
        <f>IFERROR(INDEX(Personnel[Egtim durumu],$K135),"")</f>
        <v/>
      </c>
      <c r="H135" s="17" t="str">
        <f>IFERROR(INDEX(Personnel[Shohruh Not],$K135),"")</f>
        <v/>
      </c>
      <c r="I135" s="18" t="str">
        <f>IFERROR(INDEX(Personnel[Дней в РФ],$K135),"")</f>
        <v/>
      </c>
      <c r="K135" s="23" t="str">
        <f t="array" ref="K135">IFERROR(_xlfn.AGGREGATE(15,6,(ROW(Personnel[Egtim durumu])-MIN(ROW(Personnel[Egtim durumu]))+1)/((Personnel[Egtim durumu]="2 kere sinavden gecemedi")),ROWS($K$7:K135)),"")</f>
        <v/>
      </c>
    </row>
    <row r="136" spans="1:11" x14ac:dyDescent="0.25">
      <c r="A136" s="24" t="str">
        <f>IFERROR(INDEX(Personnel[Sicil],$K136),"")</f>
        <v/>
      </c>
      <c r="B136" s="25" t="str">
        <f>IFERROR(INDEX(Personnel[Adi Soyadi],$K136),"")</f>
        <v/>
      </c>
      <c r="C136" s="24" t="str">
        <f>IFERROR(INDEX(Personnel[Vatandaslik],$K136),"")</f>
        <v/>
      </c>
      <c r="D136" s="24" t="str">
        <f>IFERROR(INDEX(Personnel[Santiye],$K136),"")</f>
        <v/>
      </c>
      <c r="E136" s="24" t="str">
        <f>IFERROR(INDEX(Personnel[Ogretmen],$K136),"")</f>
        <v/>
      </c>
      <c r="F136" s="25" t="str">
        <f>IFERROR(INDEX(Personnel[[Sinav ]],$K136),"")</f>
        <v/>
      </c>
      <c r="G136" s="25" t="str">
        <f>IFERROR(INDEX(Personnel[Egtim durumu],$K136),"")</f>
        <v/>
      </c>
      <c r="H136" s="25" t="str">
        <f>IFERROR(INDEX(Personnel[Shohruh Not],$K136),"")</f>
        <v/>
      </c>
      <c r="I136" s="24" t="str">
        <f>IFERROR(INDEX(Personnel[Дней в РФ],$K136),"")</f>
        <v/>
      </c>
      <c r="K136" s="23" t="str">
        <f t="array" ref="K136">IFERROR(_xlfn.AGGREGATE(15,6,(ROW(Personnel[Egtim durumu])-MIN(ROW(Personnel[Egtim durumu]))+1)/((Personnel[Egtim durumu]="2 kere sinavden gecemedi")),ROWS($K$7:K136)),"")</f>
        <v/>
      </c>
    </row>
    <row r="137" spans="1:11" x14ac:dyDescent="0.25">
      <c r="A137" s="18" t="str">
        <f>IFERROR(INDEX(Personnel[Sicil],$K137),"")</f>
        <v/>
      </c>
      <c r="B137" s="17" t="str">
        <f>IFERROR(INDEX(Personnel[Adi Soyadi],$K137),"")</f>
        <v/>
      </c>
      <c r="C137" s="18" t="str">
        <f>IFERROR(INDEX(Personnel[Vatandaslik],$K137),"")</f>
        <v/>
      </c>
      <c r="D137" s="18" t="str">
        <f>IFERROR(INDEX(Personnel[Santiye],$K137),"")</f>
        <v/>
      </c>
      <c r="E137" s="18" t="str">
        <f>IFERROR(INDEX(Personnel[Ogretmen],$K137),"")</f>
        <v/>
      </c>
      <c r="F137" s="17" t="str">
        <f>IFERROR(INDEX(Personnel[[Sinav ]],$K137),"")</f>
        <v/>
      </c>
      <c r="G137" s="17" t="str">
        <f>IFERROR(INDEX(Personnel[Egtim durumu],$K137),"")</f>
        <v/>
      </c>
      <c r="H137" s="17" t="str">
        <f>IFERROR(INDEX(Personnel[Shohruh Not],$K137),"")</f>
        <v/>
      </c>
      <c r="I137" s="18" t="str">
        <f>IFERROR(INDEX(Personnel[Дней в РФ],$K137),"")</f>
        <v/>
      </c>
      <c r="K137" s="23" t="str">
        <f t="array" ref="K137">IFERROR(_xlfn.AGGREGATE(15,6,(ROW(Personnel[Egtim durumu])-MIN(ROW(Personnel[Egtim durumu]))+1)/((Personnel[Egtim durumu]="2 kere sinavden gecemedi")),ROWS($K$7:K137)),"")</f>
        <v/>
      </c>
    </row>
    <row r="138" spans="1:11" x14ac:dyDescent="0.25">
      <c r="A138" s="24" t="str">
        <f>IFERROR(INDEX(Personnel[Sicil],$K138),"")</f>
        <v/>
      </c>
      <c r="B138" s="25" t="str">
        <f>IFERROR(INDEX(Personnel[Adi Soyadi],$K138),"")</f>
        <v/>
      </c>
      <c r="C138" s="24" t="str">
        <f>IFERROR(INDEX(Personnel[Vatandaslik],$K138),"")</f>
        <v/>
      </c>
      <c r="D138" s="24" t="str">
        <f>IFERROR(INDEX(Personnel[Santiye],$K138),"")</f>
        <v/>
      </c>
      <c r="E138" s="24" t="str">
        <f>IFERROR(INDEX(Personnel[Ogretmen],$K138),"")</f>
        <v/>
      </c>
      <c r="F138" s="25" t="str">
        <f>IFERROR(INDEX(Personnel[[Sinav ]],$K138),"")</f>
        <v/>
      </c>
      <c r="G138" s="25" t="str">
        <f>IFERROR(INDEX(Personnel[Egtim durumu],$K138),"")</f>
        <v/>
      </c>
      <c r="H138" s="25" t="str">
        <f>IFERROR(INDEX(Personnel[Shohruh Not],$K138),"")</f>
        <v/>
      </c>
      <c r="I138" s="24" t="str">
        <f>IFERROR(INDEX(Personnel[Дней в РФ],$K138),"")</f>
        <v/>
      </c>
      <c r="K138" s="23" t="str">
        <f t="array" ref="K138">IFERROR(_xlfn.AGGREGATE(15,6,(ROW(Personnel[Egtim durumu])-MIN(ROW(Personnel[Egtim durumu]))+1)/((Personnel[Egtim durumu]="2 kere sinavden gecemedi")),ROWS($K$7:K138)),"")</f>
        <v/>
      </c>
    </row>
    <row r="139" spans="1:11" x14ac:dyDescent="0.25">
      <c r="A139" s="18" t="str">
        <f>IFERROR(INDEX(Personnel[Sicil],$K139),"")</f>
        <v/>
      </c>
      <c r="B139" s="17" t="str">
        <f>IFERROR(INDEX(Personnel[Adi Soyadi],$K139),"")</f>
        <v/>
      </c>
      <c r="C139" s="18" t="str">
        <f>IFERROR(INDEX(Personnel[Vatandaslik],$K139),"")</f>
        <v/>
      </c>
      <c r="D139" s="18" t="str">
        <f>IFERROR(INDEX(Personnel[Santiye],$K139),"")</f>
        <v/>
      </c>
      <c r="E139" s="18" t="str">
        <f>IFERROR(INDEX(Personnel[Ogretmen],$K139),"")</f>
        <v/>
      </c>
      <c r="F139" s="17" t="str">
        <f>IFERROR(INDEX(Personnel[[Sinav ]],$K139),"")</f>
        <v/>
      </c>
      <c r="G139" s="17" t="str">
        <f>IFERROR(INDEX(Personnel[Egtim durumu],$K139),"")</f>
        <v/>
      </c>
      <c r="H139" s="17" t="str">
        <f>IFERROR(INDEX(Personnel[Shohruh Not],$K139),"")</f>
        <v/>
      </c>
      <c r="I139" s="18" t="str">
        <f>IFERROR(INDEX(Personnel[Дней в РФ],$K139),"")</f>
        <v/>
      </c>
      <c r="K139" s="23" t="str">
        <f t="array" ref="K139">IFERROR(_xlfn.AGGREGATE(15,6,(ROW(Personnel[Egtim durumu])-MIN(ROW(Personnel[Egtim durumu]))+1)/((Personnel[Egtim durumu]="2 kere sinavden gecemedi")),ROWS($K$7:K139)),"")</f>
        <v/>
      </c>
    </row>
    <row r="140" spans="1:11" x14ac:dyDescent="0.25">
      <c r="A140" s="24" t="str">
        <f>IFERROR(INDEX(Personnel[Sicil],$K140),"")</f>
        <v/>
      </c>
      <c r="B140" s="25" t="str">
        <f>IFERROR(INDEX(Personnel[Adi Soyadi],$K140),"")</f>
        <v/>
      </c>
      <c r="C140" s="24" t="str">
        <f>IFERROR(INDEX(Personnel[Vatandaslik],$K140),"")</f>
        <v/>
      </c>
      <c r="D140" s="24" t="str">
        <f>IFERROR(INDEX(Personnel[Santiye],$K140),"")</f>
        <v/>
      </c>
      <c r="E140" s="24" t="str">
        <f>IFERROR(INDEX(Personnel[Ogretmen],$K140),"")</f>
        <v/>
      </c>
      <c r="F140" s="25" t="str">
        <f>IFERROR(INDEX(Personnel[[Sinav ]],$K140),"")</f>
        <v/>
      </c>
      <c r="G140" s="25" t="str">
        <f>IFERROR(INDEX(Personnel[Egtim durumu],$K140),"")</f>
        <v/>
      </c>
      <c r="H140" s="25" t="str">
        <f>IFERROR(INDEX(Personnel[Shohruh Not],$K140),"")</f>
        <v/>
      </c>
      <c r="I140" s="24" t="str">
        <f>IFERROR(INDEX(Personnel[Дней в РФ],$K140),"")</f>
        <v/>
      </c>
      <c r="K140" s="23" t="str">
        <f t="array" ref="K140">IFERROR(_xlfn.AGGREGATE(15,6,(ROW(Personnel[Egtim durumu])-MIN(ROW(Personnel[Egtim durumu]))+1)/((Personnel[Egtim durumu]="2 kere sinavden gecemedi")),ROWS($K$7:K140)),"")</f>
        <v/>
      </c>
    </row>
    <row r="141" spans="1:11" x14ac:dyDescent="0.25">
      <c r="A141" s="18" t="str">
        <f>IFERROR(INDEX(Personnel[Sicil],$K141),"")</f>
        <v/>
      </c>
      <c r="B141" s="17" t="str">
        <f>IFERROR(INDEX(Personnel[Adi Soyadi],$K141),"")</f>
        <v/>
      </c>
      <c r="C141" s="18" t="str">
        <f>IFERROR(INDEX(Personnel[Vatandaslik],$K141),"")</f>
        <v/>
      </c>
      <c r="D141" s="18" t="str">
        <f>IFERROR(INDEX(Personnel[Santiye],$K141),"")</f>
        <v/>
      </c>
      <c r="E141" s="18" t="str">
        <f>IFERROR(INDEX(Personnel[Ogretmen],$K141),"")</f>
        <v/>
      </c>
      <c r="F141" s="17" t="str">
        <f>IFERROR(INDEX(Personnel[[Sinav ]],$K141),"")</f>
        <v/>
      </c>
      <c r="G141" s="17" t="str">
        <f>IFERROR(INDEX(Personnel[Egtim durumu],$K141),"")</f>
        <v/>
      </c>
      <c r="H141" s="17" t="str">
        <f>IFERROR(INDEX(Personnel[Shohruh Not],$K141),"")</f>
        <v/>
      </c>
      <c r="I141" s="18" t="str">
        <f>IFERROR(INDEX(Personnel[Дней в РФ],$K141),"")</f>
        <v/>
      </c>
      <c r="K141" s="23" t="str">
        <f t="array" ref="K141">IFERROR(_xlfn.AGGREGATE(15,6,(ROW(Personnel[Egtim durumu])-MIN(ROW(Personnel[Egtim durumu]))+1)/((Personnel[Egtim durumu]="2 kere sinavden gecemedi")),ROWS($K$7:K141)),"")</f>
        <v/>
      </c>
    </row>
    <row r="142" spans="1:11" x14ac:dyDescent="0.25">
      <c r="A142" s="24" t="str">
        <f>IFERROR(INDEX(Personnel[Sicil],$K142),"")</f>
        <v/>
      </c>
      <c r="B142" s="25" t="str">
        <f>IFERROR(INDEX(Personnel[Adi Soyadi],$K142),"")</f>
        <v/>
      </c>
      <c r="C142" s="24" t="str">
        <f>IFERROR(INDEX(Personnel[Vatandaslik],$K142),"")</f>
        <v/>
      </c>
      <c r="D142" s="24" t="str">
        <f>IFERROR(INDEX(Personnel[Santiye],$K142),"")</f>
        <v/>
      </c>
      <c r="E142" s="24" t="str">
        <f>IFERROR(INDEX(Personnel[Ogretmen],$K142),"")</f>
        <v/>
      </c>
      <c r="F142" s="25" t="str">
        <f>IFERROR(INDEX(Personnel[[Sinav ]],$K142),"")</f>
        <v/>
      </c>
      <c r="G142" s="25" t="str">
        <f>IFERROR(INDEX(Personnel[Egtim durumu],$K142),"")</f>
        <v/>
      </c>
      <c r="H142" s="25" t="str">
        <f>IFERROR(INDEX(Personnel[Shohruh Not],$K142),"")</f>
        <v/>
      </c>
      <c r="I142" s="24" t="str">
        <f>IFERROR(INDEX(Personnel[Дней в РФ],$K142),"")</f>
        <v/>
      </c>
      <c r="K142" s="23" t="str">
        <f t="array" ref="K142">IFERROR(_xlfn.AGGREGATE(15,6,(ROW(Personnel[Egtim durumu])-MIN(ROW(Personnel[Egtim durumu]))+1)/((Personnel[Egtim durumu]="2 kere sinavden gecemedi")),ROWS($K$7:K142)),"")</f>
        <v/>
      </c>
    </row>
    <row r="143" spans="1:11" x14ac:dyDescent="0.25">
      <c r="A143" s="18" t="str">
        <f>IFERROR(INDEX(Personnel[Sicil],$K143),"")</f>
        <v/>
      </c>
      <c r="B143" s="17" t="str">
        <f>IFERROR(INDEX(Personnel[Adi Soyadi],$K143),"")</f>
        <v/>
      </c>
      <c r="C143" s="18" t="str">
        <f>IFERROR(INDEX(Personnel[Vatandaslik],$K143),"")</f>
        <v/>
      </c>
      <c r="D143" s="18" t="str">
        <f>IFERROR(INDEX(Personnel[Santiye],$K143),"")</f>
        <v/>
      </c>
      <c r="E143" s="18" t="str">
        <f>IFERROR(INDEX(Personnel[Ogretmen],$K143),"")</f>
        <v/>
      </c>
      <c r="F143" s="17" t="str">
        <f>IFERROR(INDEX(Personnel[[Sinav ]],$K143),"")</f>
        <v/>
      </c>
      <c r="G143" s="17" t="str">
        <f>IFERROR(INDEX(Personnel[Egtim durumu],$K143),"")</f>
        <v/>
      </c>
      <c r="H143" s="17" t="str">
        <f>IFERROR(INDEX(Personnel[Shohruh Not],$K143),"")</f>
        <v/>
      </c>
      <c r="I143" s="18" t="str">
        <f>IFERROR(INDEX(Personnel[Дней в РФ],$K143),"")</f>
        <v/>
      </c>
      <c r="K143" s="23" t="str">
        <f t="array" ref="K143">IFERROR(_xlfn.AGGREGATE(15,6,(ROW(Personnel[Egtim durumu])-MIN(ROW(Personnel[Egtim durumu]))+1)/((Personnel[Egtim durumu]="2 kere sinavden gecemedi")),ROWS($K$7:K143)),"")</f>
        <v/>
      </c>
    </row>
    <row r="144" spans="1:11" x14ac:dyDescent="0.25">
      <c r="A144" s="24" t="str">
        <f>IFERROR(INDEX(Personnel[Sicil],$K144),"")</f>
        <v/>
      </c>
      <c r="B144" s="25" t="str">
        <f>IFERROR(INDEX(Personnel[Adi Soyadi],$K144),"")</f>
        <v/>
      </c>
      <c r="C144" s="24" t="str">
        <f>IFERROR(INDEX(Personnel[Vatandaslik],$K144),"")</f>
        <v/>
      </c>
      <c r="D144" s="24" t="str">
        <f>IFERROR(INDEX(Personnel[Santiye],$K144),"")</f>
        <v/>
      </c>
      <c r="E144" s="24" t="str">
        <f>IFERROR(INDEX(Personnel[Ogretmen],$K144),"")</f>
        <v/>
      </c>
      <c r="F144" s="25" t="str">
        <f>IFERROR(INDEX(Personnel[[Sinav ]],$K144),"")</f>
        <v/>
      </c>
      <c r="G144" s="25" t="str">
        <f>IFERROR(INDEX(Personnel[Egtim durumu],$K144),"")</f>
        <v/>
      </c>
      <c r="H144" s="25" t="str">
        <f>IFERROR(INDEX(Personnel[Shohruh Not],$K144),"")</f>
        <v/>
      </c>
      <c r="I144" s="24" t="str">
        <f>IFERROR(INDEX(Personnel[Дней в РФ],$K144),"")</f>
        <v/>
      </c>
      <c r="K144" s="23" t="str">
        <f t="array" ref="K144">IFERROR(_xlfn.AGGREGATE(15,6,(ROW(Personnel[Egtim durumu])-MIN(ROW(Personnel[Egtim durumu]))+1)/((Personnel[Egtim durumu]="2 kere sinavden gecemedi")),ROWS($K$7:K144)),"")</f>
        <v/>
      </c>
    </row>
    <row r="145" spans="1:11" x14ac:dyDescent="0.25">
      <c r="A145" s="18" t="str">
        <f>IFERROR(INDEX(Personnel[Sicil],$K145),"")</f>
        <v/>
      </c>
      <c r="B145" s="17" t="str">
        <f>IFERROR(INDEX(Personnel[Adi Soyadi],$K145),"")</f>
        <v/>
      </c>
      <c r="C145" s="18" t="str">
        <f>IFERROR(INDEX(Personnel[Vatandaslik],$K145),"")</f>
        <v/>
      </c>
      <c r="D145" s="18" t="str">
        <f>IFERROR(INDEX(Personnel[Santiye],$K145),"")</f>
        <v/>
      </c>
      <c r="E145" s="18" t="str">
        <f>IFERROR(INDEX(Personnel[Ogretmen],$K145),"")</f>
        <v/>
      </c>
      <c r="F145" s="17" t="str">
        <f>IFERROR(INDEX(Personnel[[Sinav ]],$K145),"")</f>
        <v/>
      </c>
      <c r="G145" s="17" t="str">
        <f>IFERROR(INDEX(Personnel[Egtim durumu],$K145),"")</f>
        <v/>
      </c>
      <c r="H145" s="17" t="str">
        <f>IFERROR(INDEX(Personnel[Shohruh Not],$K145),"")</f>
        <v/>
      </c>
      <c r="I145" s="18" t="str">
        <f>IFERROR(INDEX(Personnel[Дней в РФ],$K145),"")</f>
        <v/>
      </c>
      <c r="K145" s="23" t="str">
        <f t="array" ref="K145">IFERROR(_xlfn.AGGREGATE(15,6,(ROW(Personnel[Egtim durumu])-MIN(ROW(Personnel[Egtim durumu]))+1)/((Personnel[Egtim durumu]="2 kere sinavden gecemedi")),ROWS($K$7:K145)),"")</f>
        <v/>
      </c>
    </row>
    <row r="146" spans="1:11" x14ac:dyDescent="0.25">
      <c r="A146" s="24" t="str">
        <f>IFERROR(INDEX(Personnel[Sicil],$K146),"")</f>
        <v/>
      </c>
      <c r="B146" s="25" t="str">
        <f>IFERROR(INDEX(Personnel[Adi Soyadi],$K146),"")</f>
        <v/>
      </c>
      <c r="C146" s="24" t="str">
        <f>IFERROR(INDEX(Personnel[Vatandaslik],$K146),"")</f>
        <v/>
      </c>
      <c r="D146" s="24" t="str">
        <f>IFERROR(INDEX(Personnel[Santiye],$K146),"")</f>
        <v/>
      </c>
      <c r="E146" s="24" t="str">
        <f>IFERROR(INDEX(Personnel[Ogretmen],$K146),"")</f>
        <v/>
      </c>
      <c r="F146" s="25" t="str">
        <f>IFERROR(INDEX(Personnel[[Sinav ]],$K146),"")</f>
        <v/>
      </c>
      <c r="G146" s="25" t="str">
        <f>IFERROR(INDEX(Personnel[Egtim durumu],$K146),"")</f>
        <v/>
      </c>
      <c r="H146" s="25" t="str">
        <f>IFERROR(INDEX(Personnel[Shohruh Not],$K146),"")</f>
        <v/>
      </c>
      <c r="I146" s="24" t="str">
        <f>IFERROR(INDEX(Personnel[Дней в РФ],$K146),"")</f>
        <v/>
      </c>
      <c r="K146" s="23" t="str">
        <f t="array" ref="K146">IFERROR(_xlfn.AGGREGATE(15,6,(ROW(Personnel[Egtim durumu])-MIN(ROW(Personnel[Egtim durumu]))+1)/((Personnel[Egtim durumu]="2 kere sinavden gecemedi")),ROWS($K$7:K146)),"")</f>
        <v/>
      </c>
    </row>
    <row r="147" spans="1:11" x14ac:dyDescent="0.25">
      <c r="A147" s="18" t="str">
        <f>IFERROR(INDEX(Personnel[Sicil],$K147),"")</f>
        <v/>
      </c>
      <c r="B147" s="17" t="str">
        <f>IFERROR(INDEX(Personnel[Adi Soyadi],$K147),"")</f>
        <v/>
      </c>
      <c r="C147" s="18" t="str">
        <f>IFERROR(INDEX(Personnel[Vatandaslik],$K147),"")</f>
        <v/>
      </c>
      <c r="D147" s="18" t="str">
        <f>IFERROR(INDEX(Personnel[Santiye],$K147),"")</f>
        <v/>
      </c>
      <c r="E147" s="18" t="str">
        <f>IFERROR(INDEX(Personnel[Ogretmen],$K147),"")</f>
        <v/>
      </c>
      <c r="F147" s="17" t="str">
        <f>IFERROR(INDEX(Personnel[[Sinav ]],$K147),"")</f>
        <v/>
      </c>
      <c r="G147" s="17" t="str">
        <f>IFERROR(INDEX(Personnel[Egtim durumu],$K147),"")</f>
        <v/>
      </c>
      <c r="H147" s="17" t="str">
        <f>IFERROR(INDEX(Personnel[Shohruh Not],$K147),"")</f>
        <v/>
      </c>
      <c r="I147" s="18" t="str">
        <f>IFERROR(INDEX(Personnel[Дней в РФ],$K147),"")</f>
        <v/>
      </c>
      <c r="K147" s="23" t="str">
        <f t="array" ref="K147">IFERROR(_xlfn.AGGREGATE(15,6,(ROW(Personnel[Egtim durumu])-MIN(ROW(Personnel[Egtim durumu]))+1)/((Personnel[Egtim durumu]="2 kere sinavden gecemedi")),ROWS($K$7:K147)),"")</f>
        <v/>
      </c>
    </row>
    <row r="148" spans="1:11" x14ac:dyDescent="0.25">
      <c r="A148" s="24" t="str">
        <f>IFERROR(INDEX(Personnel[Sicil],$K148),"")</f>
        <v/>
      </c>
      <c r="B148" s="25" t="str">
        <f>IFERROR(INDEX(Personnel[Adi Soyadi],$K148),"")</f>
        <v/>
      </c>
      <c r="C148" s="24" t="str">
        <f>IFERROR(INDEX(Personnel[Vatandaslik],$K148),"")</f>
        <v/>
      </c>
      <c r="D148" s="24" t="str">
        <f>IFERROR(INDEX(Personnel[Santiye],$K148),"")</f>
        <v/>
      </c>
      <c r="E148" s="24" t="str">
        <f>IFERROR(INDEX(Personnel[Ogretmen],$K148),"")</f>
        <v/>
      </c>
      <c r="F148" s="25" t="str">
        <f>IFERROR(INDEX(Personnel[[Sinav ]],$K148),"")</f>
        <v/>
      </c>
      <c r="G148" s="25" t="str">
        <f>IFERROR(INDEX(Personnel[Egtim durumu],$K148),"")</f>
        <v/>
      </c>
      <c r="H148" s="25" t="str">
        <f>IFERROR(INDEX(Personnel[Shohruh Not],$K148),"")</f>
        <v/>
      </c>
      <c r="I148" s="24" t="str">
        <f>IFERROR(INDEX(Personnel[Дней в РФ],$K148),"")</f>
        <v/>
      </c>
      <c r="K148" s="23" t="str">
        <f t="array" ref="K148">IFERROR(_xlfn.AGGREGATE(15,6,(ROW(Personnel[Egtim durumu])-MIN(ROW(Personnel[Egtim durumu]))+1)/((Personnel[Egtim durumu]="2 kere sinavden gecemedi")),ROWS($K$7:K148)),"")</f>
        <v/>
      </c>
    </row>
    <row r="149" spans="1:11" x14ac:dyDescent="0.25">
      <c r="A149" s="18" t="str">
        <f>IFERROR(INDEX(Personnel[Sicil],$K149),"")</f>
        <v/>
      </c>
      <c r="B149" s="17" t="str">
        <f>IFERROR(INDEX(Personnel[Adi Soyadi],$K149),"")</f>
        <v/>
      </c>
      <c r="C149" s="18" t="str">
        <f>IFERROR(INDEX(Personnel[Vatandaslik],$K149),"")</f>
        <v/>
      </c>
      <c r="D149" s="18" t="str">
        <f>IFERROR(INDEX(Personnel[Santiye],$K149),"")</f>
        <v/>
      </c>
      <c r="E149" s="18" t="str">
        <f>IFERROR(INDEX(Personnel[Ogretmen],$K149),"")</f>
        <v/>
      </c>
      <c r="F149" s="17" t="str">
        <f>IFERROR(INDEX(Personnel[[Sinav ]],$K149),"")</f>
        <v/>
      </c>
      <c r="G149" s="17" t="str">
        <f>IFERROR(INDEX(Personnel[Egtim durumu],$K149),"")</f>
        <v/>
      </c>
      <c r="H149" s="17" t="str">
        <f>IFERROR(INDEX(Personnel[Shohruh Not],$K149),"")</f>
        <v/>
      </c>
      <c r="I149" s="18" t="str">
        <f>IFERROR(INDEX(Personnel[Дней в РФ],$K149),"")</f>
        <v/>
      </c>
      <c r="K149" s="23" t="str">
        <f t="array" ref="K149">IFERROR(_xlfn.AGGREGATE(15,6,(ROW(Personnel[Egtim durumu])-MIN(ROW(Personnel[Egtim durumu]))+1)/((Personnel[Egtim durumu]="2 kere sinavden gecemedi")),ROWS($K$7:K149)),"")</f>
        <v/>
      </c>
    </row>
    <row r="150" spans="1:11" x14ac:dyDescent="0.25">
      <c r="A150" s="24" t="str">
        <f>IFERROR(INDEX(Personnel[Sicil],$K150),"")</f>
        <v/>
      </c>
      <c r="B150" s="25" t="str">
        <f>IFERROR(INDEX(Personnel[Adi Soyadi],$K150),"")</f>
        <v/>
      </c>
      <c r="C150" s="24" t="str">
        <f>IFERROR(INDEX(Personnel[Vatandaslik],$K150),"")</f>
        <v/>
      </c>
      <c r="D150" s="24" t="str">
        <f>IFERROR(INDEX(Personnel[Santiye],$K150),"")</f>
        <v/>
      </c>
      <c r="E150" s="24" t="str">
        <f>IFERROR(INDEX(Personnel[Ogretmen],$K150),"")</f>
        <v/>
      </c>
      <c r="F150" s="25" t="str">
        <f>IFERROR(INDEX(Personnel[[Sinav ]],$K150),"")</f>
        <v/>
      </c>
      <c r="G150" s="25" t="str">
        <f>IFERROR(INDEX(Personnel[Egtim durumu],$K150),"")</f>
        <v/>
      </c>
      <c r="H150" s="25" t="str">
        <f>IFERROR(INDEX(Personnel[Shohruh Not],$K150),"")</f>
        <v/>
      </c>
      <c r="I150" s="24" t="str">
        <f>IFERROR(INDEX(Personnel[Дней в РФ],$K150),"")</f>
        <v/>
      </c>
      <c r="K150" s="23" t="str">
        <f t="array" ref="K150">IFERROR(_xlfn.AGGREGATE(15,6,(ROW(Personnel[Egtim durumu])-MIN(ROW(Personnel[Egtim durumu]))+1)/((Personnel[Egtim durumu]="2 kere sinavden gecemedi")),ROWS($K$7:K150)),"")</f>
        <v/>
      </c>
    </row>
    <row r="151" spans="1:11" x14ac:dyDescent="0.25">
      <c r="A151" s="18" t="str">
        <f>IFERROR(INDEX(Personnel[Sicil],$K151),"")</f>
        <v/>
      </c>
      <c r="B151" s="17" t="str">
        <f>IFERROR(INDEX(Personnel[Adi Soyadi],$K151),"")</f>
        <v/>
      </c>
      <c r="C151" s="18" t="str">
        <f>IFERROR(INDEX(Personnel[Vatandaslik],$K151),"")</f>
        <v/>
      </c>
      <c r="D151" s="18" t="str">
        <f>IFERROR(INDEX(Personnel[Santiye],$K151),"")</f>
        <v/>
      </c>
      <c r="E151" s="18" t="str">
        <f>IFERROR(INDEX(Personnel[Ogretmen],$K151),"")</f>
        <v/>
      </c>
      <c r="F151" s="17" t="str">
        <f>IFERROR(INDEX(Personnel[[Sinav ]],$K151),"")</f>
        <v/>
      </c>
      <c r="G151" s="17" t="str">
        <f>IFERROR(INDEX(Personnel[Egtim durumu],$K151),"")</f>
        <v/>
      </c>
      <c r="H151" s="17" t="str">
        <f>IFERROR(INDEX(Personnel[Shohruh Not],$K151),"")</f>
        <v/>
      </c>
      <c r="I151" s="18" t="str">
        <f>IFERROR(INDEX(Personnel[Дней в РФ],$K151),"")</f>
        <v/>
      </c>
      <c r="K151" s="23" t="str">
        <f t="array" ref="K151">IFERROR(_xlfn.AGGREGATE(15,6,(ROW(Personnel[Egtim durumu])-MIN(ROW(Personnel[Egtim durumu]))+1)/((Personnel[Egtim durumu]="2 kere sinavden gecemedi")),ROWS($K$7:K151)),"")</f>
        <v/>
      </c>
    </row>
    <row r="152" spans="1:11" x14ac:dyDescent="0.25">
      <c r="A152" s="24" t="str">
        <f>IFERROR(INDEX(Personnel[Sicil],$K152),"")</f>
        <v/>
      </c>
      <c r="B152" s="25" t="str">
        <f>IFERROR(INDEX(Personnel[Adi Soyadi],$K152),"")</f>
        <v/>
      </c>
      <c r="C152" s="24" t="str">
        <f>IFERROR(INDEX(Personnel[Vatandaslik],$K152),"")</f>
        <v/>
      </c>
      <c r="D152" s="24" t="str">
        <f>IFERROR(INDEX(Personnel[Santiye],$K152),"")</f>
        <v/>
      </c>
      <c r="E152" s="24" t="str">
        <f>IFERROR(INDEX(Personnel[Ogretmen],$K152),"")</f>
        <v/>
      </c>
      <c r="F152" s="25" t="str">
        <f>IFERROR(INDEX(Personnel[[Sinav ]],$K152),"")</f>
        <v/>
      </c>
      <c r="G152" s="25" t="str">
        <f>IFERROR(INDEX(Personnel[Egtim durumu],$K152),"")</f>
        <v/>
      </c>
      <c r="H152" s="25" t="str">
        <f>IFERROR(INDEX(Personnel[Shohruh Not],$K152),"")</f>
        <v/>
      </c>
      <c r="I152" s="24" t="str">
        <f>IFERROR(INDEX(Personnel[Дней в РФ],$K152),"")</f>
        <v/>
      </c>
      <c r="K152" s="23" t="str">
        <f t="array" ref="K152">IFERROR(_xlfn.AGGREGATE(15,6,(ROW(Personnel[Egtim durumu])-MIN(ROW(Personnel[Egtim durumu]))+1)/((Personnel[Egtim durumu]="2 kere sinavden gecemedi")),ROWS($K$7:K152)),"")</f>
        <v/>
      </c>
    </row>
    <row r="153" spans="1:11" x14ac:dyDescent="0.25">
      <c r="A153" s="18" t="str">
        <f>IFERROR(INDEX(Personnel[Sicil],$K153),"")</f>
        <v/>
      </c>
      <c r="B153" s="17" t="str">
        <f>IFERROR(INDEX(Personnel[Adi Soyadi],$K153),"")</f>
        <v/>
      </c>
      <c r="C153" s="18" t="str">
        <f>IFERROR(INDEX(Personnel[Vatandaslik],$K153),"")</f>
        <v/>
      </c>
      <c r="D153" s="18" t="str">
        <f>IFERROR(INDEX(Personnel[Santiye],$K153),"")</f>
        <v/>
      </c>
      <c r="E153" s="18" t="str">
        <f>IFERROR(INDEX(Personnel[Ogretmen],$K153),"")</f>
        <v/>
      </c>
      <c r="F153" s="17" t="str">
        <f>IFERROR(INDEX(Personnel[[Sinav ]],$K153),"")</f>
        <v/>
      </c>
      <c r="G153" s="17" t="str">
        <f>IFERROR(INDEX(Personnel[Egtim durumu],$K153),"")</f>
        <v/>
      </c>
      <c r="H153" s="17" t="str">
        <f>IFERROR(INDEX(Personnel[Shohruh Not],$K153),"")</f>
        <v/>
      </c>
      <c r="I153" s="18" t="str">
        <f>IFERROR(INDEX(Personnel[Дней в РФ],$K153),"")</f>
        <v/>
      </c>
      <c r="K153" s="23" t="str">
        <f t="array" ref="K153">IFERROR(_xlfn.AGGREGATE(15,6,(ROW(Personnel[Egtim durumu])-MIN(ROW(Personnel[Egtim durumu]))+1)/((Personnel[Egtim durumu]="2 kere sinavden gecemedi")),ROWS($K$7:K153)),"")</f>
        <v/>
      </c>
    </row>
    <row r="154" spans="1:11" x14ac:dyDescent="0.25">
      <c r="A154" s="24" t="str">
        <f>IFERROR(INDEX(Personnel[Sicil],$K154),"")</f>
        <v/>
      </c>
      <c r="B154" s="25" t="str">
        <f>IFERROR(INDEX(Personnel[Adi Soyadi],$K154),"")</f>
        <v/>
      </c>
      <c r="C154" s="24" t="str">
        <f>IFERROR(INDEX(Personnel[Vatandaslik],$K154),"")</f>
        <v/>
      </c>
      <c r="D154" s="24" t="str">
        <f>IFERROR(INDEX(Personnel[Santiye],$K154),"")</f>
        <v/>
      </c>
      <c r="E154" s="24" t="str">
        <f>IFERROR(INDEX(Personnel[Ogretmen],$K154),"")</f>
        <v/>
      </c>
      <c r="F154" s="25" t="str">
        <f>IFERROR(INDEX(Personnel[[Sinav ]],$K154),"")</f>
        <v/>
      </c>
      <c r="G154" s="25" t="str">
        <f>IFERROR(INDEX(Personnel[Egtim durumu],$K154),"")</f>
        <v/>
      </c>
      <c r="H154" s="25" t="str">
        <f>IFERROR(INDEX(Personnel[Shohruh Not],$K154),"")</f>
        <v/>
      </c>
      <c r="I154" s="24" t="str">
        <f>IFERROR(INDEX(Personnel[Дней в РФ],$K154),"")</f>
        <v/>
      </c>
      <c r="K154" s="23" t="str">
        <f t="array" ref="K154">IFERROR(_xlfn.AGGREGATE(15,6,(ROW(Personnel[Egtim durumu])-MIN(ROW(Personnel[Egtim durumu]))+1)/((Personnel[Egtim durumu]="2 kere sinavden gecemedi")),ROWS($K$7:K154)),"")</f>
        <v/>
      </c>
    </row>
    <row r="155" spans="1:11" x14ac:dyDescent="0.25">
      <c r="A155" s="18" t="str">
        <f>IFERROR(INDEX(Personnel[Sicil],$K155),"")</f>
        <v/>
      </c>
      <c r="B155" s="17" t="str">
        <f>IFERROR(INDEX(Personnel[Adi Soyadi],$K155),"")</f>
        <v/>
      </c>
      <c r="C155" s="18" t="str">
        <f>IFERROR(INDEX(Personnel[Vatandaslik],$K155),"")</f>
        <v/>
      </c>
      <c r="D155" s="18" t="str">
        <f>IFERROR(INDEX(Personnel[Santiye],$K155),"")</f>
        <v/>
      </c>
      <c r="E155" s="18" t="str">
        <f>IFERROR(INDEX(Personnel[Ogretmen],$K155),"")</f>
        <v/>
      </c>
      <c r="F155" s="17" t="str">
        <f>IFERROR(INDEX(Personnel[[Sinav ]],$K155),"")</f>
        <v/>
      </c>
      <c r="G155" s="17" t="str">
        <f>IFERROR(INDEX(Personnel[Egtim durumu],$K155),"")</f>
        <v/>
      </c>
      <c r="H155" s="17" t="str">
        <f>IFERROR(INDEX(Personnel[Shohruh Not],$K155),"")</f>
        <v/>
      </c>
      <c r="I155" s="18" t="str">
        <f>IFERROR(INDEX(Personnel[Дней в РФ],$K155),"")</f>
        <v/>
      </c>
      <c r="K155" s="23" t="str">
        <f t="array" ref="K155">IFERROR(_xlfn.AGGREGATE(15,6,(ROW(Personnel[Egtim durumu])-MIN(ROW(Personnel[Egtim durumu]))+1)/((Personnel[Egtim durumu]="2 kere sinavden gecemedi")),ROWS($K$7:K155)),"")</f>
        <v/>
      </c>
    </row>
    <row r="156" spans="1:11" x14ac:dyDescent="0.25">
      <c r="A156" s="24" t="str">
        <f>IFERROR(INDEX(Personnel[Sicil],$K156),"")</f>
        <v/>
      </c>
      <c r="B156" s="25" t="str">
        <f>IFERROR(INDEX(Personnel[Adi Soyadi],$K156),"")</f>
        <v/>
      </c>
      <c r="C156" s="24" t="str">
        <f>IFERROR(INDEX(Personnel[Vatandaslik],$K156),"")</f>
        <v/>
      </c>
      <c r="D156" s="24" t="str">
        <f>IFERROR(INDEX(Personnel[Santiye],$K156),"")</f>
        <v/>
      </c>
      <c r="E156" s="24" t="str">
        <f>IFERROR(INDEX(Personnel[Ogretmen],$K156),"")</f>
        <v/>
      </c>
      <c r="F156" s="25" t="str">
        <f>IFERROR(INDEX(Personnel[[Sinav ]],$K156),"")</f>
        <v/>
      </c>
      <c r="G156" s="25" t="str">
        <f>IFERROR(INDEX(Personnel[Egtim durumu],$K156),"")</f>
        <v/>
      </c>
      <c r="H156" s="25" t="str">
        <f>IFERROR(INDEX(Personnel[Shohruh Not],$K156),"")</f>
        <v/>
      </c>
      <c r="I156" s="24" t="str">
        <f>IFERROR(INDEX(Personnel[Дней в РФ],$K156),"")</f>
        <v/>
      </c>
      <c r="K156" s="23" t="str">
        <f t="array" ref="K156">IFERROR(_xlfn.AGGREGATE(15,6,(ROW(Personnel[Egtim durumu])-MIN(ROW(Personnel[Egtim durumu]))+1)/((Personnel[Egtim durumu]="2 kere sinavden gecemedi")),ROWS($K$7:K156)),"")</f>
        <v/>
      </c>
    </row>
    <row r="157" spans="1:11" x14ac:dyDescent="0.25">
      <c r="A157" s="18" t="str">
        <f>IFERROR(INDEX(Personnel[Sicil],$K157),"")</f>
        <v/>
      </c>
      <c r="B157" s="17" t="str">
        <f>IFERROR(INDEX(Personnel[Adi Soyadi],$K157),"")</f>
        <v/>
      </c>
      <c r="C157" s="18" t="str">
        <f>IFERROR(INDEX(Personnel[Vatandaslik],$K157),"")</f>
        <v/>
      </c>
      <c r="D157" s="18" t="str">
        <f>IFERROR(INDEX(Personnel[Santiye],$K157),"")</f>
        <v/>
      </c>
      <c r="E157" s="18" t="str">
        <f>IFERROR(INDEX(Personnel[Ogretmen],$K157),"")</f>
        <v/>
      </c>
      <c r="F157" s="17" t="str">
        <f>IFERROR(INDEX(Personnel[[Sinav ]],$K157),"")</f>
        <v/>
      </c>
      <c r="G157" s="17" t="str">
        <f>IFERROR(INDEX(Personnel[Egtim durumu],$K157),"")</f>
        <v/>
      </c>
      <c r="H157" s="17" t="str">
        <f>IFERROR(INDEX(Personnel[Shohruh Not],$K157),"")</f>
        <v/>
      </c>
      <c r="I157" s="18" t="str">
        <f>IFERROR(INDEX(Personnel[Дней в РФ],$K157),"")</f>
        <v/>
      </c>
      <c r="K157" s="23" t="str">
        <f t="array" ref="K157">IFERROR(_xlfn.AGGREGATE(15,6,(ROW(Personnel[Egtim durumu])-MIN(ROW(Personnel[Egtim durumu]))+1)/((Personnel[Egtim durumu]="2 kere sinavden gecemedi")),ROWS($K$7:K157)),"")</f>
        <v/>
      </c>
    </row>
    <row r="158" spans="1:11" x14ac:dyDescent="0.25">
      <c r="A158" s="24" t="str">
        <f>IFERROR(INDEX(Personnel[Sicil],$K158),"")</f>
        <v/>
      </c>
      <c r="B158" s="25" t="str">
        <f>IFERROR(INDEX(Personnel[Adi Soyadi],$K158),"")</f>
        <v/>
      </c>
      <c r="C158" s="24" t="str">
        <f>IFERROR(INDEX(Personnel[Vatandaslik],$K158),"")</f>
        <v/>
      </c>
      <c r="D158" s="24" t="str">
        <f>IFERROR(INDEX(Personnel[Santiye],$K158),"")</f>
        <v/>
      </c>
      <c r="E158" s="24" t="str">
        <f>IFERROR(INDEX(Personnel[Ogretmen],$K158),"")</f>
        <v/>
      </c>
      <c r="F158" s="25" t="str">
        <f>IFERROR(INDEX(Personnel[[Sinav ]],$K158),"")</f>
        <v/>
      </c>
      <c r="G158" s="25" t="str">
        <f>IFERROR(INDEX(Personnel[Egtim durumu],$K158),"")</f>
        <v/>
      </c>
      <c r="H158" s="25" t="str">
        <f>IFERROR(INDEX(Personnel[Shohruh Not],$K158),"")</f>
        <v/>
      </c>
      <c r="I158" s="24" t="str">
        <f>IFERROR(INDEX(Personnel[Дней в РФ],$K158),"")</f>
        <v/>
      </c>
      <c r="K158" s="23" t="str">
        <f t="array" ref="K158">IFERROR(_xlfn.AGGREGATE(15,6,(ROW(Personnel[Egtim durumu])-MIN(ROW(Personnel[Egtim durumu]))+1)/((Personnel[Egtim durumu]="2 kere sinavden gecemedi")),ROWS($K$7:K158)),"")</f>
        <v/>
      </c>
    </row>
    <row r="159" spans="1:11" x14ac:dyDescent="0.25">
      <c r="A159" s="18" t="str">
        <f>IFERROR(INDEX(Personnel[Sicil],$K159),"")</f>
        <v/>
      </c>
      <c r="B159" s="17" t="str">
        <f>IFERROR(INDEX(Personnel[Adi Soyadi],$K159),"")</f>
        <v/>
      </c>
      <c r="C159" s="18" t="str">
        <f>IFERROR(INDEX(Personnel[Vatandaslik],$K159),"")</f>
        <v/>
      </c>
      <c r="D159" s="18" t="str">
        <f>IFERROR(INDEX(Personnel[Santiye],$K159),"")</f>
        <v/>
      </c>
      <c r="E159" s="18" t="str">
        <f>IFERROR(INDEX(Personnel[Ogretmen],$K159),"")</f>
        <v/>
      </c>
      <c r="F159" s="17" t="str">
        <f>IFERROR(INDEX(Personnel[[Sinav ]],$K159),"")</f>
        <v/>
      </c>
      <c r="G159" s="17" t="str">
        <f>IFERROR(INDEX(Personnel[Egtim durumu],$K159),"")</f>
        <v/>
      </c>
      <c r="H159" s="17" t="str">
        <f>IFERROR(INDEX(Personnel[Shohruh Not],$K159),"")</f>
        <v/>
      </c>
      <c r="I159" s="18" t="str">
        <f>IFERROR(INDEX(Personnel[Дней в РФ],$K159),"")</f>
        <v/>
      </c>
      <c r="K159" s="23" t="str">
        <f t="array" ref="K159">IFERROR(_xlfn.AGGREGATE(15,6,(ROW(Personnel[Egtim durumu])-MIN(ROW(Personnel[Egtim durumu]))+1)/((Personnel[Egtim durumu]="2 kere sinavden gecemedi")),ROWS($K$7:K159)),"")</f>
        <v/>
      </c>
    </row>
    <row r="160" spans="1:11" x14ac:dyDescent="0.25">
      <c r="A160" s="24" t="str">
        <f>IFERROR(INDEX(Personnel[Sicil],$K160),"")</f>
        <v/>
      </c>
      <c r="B160" s="25" t="str">
        <f>IFERROR(INDEX(Personnel[Adi Soyadi],$K160),"")</f>
        <v/>
      </c>
      <c r="C160" s="24" t="str">
        <f>IFERROR(INDEX(Personnel[Vatandaslik],$K160),"")</f>
        <v/>
      </c>
      <c r="D160" s="24" t="str">
        <f>IFERROR(INDEX(Personnel[Santiye],$K160),"")</f>
        <v/>
      </c>
      <c r="E160" s="24" t="str">
        <f>IFERROR(INDEX(Personnel[Ogretmen],$K160),"")</f>
        <v/>
      </c>
      <c r="F160" s="25" t="str">
        <f>IFERROR(INDEX(Personnel[[Sinav ]],$K160),"")</f>
        <v/>
      </c>
      <c r="G160" s="25" t="str">
        <f>IFERROR(INDEX(Personnel[Egtim durumu],$K160),"")</f>
        <v/>
      </c>
      <c r="H160" s="25" t="str">
        <f>IFERROR(INDEX(Personnel[Shohruh Not],$K160),"")</f>
        <v/>
      </c>
      <c r="I160" s="24" t="str">
        <f>IFERROR(INDEX(Personnel[Дней в РФ],$K160),"")</f>
        <v/>
      </c>
      <c r="K160" s="23" t="str">
        <f t="array" ref="K160">IFERROR(_xlfn.AGGREGATE(15,6,(ROW(Personnel[Egtim durumu])-MIN(ROW(Personnel[Egtim durumu]))+1)/((Personnel[Egtim durumu]="2 kere sinavden gecemedi")),ROWS($K$7:K160)),"")</f>
        <v/>
      </c>
    </row>
    <row r="161" spans="1:11" x14ac:dyDescent="0.25">
      <c r="A161" s="18" t="str">
        <f>IFERROR(INDEX(Personnel[Sicil],$K161),"")</f>
        <v/>
      </c>
      <c r="B161" s="17" t="str">
        <f>IFERROR(INDEX(Personnel[Adi Soyadi],$K161),"")</f>
        <v/>
      </c>
      <c r="C161" s="18" t="str">
        <f>IFERROR(INDEX(Personnel[Vatandaslik],$K161),"")</f>
        <v/>
      </c>
      <c r="D161" s="18" t="str">
        <f>IFERROR(INDEX(Personnel[Santiye],$K161),"")</f>
        <v/>
      </c>
      <c r="E161" s="18" t="str">
        <f>IFERROR(INDEX(Personnel[Ogretmen],$K161),"")</f>
        <v/>
      </c>
      <c r="F161" s="17" t="str">
        <f>IFERROR(INDEX(Personnel[[Sinav ]],$K161),"")</f>
        <v/>
      </c>
      <c r="G161" s="17" t="str">
        <f>IFERROR(INDEX(Personnel[Egtim durumu],$K161),"")</f>
        <v/>
      </c>
      <c r="H161" s="17" t="str">
        <f>IFERROR(INDEX(Personnel[Shohruh Not],$K161),"")</f>
        <v/>
      </c>
      <c r="I161" s="18" t="str">
        <f>IFERROR(INDEX(Personnel[Дней в РФ],$K161),"")</f>
        <v/>
      </c>
      <c r="K161" s="23" t="str">
        <f t="array" ref="K161">IFERROR(_xlfn.AGGREGATE(15,6,(ROW(Personnel[Egtim durumu])-MIN(ROW(Personnel[Egtim durumu]))+1)/((Personnel[Egtim durumu]="2 kere sinavden gecemedi")),ROWS($K$7:K161)),"")</f>
        <v/>
      </c>
    </row>
    <row r="162" spans="1:11" x14ac:dyDescent="0.25">
      <c r="A162" s="24" t="str">
        <f>IFERROR(INDEX(Personnel[Sicil],$K162),"")</f>
        <v/>
      </c>
      <c r="B162" s="25" t="str">
        <f>IFERROR(INDEX(Personnel[Adi Soyadi],$K162),"")</f>
        <v/>
      </c>
      <c r="C162" s="24" t="str">
        <f>IFERROR(INDEX(Personnel[Vatandaslik],$K162),"")</f>
        <v/>
      </c>
      <c r="D162" s="24" t="str">
        <f>IFERROR(INDEX(Personnel[Santiye],$K162),"")</f>
        <v/>
      </c>
      <c r="E162" s="24" t="str">
        <f>IFERROR(INDEX(Personnel[Ogretmen],$K162),"")</f>
        <v/>
      </c>
      <c r="F162" s="25" t="str">
        <f>IFERROR(INDEX(Personnel[[Sinav ]],$K162),"")</f>
        <v/>
      </c>
      <c r="G162" s="25" t="str">
        <f>IFERROR(INDEX(Personnel[Egtim durumu],$K162),"")</f>
        <v/>
      </c>
      <c r="H162" s="25" t="str">
        <f>IFERROR(INDEX(Personnel[Shohruh Not],$K162),"")</f>
        <v/>
      </c>
      <c r="I162" s="24" t="str">
        <f>IFERROR(INDEX(Personnel[Дней в РФ],$K162),"")</f>
        <v/>
      </c>
      <c r="K162" s="23" t="str">
        <f t="array" ref="K162">IFERROR(_xlfn.AGGREGATE(15,6,(ROW(Personnel[Egtim durumu])-MIN(ROW(Personnel[Egtim durumu]))+1)/((Personnel[Egtim durumu]="2 kere sinavden gecemedi")),ROWS($K$7:K162)),"")</f>
        <v/>
      </c>
    </row>
    <row r="163" spans="1:11" x14ac:dyDescent="0.25">
      <c r="A163" s="18" t="str">
        <f>IFERROR(INDEX(Personnel[Sicil],$K163),"")</f>
        <v/>
      </c>
      <c r="B163" s="17" t="str">
        <f>IFERROR(INDEX(Personnel[Adi Soyadi],$K163),"")</f>
        <v/>
      </c>
      <c r="C163" s="18" t="str">
        <f>IFERROR(INDEX(Personnel[Vatandaslik],$K163),"")</f>
        <v/>
      </c>
      <c r="D163" s="18" t="str">
        <f>IFERROR(INDEX(Personnel[Santiye],$K163),"")</f>
        <v/>
      </c>
      <c r="E163" s="18" t="str">
        <f>IFERROR(INDEX(Personnel[Ogretmen],$K163),"")</f>
        <v/>
      </c>
      <c r="F163" s="17" t="str">
        <f>IFERROR(INDEX(Personnel[[Sinav ]],$K163),"")</f>
        <v/>
      </c>
      <c r="G163" s="17" t="str">
        <f>IFERROR(INDEX(Personnel[Egtim durumu],$K163),"")</f>
        <v/>
      </c>
      <c r="H163" s="17" t="str">
        <f>IFERROR(INDEX(Personnel[Shohruh Not],$K163),"")</f>
        <v/>
      </c>
      <c r="I163" s="18" t="str">
        <f>IFERROR(INDEX(Personnel[Дней в РФ],$K163),"")</f>
        <v/>
      </c>
      <c r="K163" s="23" t="str">
        <f t="array" ref="K163">IFERROR(_xlfn.AGGREGATE(15,6,(ROW(Personnel[Egtim durumu])-MIN(ROW(Personnel[Egtim durumu]))+1)/((Personnel[Egtim durumu]="2 kere sinavden gecemedi")),ROWS($K$7:K163)),"")</f>
        <v/>
      </c>
    </row>
    <row r="164" spans="1:11" x14ac:dyDescent="0.25">
      <c r="A164" s="24" t="str">
        <f>IFERROR(INDEX(Personnel[Sicil],$K164),"")</f>
        <v/>
      </c>
      <c r="B164" s="25" t="str">
        <f>IFERROR(INDEX(Personnel[Adi Soyadi],$K164),"")</f>
        <v/>
      </c>
      <c r="C164" s="24" t="str">
        <f>IFERROR(INDEX(Personnel[Vatandaslik],$K164),"")</f>
        <v/>
      </c>
      <c r="D164" s="24" t="str">
        <f>IFERROR(INDEX(Personnel[Santiye],$K164),"")</f>
        <v/>
      </c>
      <c r="E164" s="24" t="str">
        <f>IFERROR(INDEX(Personnel[Ogretmen],$K164),"")</f>
        <v/>
      </c>
      <c r="F164" s="25" t="str">
        <f>IFERROR(INDEX(Personnel[[Sinav ]],$K164),"")</f>
        <v/>
      </c>
      <c r="G164" s="25" t="str">
        <f>IFERROR(INDEX(Personnel[Egtim durumu],$K164),"")</f>
        <v/>
      </c>
      <c r="H164" s="25" t="str">
        <f>IFERROR(INDEX(Personnel[Shohruh Not],$K164),"")</f>
        <v/>
      </c>
      <c r="I164" s="24" t="str">
        <f>IFERROR(INDEX(Personnel[Дней в РФ],$K164),"")</f>
        <v/>
      </c>
      <c r="K164" s="23" t="str">
        <f t="array" ref="K164">IFERROR(_xlfn.AGGREGATE(15,6,(ROW(Personnel[Egtim durumu])-MIN(ROW(Personnel[Egtim durumu]))+1)/((Personnel[Egtim durumu]="2 kere sinavden gecemedi")),ROWS($K$7:K164)),"")</f>
        <v/>
      </c>
    </row>
    <row r="165" spans="1:11" x14ac:dyDescent="0.25">
      <c r="A165" s="18" t="str">
        <f>IFERROR(INDEX(Personnel[Sicil],$K165),"")</f>
        <v/>
      </c>
      <c r="B165" s="17" t="str">
        <f>IFERROR(INDEX(Personnel[Adi Soyadi],$K165),"")</f>
        <v/>
      </c>
      <c r="C165" s="18" t="str">
        <f>IFERROR(INDEX(Personnel[Vatandaslik],$K165),"")</f>
        <v/>
      </c>
      <c r="D165" s="18" t="str">
        <f>IFERROR(INDEX(Personnel[Santiye],$K165),"")</f>
        <v/>
      </c>
      <c r="E165" s="18" t="str">
        <f>IFERROR(INDEX(Personnel[Ogretmen],$K165),"")</f>
        <v/>
      </c>
      <c r="F165" s="17" t="str">
        <f>IFERROR(INDEX(Personnel[[Sinav ]],$K165),"")</f>
        <v/>
      </c>
      <c r="G165" s="17" t="str">
        <f>IFERROR(INDEX(Personnel[Egtim durumu],$K165),"")</f>
        <v/>
      </c>
      <c r="H165" s="17" t="str">
        <f>IFERROR(INDEX(Personnel[Shohruh Not],$K165),"")</f>
        <v/>
      </c>
      <c r="I165" s="18" t="str">
        <f>IFERROR(INDEX(Personnel[Дней в РФ],$K165),"")</f>
        <v/>
      </c>
      <c r="K165" s="23" t="str">
        <f t="array" ref="K165">IFERROR(_xlfn.AGGREGATE(15,6,(ROW(Personnel[Egtim durumu])-MIN(ROW(Personnel[Egtim durumu]))+1)/((Personnel[Egtim durumu]="2 kere sinavden gecemedi")),ROWS($K$7:K165)),"")</f>
        <v/>
      </c>
    </row>
    <row r="166" spans="1:11" x14ac:dyDescent="0.25">
      <c r="A166" s="24" t="str">
        <f>IFERROR(INDEX(Personnel[Sicil],$K166),"")</f>
        <v/>
      </c>
      <c r="B166" s="25" t="str">
        <f>IFERROR(INDEX(Personnel[Adi Soyadi],$K166),"")</f>
        <v/>
      </c>
      <c r="C166" s="24" t="str">
        <f>IFERROR(INDEX(Personnel[Vatandaslik],$K166),"")</f>
        <v/>
      </c>
      <c r="D166" s="24" t="str">
        <f>IFERROR(INDEX(Personnel[Santiye],$K166),"")</f>
        <v/>
      </c>
      <c r="E166" s="24" t="str">
        <f>IFERROR(INDEX(Personnel[Ogretmen],$K166),"")</f>
        <v/>
      </c>
      <c r="F166" s="25" t="str">
        <f>IFERROR(INDEX(Personnel[[Sinav ]],$K166),"")</f>
        <v/>
      </c>
      <c r="G166" s="25" t="str">
        <f>IFERROR(INDEX(Personnel[Egtim durumu],$K166),"")</f>
        <v/>
      </c>
      <c r="H166" s="25" t="str">
        <f>IFERROR(INDEX(Personnel[Shohruh Not],$K166),"")</f>
        <v/>
      </c>
      <c r="I166" s="24" t="str">
        <f>IFERROR(INDEX(Personnel[Дней в РФ],$K166),"")</f>
        <v/>
      </c>
      <c r="K166" s="23" t="str">
        <f t="array" ref="K166">IFERROR(_xlfn.AGGREGATE(15,6,(ROW(Personnel[Egtim durumu])-MIN(ROW(Personnel[Egtim durumu]))+1)/((Personnel[Egtim durumu]="2 kere sinavden gecemedi")),ROWS($K$7:K166)),"")</f>
        <v/>
      </c>
    </row>
    <row r="167" spans="1:11" x14ac:dyDescent="0.25">
      <c r="A167" s="18" t="str">
        <f>IFERROR(INDEX(Personnel[Sicil],$K167),"")</f>
        <v/>
      </c>
      <c r="B167" s="17" t="str">
        <f>IFERROR(INDEX(Personnel[Adi Soyadi],$K167),"")</f>
        <v/>
      </c>
      <c r="C167" s="18" t="str">
        <f>IFERROR(INDEX(Personnel[Vatandaslik],$K167),"")</f>
        <v/>
      </c>
      <c r="D167" s="18" t="str">
        <f>IFERROR(INDEX(Personnel[Santiye],$K167),"")</f>
        <v/>
      </c>
      <c r="E167" s="18" t="str">
        <f>IFERROR(INDEX(Personnel[Ogretmen],$K167),"")</f>
        <v/>
      </c>
      <c r="F167" s="17" t="str">
        <f>IFERROR(INDEX(Personnel[[Sinav ]],$K167),"")</f>
        <v/>
      </c>
      <c r="G167" s="17" t="str">
        <f>IFERROR(INDEX(Personnel[Egtim durumu],$K167),"")</f>
        <v/>
      </c>
      <c r="H167" s="17" t="str">
        <f>IFERROR(INDEX(Personnel[Shohruh Not],$K167),"")</f>
        <v/>
      </c>
      <c r="I167" s="18" t="str">
        <f>IFERROR(INDEX(Personnel[Дней в РФ],$K167),"")</f>
        <v/>
      </c>
      <c r="K167" s="23" t="str">
        <f t="array" ref="K167">IFERROR(_xlfn.AGGREGATE(15,6,(ROW(Personnel[Egtim durumu])-MIN(ROW(Personnel[Egtim durumu]))+1)/((Personnel[Egtim durumu]="2 kere sinavden gecemedi")),ROWS($K$7:K167)),"")</f>
        <v/>
      </c>
    </row>
    <row r="168" spans="1:11" x14ac:dyDescent="0.25">
      <c r="A168" s="24" t="str">
        <f>IFERROR(INDEX(Personnel[Sicil],$K168),"")</f>
        <v/>
      </c>
      <c r="B168" s="25" t="str">
        <f>IFERROR(INDEX(Personnel[Adi Soyadi],$K168),"")</f>
        <v/>
      </c>
      <c r="C168" s="24" t="str">
        <f>IFERROR(INDEX(Personnel[Vatandaslik],$K168),"")</f>
        <v/>
      </c>
      <c r="D168" s="24" t="str">
        <f>IFERROR(INDEX(Personnel[Santiye],$K168),"")</f>
        <v/>
      </c>
      <c r="E168" s="24" t="str">
        <f>IFERROR(INDEX(Personnel[Ogretmen],$K168),"")</f>
        <v/>
      </c>
      <c r="F168" s="25" t="str">
        <f>IFERROR(INDEX(Personnel[[Sinav ]],$K168),"")</f>
        <v/>
      </c>
      <c r="G168" s="25" t="str">
        <f>IFERROR(INDEX(Personnel[Egtim durumu],$K168),"")</f>
        <v/>
      </c>
      <c r="H168" s="25" t="str">
        <f>IFERROR(INDEX(Personnel[Shohruh Not],$K168),"")</f>
        <v/>
      </c>
      <c r="I168" s="24" t="str">
        <f>IFERROR(INDEX(Personnel[Дней в РФ],$K168),"")</f>
        <v/>
      </c>
      <c r="K168" s="23" t="str">
        <f t="array" ref="K168">IFERROR(_xlfn.AGGREGATE(15,6,(ROW(Personnel[Egtim durumu])-MIN(ROW(Personnel[Egtim durumu]))+1)/((Personnel[Egtim durumu]="2 kere sinavden gecemedi")),ROWS($K$7:K168)),"")</f>
        <v/>
      </c>
    </row>
    <row r="169" spans="1:11" x14ac:dyDescent="0.25">
      <c r="A169" s="18" t="str">
        <f>IFERROR(INDEX(Personnel[Sicil],$K169),"")</f>
        <v/>
      </c>
      <c r="B169" s="17" t="str">
        <f>IFERROR(INDEX(Personnel[Adi Soyadi],$K169),"")</f>
        <v/>
      </c>
      <c r="C169" s="18" t="str">
        <f>IFERROR(INDEX(Personnel[Vatandaslik],$K169),"")</f>
        <v/>
      </c>
      <c r="D169" s="18" t="str">
        <f>IFERROR(INDEX(Personnel[Santiye],$K169),"")</f>
        <v/>
      </c>
      <c r="E169" s="18" t="str">
        <f>IFERROR(INDEX(Personnel[Ogretmen],$K169),"")</f>
        <v/>
      </c>
      <c r="F169" s="17" t="str">
        <f>IFERROR(INDEX(Personnel[[Sinav ]],$K169),"")</f>
        <v/>
      </c>
      <c r="G169" s="17" t="str">
        <f>IFERROR(INDEX(Personnel[Egtim durumu],$K169),"")</f>
        <v/>
      </c>
      <c r="H169" s="17" t="str">
        <f>IFERROR(INDEX(Personnel[Shohruh Not],$K169),"")</f>
        <v/>
      </c>
      <c r="I169" s="18" t="str">
        <f>IFERROR(INDEX(Personnel[Дней в РФ],$K169),"")</f>
        <v/>
      </c>
      <c r="K169" s="23" t="str">
        <f t="array" ref="K169">IFERROR(_xlfn.AGGREGATE(15,6,(ROW(Personnel[Egtim durumu])-MIN(ROW(Personnel[Egtim durumu]))+1)/((Personnel[Egtim durumu]="2 kere sinavden gecemedi")),ROWS($K$7:K169)),"")</f>
        <v/>
      </c>
    </row>
    <row r="170" spans="1:11" x14ac:dyDescent="0.25">
      <c r="A170" s="24" t="str">
        <f>IFERROR(INDEX(Personnel[Sicil],$K170),"")</f>
        <v/>
      </c>
      <c r="B170" s="25" t="str">
        <f>IFERROR(INDEX(Personnel[Adi Soyadi],$K170),"")</f>
        <v/>
      </c>
      <c r="C170" s="24" t="str">
        <f>IFERROR(INDEX(Personnel[Vatandaslik],$K170),"")</f>
        <v/>
      </c>
      <c r="D170" s="24" t="str">
        <f>IFERROR(INDEX(Personnel[Santiye],$K170),"")</f>
        <v/>
      </c>
      <c r="E170" s="24" t="str">
        <f>IFERROR(INDEX(Personnel[Ogretmen],$K170),"")</f>
        <v/>
      </c>
      <c r="F170" s="25" t="str">
        <f>IFERROR(INDEX(Personnel[[Sinav ]],$K170),"")</f>
        <v/>
      </c>
      <c r="G170" s="25" t="str">
        <f>IFERROR(INDEX(Personnel[Egtim durumu],$K170),"")</f>
        <v/>
      </c>
      <c r="H170" s="25" t="str">
        <f>IFERROR(INDEX(Personnel[Shohruh Not],$K170),"")</f>
        <v/>
      </c>
      <c r="I170" s="24" t="str">
        <f>IFERROR(INDEX(Personnel[Дней в РФ],$K170),"")</f>
        <v/>
      </c>
      <c r="K170" s="23" t="str">
        <f t="array" ref="K170">IFERROR(_xlfn.AGGREGATE(15,6,(ROW(Personnel[Egtim durumu])-MIN(ROW(Personnel[Egtim durumu]))+1)/((Personnel[Egtim durumu]="2 kere sinavden gecemedi")),ROWS($K$7:K170)),"")</f>
        <v/>
      </c>
    </row>
    <row r="171" spans="1:11" x14ac:dyDescent="0.25">
      <c r="A171" s="18" t="str">
        <f>IFERROR(INDEX(Personnel[Sicil],$K171),"")</f>
        <v/>
      </c>
      <c r="B171" s="17" t="str">
        <f>IFERROR(INDEX(Personnel[Adi Soyadi],$K171),"")</f>
        <v/>
      </c>
      <c r="C171" s="18" t="str">
        <f>IFERROR(INDEX(Personnel[Vatandaslik],$K171),"")</f>
        <v/>
      </c>
      <c r="D171" s="18" t="str">
        <f>IFERROR(INDEX(Personnel[Santiye],$K171),"")</f>
        <v/>
      </c>
      <c r="E171" s="18" t="str">
        <f>IFERROR(INDEX(Personnel[Ogretmen],$K171),"")</f>
        <v/>
      </c>
      <c r="F171" s="17" t="str">
        <f>IFERROR(INDEX(Personnel[[Sinav ]],$K171),"")</f>
        <v/>
      </c>
      <c r="G171" s="17" t="str">
        <f>IFERROR(INDEX(Personnel[Egtim durumu],$K171),"")</f>
        <v/>
      </c>
      <c r="H171" s="17" t="str">
        <f>IFERROR(INDEX(Personnel[Shohruh Not],$K171),"")</f>
        <v/>
      </c>
      <c r="I171" s="18" t="str">
        <f>IFERROR(INDEX(Personnel[Дней в РФ],$K171),"")</f>
        <v/>
      </c>
      <c r="K171" s="23" t="str">
        <f t="array" ref="K171">IFERROR(_xlfn.AGGREGATE(15,6,(ROW(Personnel[Egtim durumu])-MIN(ROW(Personnel[Egtim durumu]))+1)/((Personnel[Egtim durumu]="2 kere sinavden gecemedi")),ROWS($K$7:K171)),"")</f>
        <v/>
      </c>
    </row>
    <row r="172" spans="1:11" x14ac:dyDescent="0.25">
      <c r="A172" s="24" t="str">
        <f>IFERROR(INDEX(Personnel[Sicil],$K172),"")</f>
        <v/>
      </c>
      <c r="B172" s="25" t="str">
        <f>IFERROR(INDEX(Personnel[Adi Soyadi],$K172),"")</f>
        <v/>
      </c>
      <c r="C172" s="24" t="str">
        <f>IFERROR(INDEX(Personnel[Vatandaslik],$K172),"")</f>
        <v/>
      </c>
      <c r="D172" s="24" t="str">
        <f>IFERROR(INDEX(Personnel[Santiye],$K172),"")</f>
        <v/>
      </c>
      <c r="E172" s="24" t="str">
        <f>IFERROR(INDEX(Personnel[Ogretmen],$K172),"")</f>
        <v/>
      </c>
      <c r="F172" s="25" t="str">
        <f>IFERROR(INDEX(Personnel[[Sinav ]],$K172),"")</f>
        <v/>
      </c>
      <c r="G172" s="25" t="str">
        <f>IFERROR(INDEX(Personnel[Egtim durumu],$K172),"")</f>
        <v/>
      </c>
      <c r="H172" s="25" t="str">
        <f>IFERROR(INDEX(Personnel[Shohruh Not],$K172),"")</f>
        <v/>
      </c>
      <c r="I172" s="24" t="str">
        <f>IFERROR(INDEX(Personnel[Дней в РФ],$K172),"")</f>
        <v/>
      </c>
      <c r="K172" s="23" t="str">
        <f t="array" ref="K172">IFERROR(_xlfn.AGGREGATE(15,6,(ROW(Personnel[Egtim durumu])-MIN(ROW(Personnel[Egtim durumu]))+1)/((Personnel[Egtim durumu]="2 kere sinavden gecemedi")),ROWS($K$7:K172)),"")</f>
        <v/>
      </c>
    </row>
    <row r="173" spans="1:11" x14ac:dyDescent="0.25">
      <c r="A173" s="18" t="str">
        <f>IFERROR(INDEX(Personnel[Sicil],$K173),"")</f>
        <v/>
      </c>
      <c r="B173" s="17" t="str">
        <f>IFERROR(INDEX(Personnel[Adi Soyadi],$K173),"")</f>
        <v/>
      </c>
      <c r="C173" s="18" t="str">
        <f>IFERROR(INDEX(Personnel[Vatandaslik],$K173),"")</f>
        <v/>
      </c>
      <c r="D173" s="18" t="str">
        <f>IFERROR(INDEX(Personnel[Santiye],$K173),"")</f>
        <v/>
      </c>
      <c r="E173" s="18" t="str">
        <f>IFERROR(INDEX(Personnel[Ogretmen],$K173),"")</f>
        <v/>
      </c>
      <c r="F173" s="17" t="str">
        <f>IFERROR(INDEX(Personnel[[Sinav ]],$K173),"")</f>
        <v/>
      </c>
      <c r="G173" s="17" t="str">
        <f>IFERROR(INDEX(Personnel[Egtim durumu],$K173),"")</f>
        <v/>
      </c>
      <c r="H173" s="17" t="str">
        <f>IFERROR(INDEX(Personnel[Shohruh Not],$K173),"")</f>
        <v/>
      </c>
      <c r="I173" s="18" t="str">
        <f>IFERROR(INDEX(Personnel[Дней в РФ],$K173),"")</f>
        <v/>
      </c>
      <c r="K173" s="23" t="str">
        <f t="array" ref="K173">IFERROR(_xlfn.AGGREGATE(15,6,(ROW(Personnel[Egtim durumu])-MIN(ROW(Personnel[Egtim durumu]))+1)/((Personnel[Egtim durumu]="2 kere sinavden gecemedi")),ROWS($K$7:K173)),"")</f>
        <v/>
      </c>
    </row>
    <row r="174" spans="1:11" x14ac:dyDescent="0.25">
      <c r="A174" s="24" t="str">
        <f>IFERROR(INDEX(Personnel[Sicil],$K174),"")</f>
        <v/>
      </c>
      <c r="B174" s="25" t="str">
        <f>IFERROR(INDEX(Personnel[Adi Soyadi],$K174),"")</f>
        <v/>
      </c>
      <c r="C174" s="24" t="str">
        <f>IFERROR(INDEX(Personnel[Vatandaslik],$K174),"")</f>
        <v/>
      </c>
      <c r="D174" s="24" t="str">
        <f>IFERROR(INDEX(Personnel[Santiye],$K174),"")</f>
        <v/>
      </c>
      <c r="E174" s="24" t="str">
        <f>IFERROR(INDEX(Personnel[Ogretmen],$K174),"")</f>
        <v/>
      </c>
      <c r="F174" s="25" t="str">
        <f>IFERROR(INDEX(Personnel[[Sinav ]],$K174),"")</f>
        <v/>
      </c>
      <c r="G174" s="25" t="str">
        <f>IFERROR(INDEX(Personnel[Egtim durumu],$K174),"")</f>
        <v/>
      </c>
      <c r="H174" s="25" t="str">
        <f>IFERROR(INDEX(Personnel[Shohruh Not],$K174),"")</f>
        <v/>
      </c>
      <c r="I174" s="24" t="str">
        <f>IFERROR(INDEX(Personnel[Дней в РФ],$K174),"")</f>
        <v/>
      </c>
      <c r="K174" s="23" t="str">
        <f t="array" ref="K174">IFERROR(_xlfn.AGGREGATE(15,6,(ROW(Personnel[Egtim durumu])-MIN(ROW(Personnel[Egtim durumu]))+1)/((Personnel[Egtim durumu]="2 kere sinavden gecemedi")),ROWS($K$7:K174)),"")</f>
        <v/>
      </c>
    </row>
    <row r="175" spans="1:11" x14ac:dyDescent="0.25">
      <c r="A175" s="18" t="str">
        <f>IFERROR(INDEX(Personnel[Sicil],$K175),"")</f>
        <v/>
      </c>
      <c r="B175" s="17" t="str">
        <f>IFERROR(INDEX(Personnel[Adi Soyadi],$K175),"")</f>
        <v/>
      </c>
      <c r="C175" s="18" t="str">
        <f>IFERROR(INDEX(Personnel[Vatandaslik],$K175),"")</f>
        <v/>
      </c>
      <c r="D175" s="18" t="str">
        <f>IFERROR(INDEX(Personnel[Santiye],$K175),"")</f>
        <v/>
      </c>
      <c r="E175" s="18" t="str">
        <f>IFERROR(INDEX(Personnel[Ogretmen],$K175),"")</f>
        <v/>
      </c>
      <c r="F175" s="17" t="str">
        <f>IFERROR(INDEX(Personnel[[Sinav ]],$K175),"")</f>
        <v/>
      </c>
      <c r="G175" s="17" t="str">
        <f>IFERROR(INDEX(Personnel[Egtim durumu],$K175),"")</f>
        <v/>
      </c>
      <c r="H175" s="17" t="str">
        <f>IFERROR(INDEX(Personnel[Shohruh Not],$K175),"")</f>
        <v/>
      </c>
      <c r="I175" s="18" t="str">
        <f>IFERROR(INDEX(Personnel[Дней в РФ],$K175),"")</f>
        <v/>
      </c>
      <c r="K175" s="23" t="str">
        <f t="array" ref="K175">IFERROR(_xlfn.AGGREGATE(15,6,(ROW(Personnel[Egtim durumu])-MIN(ROW(Personnel[Egtim durumu]))+1)/((Personnel[Egtim durumu]="2 kere sinavden gecemedi")),ROWS($K$7:K175)),"")</f>
        <v/>
      </c>
    </row>
    <row r="176" spans="1:11" x14ac:dyDescent="0.25">
      <c r="A176" s="24" t="str">
        <f>IFERROR(INDEX(Personnel[Sicil],$K176),"")</f>
        <v/>
      </c>
      <c r="B176" s="25" t="str">
        <f>IFERROR(INDEX(Personnel[Adi Soyadi],$K176),"")</f>
        <v/>
      </c>
      <c r="C176" s="24" t="str">
        <f>IFERROR(INDEX(Personnel[Vatandaslik],$K176),"")</f>
        <v/>
      </c>
      <c r="D176" s="24" t="str">
        <f>IFERROR(INDEX(Personnel[Santiye],$K176),"")</f>
        <v/>
      </c>
      <c r="E176" s="24" t="str">
        <f>IFERROR(INDEX(Personnel[Ogretmen],$K176),"")</f>
        <v/>
      </c>
      <c r="F176" s="25" t="str">
        <f>IFERROR(INDEX(Personnel[[Sinav ]],$K176),"")</f>
        <v/>
      </c>
      <c r="G176" s="25" t="str">
        <f>IFERROR(INDEX(Personnel[Egtim durumu],$K176),"")</f>
        <v/>
      </c>
      <c r="H176" s="25" t="str">
        <f>IFERROR(INDEX(Personnel[Shohruh Not],$K176),"")</f>
        <v/>
      </c>
      <c r="I176" s="24" t="str">
        <f>IFERROR(INDEX(Personnel[Дней в РФ],$K176),"")</f>
        <v/>
      </c>
      <c r="K176" s="23" t="str">
        <f t="array" ref="K176">IFERROR(_xlfn.AGGREGATE(15,6,(ROW(Personnel[Egtim durumu])-MIN(ROW(Personnel[Egtim durumu]))+1)/((Personnel[Egtim durumu]="2 kere sinavden gecemedi")),ROWS($K$7:K176)),"")</f>
        <v/>
      </c>
    </row>
    <row r="177" spans="1:11" x14ac:dyDescent="0.25">
      <c r="A177" s="18" t="str">
        <f>IFERROR(INDEX(Personnel[Sicil],$K177),"")</f>
        <v/>
      </c>
      <c r="B177" s="17" t="str">
        <f>IFERROR(INDEX(Personnel[Adi Soyadi],$K177),"")</f>
        <v/>
      </c>
      <c r="C177" s="18" t="str">
        <f>IFERROR(INDEX(Personnel[Vatandaslik],$K177),"")</f>
        <v/>
      </c>
      <c r="D177" s="18" t="str">
        <f>IFERROR(INDEX(Personnel[Santiye],$K177),"")</f>
        <v/>
      </c>
      <c r="E177" s="18" t="str">
        <f>IFERROR(INDEX(Personnel[Ogretmen],$K177),"")</f>
        <v/>
      </c>
      <c r="F177" s="17" t="str">
        <f>IFERROR(INDEX(Personnel[[Sinav ]],$K177),"")</f>
        <v/>
      </c>
      <c r="G177" s="17" t="str">
        <f>IFERROR(INDEX(Personnel[Egtim durumu],$K177),"")</f>
        <v/>
      </c>
      <c r="H177" s="17" t="str">
        <f>IFERROR(INDEX(Personnel[Shohruh Not],$K177),"")</f>
        <v/>
      </c>
      <c r="I177" s="18" t="str">
        <f>IFERROR(INDEX(Personnel[Дней в РФ],$K177),"")</f>
        <v/>
      </c>
      <c r="K177" s="23" t="str">
        <f t="array" ref="K177">IFERROR(_xlfn.AGGREGATE(15,6,(ROW(Personnel[Egtim durumu])-MIN(ROW(Personnel[Egtim durumu]))+1)/((Personnel[Egtim durumu]="2 kere sinavden gecemedi")),ROWS($K$7:K177)),"")</f>
        <v/>
      </c>
    </row>
    <row r="178" spans="1:11" x14ac:dyDescent="0.25">
      <c r="A178" s="24" t="str">
        <f>IFERROR(INDEX(Personnel[Sicil],$K178),"")</f>
        <v/>
      </c>
      <c r="B178" s="25" t="str">
        <f>IFERROR(INDEX(Personnel[Adi Soyadi],$K178),"")</f>
        <v/>
      </c>
      <c r="C178" s="24" t="str">
        <f>IFERROR(INDEX(Personnel[Vatandaslik],$K178),"")</f>
        <v/>
      </c>
      <c r="D178" s="24" t="str">
        <f>IFERROR(INDEX(Personnel[Santiye],$K178),"")</f>
        <v/>
      </c>
      <c r="E178" s="24" t="str">
        <f>IFERROR(INDEX(Personnel[Ogretmen],$K178),"")</f>
        <v/>
      </c>
      <c r="F178" s="25" t="str">
        <f>IFERROR(INDEX(Personnel[[Sinav ]],$K178),"")</f>
        <v/>
      </c>
      <c r="G178" s="25" t="str">
        <f>IFERROR(INDEX(Personnel[Egtim durumu],$K178),"")</f>
        <v/>
      </c>
      <c r="H178" s="25" t="str">
        <f>IFERROR(INDEX(Personnel[Shohruh Not],$K178),"")</f>
        <v/>
      </c>
      <c r="I178" s="24" t="str">
        <f>IFERROR(INDEX(Personnel[Дней в РФ],$K178),"")</f>
        <v/>
      </c>
      <c r="K178" s="23" t="str">
        <f t="array" ref="K178">IFERROR(_xlfn.AGGREGATE(15,6,(ROW(Personnel[Egtim durumu])-MIN(ROW(Personnel[Egtim durumu]))+1)/((Personnel[Egtim durumu]="2 kere sinavden gecemedi")),ROWS($K$7:K178)),"")</f>
        <v/>
      </c>
    </row>
    <row r="179" spans="1:11" x14ac:dyDescent="0.25">
      <c r="A179" s="18" t="str">
        <f>IFERROR(INDEX(Personnel[Sicil],$K179),"")</f>
        <v/>
      </c>
      <c r="B179" s="17" t="str">
        <f>IFERROR(INDEX(Personnel[Adi Soyadi],$K179),"")</f>
        <v/>
      </c>
      <c r="C179" s="18" t="str">
        <f>IFERROR(INDEX(Personnel[Vatandaslik],$K179),"")</f>
        <v/>
      </c>
      <c r="D179" s="18" t="str">
        <f>IFERROR(INDEX(Personnel[Santiye],$K179),"")</f>
        <v/>
      </c>
      <c r="E179" s="18" t="str">
        <f>IFERROR(INDEX(Personnel[Ogretmen],$K179),"")</f>
        <v/>
      </c>
      <c r="F179" s="17" t="str">
        <f>IFERROR(INDEX(Personnel[[Sinav ]],$K179),"")</f>
        <v/>
      </c>
      <c r="G179" s="17" t="str">
        <f>IFERROR(INDEX(Personnel[Egtim durumu],$K179),"")</f>
        <v/>
      </c>
      <c r="H179" s="17" t="str">
        <f>IFERROR(INDEX(Personnel[Shohruh Not],$K179),"")</f>
        <v/>
      </c>
      <c r="I179" s="18" t="str">
        <f>IFERROR(INDEX(Personnel[Дней в РФ],$K179),"")</f>
        <v/>
      </c>
      <c r="K179" s="23" t="str">
        <f t="array" ref="K179">IFERROR(_xlfn.AGGREGATE(15,6,(ROW(Personnel[Egtim durumu])-MIN(ROW(Personnel[Egtim durumu]))+1)/((Personnel[Egtim durumu]="2 kere sinavden gecemedi")),ROWS($K$7:K179)),"")</f>
        <v/>
      </c>
    </row>
    <row r="180" spans="1:11" x14ac:dyDescent="0.25">
      <c r="A180" s="24" t="str">
        <f>IFERROR(INDEX(Personnel[Sicil],$K180),"")</f>
        <v/>
      </c>
      <c r="B180" s="25" t="str">
        <f>IFERROR(INDEX(Personnel[Adi Soyadi],$K180),"")</f>
        <v/>
      </c>
      <c r="C180" s="24" t="str">
        <f>IFERROR(INDEX(Personnel[Vatandaslik],$K180),"")</f>
        <v/>
      </c>
      <c r="D180" s="24" t="str">
        <f>IFERROR(INDEX(Personnel[Santiye],$K180),"")</f>
        <v/>
      </c>
      <c r="E180" s="24" t="str">
        <f>IFERROR(INDEX(Personnel[Ogretmen],$K180),"")</f>
        <v/>
      </c>
      <c r="F180" s="25" t="str">
        <f>IFERROR(INDEX(Personnel[[Sinav ]],$K180),"")</f>
        <v/>
      </c>
      <c r="G180" s="25" t="str">
        <f>IFERROR(INDEX(Personnel[Egtim durumu],$K180),"")</f>
        <v/>
      </c>
      <c r="H180" s="25" t="str">
        <f>IFERROR(INDEX(Personnel[Shohruh Not],$K180),"")</f>
        <v/>
      </c>
      <c r="I180" s="24" t="str">
        <f>IFERROR(INDEX(Personnel[Дней в РФ],$K180),"")</f>
        <v/>
      </c>
      <c r="K180" s="23" t="str">
        <f t="array" ref="K180">IFERROR(_xlfn.AGGREGATE(15,6,(ROW(Personnel[Egtim durumu])-MIN(ROW(Personnel[Egtim durumu]))+1)/((Personnel[Egtim durumu]="2 kere sinavden gecemedi")),ROWS($K$7:K180)),"")</f>
        <v/>
      </c>
    </row>
    <row r="181" spans="1:11" x14ac:dyDescent="0.25">
      <c r="A181" s="18" t="str">
        <f>IFERROR(INDEX(Personnel[Sicil],$K181),"")</f>
        <v/>
      </c>
      <c r="B181" s="17" t="str">
        <f>IFERROR(INDEX(Personnel[Adi Soyadi],$K181),"")</f>
        <v/>
      </c>
      <c r="C181" s="18" t="str">
        <f>IFERROR(INDEX(Personnel[Vatandaslik],$K181),"")</f>
        <v/>
      </c>
      <c r="D181" s="18" t="str">
        <f>IFERROR(INDEX(Personnel[Santiye],$K181),"")</f>
        <v/>
      </c>
      <c r="E181" s="18" t="str">
        <f>IFERROR(INDEX(Personnel[Ogretmen],$K181),"")</f>
        <v/>
      </c>
      <c r="F181" s="17" t="str">
        <f>IFERROR(INDEX(Personnel[[Sinav ]],$K181),"")</f>
        <v/>
      </c>
      <c r="G181" s="17" t="str">
        <f>IFERROR(INDEX(Personnel[Egtim durumu],$K181),"")</f>
        <v/>
      </c>
      <c r="H181" s="17" t="str">
        <f>IFERROR(INDEX(Personnel[Shohruh Not],$K181),"")</f>
        <v/>
      </c>
      <c r="I181" s="18" t="str">
        <f>IFERROR(INDEX(Personnel[Дней в РФ],$K181),"")</f>
        <v/>
      </c>
      <c r="K181" s="23" t="str">
        <f t="array" ref="K181">IFERROR(_xlfn.AGGREGATE(15,6,(ROW(Personnel[Egtim durumu])-MIN(ROW(Personnel[Egtim durumu]))+1)/((Personnel[Egtim durumu]="2 kere sinavden gecemedi")),ROWS($K$7:K181)),"")</f>
        <v/>
      </c>
    </row>
    <row r="182" spans="1:11" x14ac:dyDescent="0.25">
      <c r="A182" s="24" t="str">
        <f>IFERROR(INDEX(Personnel[Sicil],$K182),"")</f>
        <v/>
      </c>
      <c r="B182" s="25" t="str">
        <f>IFERROR(INDEX(Personnel[Adi Soyadi],$K182),"")</f>
        <v/>
      </c>
      <c r="C182" s="24" t="str">
        <f>IFERROR(INDEX(Personnel[Vatandaslik],$K182),"")</f>
        <v/>
      </c>
      <c r="D182" s="24" t="str">
        <f>IFERROR(INDEX(Personnel[Santiye],$K182),"")</f>
        <v/>
      </c>
      <c r="E182" s="24" t="str">
        <f>IFERROR(INDEX(Personnel[Ogretmen],$K182),"")</f>
        <v/>
      </c>
      <c r="F182" s="25" t="str">
        <f>IFERROR(INDEX(Personnel[[Sinav ]],$K182),"")</f>
        <v/>
      </c>
      <c r="G182" s="25" t="str">
        <f>IFERROR(INDEX(Personnel[Egtim durumu],$K182),"")</f>
        <v/>
      </c>
      <c r="H182" s="25" t="str">
        <f>IFERROR(INDEX(Personnel[Shohruh Not],$K182),"")</f>
        <v/>
      </c>
      <c r="I182" s="24" t="str">
        <f>IFERROR(INDEX(Personnel[Дней в РФ],$K182),"")</f>
        <v/>
      </c>
      <c r="K182" s="23" t="str">
        <f t="array" ref="K182">IFERROR(_xlfn.AGGREGATE(15,6,(ROW(Personnel[Egtim durumu])-MIN(ROW(Personnel[Egtim durumu]))+1)/((Personnel[Egtim durumu]="2 kere sinavden gecemedi")),ROWS($K$7:K182)),"")</f>
        <v/>
      </c>
    </row>
    <row r="183" spans="1:11" x14ac:dyDescent="0.25">
      <c r="A183" s="18" t="str">
        <f>IFERROR(INDEX(Personnel[Sicil],$K183),"")</f>
        <v/>
      </c>
      <c r="B183" s="17" t="str">
        <f>IFERROR(INDEX(Personnel[Adi Soyadi],$K183),"")</f>
        <v/>
      </c>
      <c r="C183" s="18" t="str">
        <f>IFERROR(INDEX(Personnel[Vatandaslik],$K183),"")</f>
        <v/>
      </c>
      <c r="D183" s="18" t="str">
        <f>IFERROR(INDEX(Personnel[Santiye],$K183),"")</f>
        <v/>
      </c>
      <c r="E183" s="18" t="str">
        <f>IFERROR(INDEX(Personnel[Ogretmen],$K183),"")</f>
        <v/>
      </c>
      <c r="F183" s="17" t="str">
        <f>IFERROR(INDEX(Personnel[[Sinav ]],$K183),"")</f>
        <v/>
      </c>
      <c r="G183" s="17" t="str">
        <f>IFERROR(INDEX(Personnel[Egtim durumu],$K183),"")</f>
        <v/>
      </c>
      <c r="H183" s="17" t="str">
        <f>IFERROR(INDEX(Personnel[Shohruh Not],$K183),"")</f>
        <v/>
      </c>
      <c r="I183" s="18" t="str">
        <f>IFERROR(INDEX(Personnel[Дней в РФ],$K183),"")</f>
        <v/>
      </c>
      <c r="K183" s="23" t="str">
        <f t="array" ref="K183">IFERROR(_xlfn.AGGREGATE(15,6,(ROW(Personnel[Egtim durumu])-MIN(ROW(Personnel[Egtim durumu]))+1)/((Personnel[Egtim durumu]="2 kere sinavden gecemedi")),ROWS($K$7:K183)),"")</f>
        <v/>
      </c>
    </row>
    <row r="184" spans="1:11" x14ac:dyDescent="0.25">
      <c r="A184" s="24" t="str">
        <f>IFERROR(INDEX(Personnel[Sicil],$K184),"")</f>
        <v/>
      </c>
      <c r="B184" s="25" t="str">
        <f>IFERROR(INDEX(Personnel[Adi Soyadi],$K184),"")</f>
        <v/>
      </c>
      <c r="C184" s="24" t="str">
        <f>IFERROR(INDEX(Personnel[Vatandaslik],$K184),"")</f>
        <v/>
      </c>
      <c r="D184" s="24" t="str">
        <f>IFERROR(INDEX(Personnel[Santiye],$K184),"")</f>
        <v/>
      </c>
      <c r="E184" s="24" t="str">
        <f>IFERROR(INDEX(Personnel[Ogretmen],$K184),"")</f>
        <v/>
      </c>
      <c r="F184" s="25" t="str">
        <f>IFERROR(INDEX(Personnel[[Sinav ]],$K184),"")</f>
        <v/>
      </c>
      <c r="G184" s="25" t="str">
        <f>IFERROR(INDEX(Personnel[Egtim durumu],$K184),"")</f>
        <v/>
      </c>
      <c r="H184" s="25" t="str">
        <f>IFERROR(INDEX(Personnel[Shohruh Not],$K184),"")</f>
        <v/>
      </c>
      <c r="I184" s="24" t="str">
        <f>IFERROR(INDEX(Personnel[Дней в РФ],$K184),"")</f>
        <v/>
      </c>
      <c r="K184" s="23" t="str">
        <f t="array" ref="K184">IFERROR(_xlfn.AGGREGATE(15,6,(ROW(Personnel[Egtim durumu])-MIN(ROW(Personnel[Egtim durumu]))+1)/((Personnel[Egtim durumu]="2 kere sinavden gecemedi")),ROWS($K$7:K184)),"")</f>
        <v/>
      </c>
    </row>
    <row r="185" spans="1:11" x14ac:dyDescent="0.25">
      <c r="A185" s="18" t="str">
        <f>IFERROR(INDEX(Personnel[Sicil],$K185),"")</f>
        <v/>
      </c>
      <c r="B185" s="17" t="str">
        <f>IFERROR(INDEX(Personnel[Adi Soyadi],$K185),"")</f>
        <v/>
      </c>
      <c r="C185" s="18" t="str">
        <f>IFERROR(INDEX(Personnel[Vatandaslik],$K185),"")</f>
        <v/>
      </c>
      <c r="D185" s="18" t="str">
        <f>IFERROR(INDEX(Personnel[Santiye],$K185),"")</f>
        <v/>
      </c>
      <c r="E185" s="18" t="str">
        <f>IFERROR(INDEX(Personnel[Ogretmen],$K185),"")</f>
        <v/>
      </c>
      <c r="F185" s="17" t="str">
        <f>IFERROR(INDEX(Personnel[[Sinav ]],$K185),"")</f>
        <v/>
      </c>
      <c r="G185" s="17" t="str">
        <f>IFERROR(INDEX(Personnel[Egtim durumu],$K185),"")</f>
        <v/>
      </c>
      <c r="H185" s="17" t="str">
        <f>IFERROR(INDEX(Personnel[Shohruh Not],$K185),"")</f>
        <v/>
      </c>
      <c r="I185" s="18" t="str">
        <f>IFERROR(INDEX(Personnel[Дней в РФ],$K185),"")</f>
        <v/>
      </c>
      <c r="K185" s="23" t="str">
        <f t="array" ref="K185">IFERROR(_xlfn.AGGREGATE(15,6,(ROW(Personnel[Egtim durumu])-MIN(ROW(Personnel[Egtim durumu]))+1)/((Personnel[Egtim durumu]="2 kere sinavden gecemedi")),ROWS($K$7:K185)),"")</f>
        <v/>
      </c>
    </row>
    <row r="186" spans="1:11" x14ac:dyDescent="0.25">
      <c r="A186" s="24" t="str">
        <f>IFERROR(INDEX(Personnel[Sicil],$K186),"")</f>
        <v/>
      </c>
      <c r="B186" s="25" t="str">
        <f>IFERROR(INDEX(Personnel[Adi Soyadi],$K186),"")</f>
        <v/>
      </c>
      <c r="C186" s="24" t="str">
        <f>IFERROR(INDEX(Personnel[Vatandaslik],$K186),"")</f>
        <v/>
      </c>
      <c r="D186" s="24" t="str">
        <f>IFERROR(INDEX(Personnel[Santiye],$K186),"")</f>
        <v/>
      </c>
      <c r="E186" s="24" t="str">
        <f>IFERROR(INDEX(Personnel[Ogretmen],$K186),"")</f>
        <v/>
      </c>
      <c r="F186" s="25" t="str">
        <f>IFERROR(INDEX(Personnel[[Sinav ]],$K186),"")</f>
        <v/>
      </c>
      <c r="G186" s="25" t="str">
        <f>IFERROR(INDEX(Personnel[Egtim durumu],$K186),"")</f>
        <v/>
      </c>
      <c r="H186" s="25" t="str">
        <f>IFERROR(INDEX(Personnel[Shohruh Not],$K186),"")</f>
        <v/>
      </c>
      <c r="I186" s="24" t="str">
        <f>IFERROR(INDEX(Personnel[Дней в РФ],$K186),"")</f>
        <v/>
      </c>
      <c r="K186" s="23" t="str">
        <f t="array" ref="K186">IFERROR(_xlfn.AGGREGATE(15,6,(ROW(Personnel[Egtim durumu])-MIN(ROW(Personnel[Egtim durumu]))+1)/((Personnel[Egtim durumu]="2 kere sinavden gecemedi")),ROWS($K$7:K186)),"")</f>
        <v/>
      </c>
    </row>
    <row r="187" spans="1:11" x14ac:dyDescent="0.25">
      <c r="A187" s="18" t="str">
        <f>IFERROR(INDEX(Personnel[Sicil],$K187),"")</f>
        <v/>
      </c>
      <c r="B187" s="17" t="str">
        <f>IFERROR(INDEX(Personnel[Adi Soyadi],$K187),"")</f>
        <v/>
      </c>
      <c r="C187" s="18" t="str">
        <f>IFERROR(INDEX(Personnel[Vatandaslik],$K187),"")</f>
        <v/>
      </c>
      <c r="D187" s="18" t="str">
        <f>IFERROR(INDEX(Personnel[Santiye],$K187),"")</f>
        <v/>
      </c>
      <c r="E187" s="18" t="str">
        <f>IFERROR(INDEX(Personnel[Ogretmen],$K187),"")</f>
        <v/>
      </c>
      <c r="F187" s="17" t="str">
        <f>IFERROR(INDEX(Personnel[[Sinav ]],$K187),"")</f>
        <v/>
      </c>
      <c r="G187" s="17" t="str">
        <f>IFERROR(INDEX(Personnel[Egtim durumu],$K187),"")</f>
        <v/>
      </c>
      <c r="H187" s="17" t="str">
        <f>IFERROR(INDEX(Personnel[Shohruh Not],$K187),"")</f>
        <v/>
      </c>
      <c r="I187" s="18" t="str">
        <f>IFERROR(INDEX(Personnel[Дней в РФ],$K187),"")</f>
        <v/>
      </c>
      <c r="K187" s="23" t="str">
        <f t="array" ref="K187">IFERROR(_xlfn.AGGREGATE(15,6,(ROW(Personnel[Egtim durumu])-MIN(ROW(Personnel[Egtim durumu]))+1)/((Personnel[Egtim durumu]="2 kere sinavden gecemedi")),ROWS($K$7:K187)),"")</f>
        <v/>
      </c>
    </row>
    <row r="188" spans="1:11" x14ac:dyDescent="0.25">
      <c r="A188" s="24" t="str">
        <f>IFERROR(INDEX(Personnel[Sicil],$K188),"")</f>
        <v/>
      </c>
      <c r="B188" s="25" t="str">
        <f>IFERROR(INDEX(Personnel[Adi Soyadi],$K188),"")</f>
        <v/>
      </c>
      <c r="C188" s="24" t="str">
        <f>IFERROR(INDEX(Personnel[Vatandaslik],$K188),"")</f>
        <v/>
      </c>
      <c r="D188" s="24" t="str">
        <f>IFERROR(INDEX(Personnel[Santiye],$K188),"")</f>
        <v/>
      </c>
      <c r="E188" s="24" t="str">
        <f>IFERROR(INDEX(Personnel[Ogretmen],$K188),"")</f>
        <v/>
      </c>
      <c r="F188" s="25" t="str">
        <f>IFERROR(INDEX(Personnel[[Sinav ]],$K188),"")</f>
        <v/>
      </c>
      <c r="G188" s="25" t="str">
        <f>IFERROR(INDEX(Personnel[Egtim durumu],$K188),"")</f>
        <v/>
      </c>
      <c r="H188" s="25" t="str">
        <f>IFERROR(INDEX(Personnel[Shohruh Not],$K188),"")</f>
        <v/>
      </c>
      <c r="I188" s="24" t="str">
        <f>IFERROR(INDEX(Personnel[Дней в РФ],$K188),"")</f>
        <v/>
      </c>
      <c r="K188" s="23" t="str">
        <f t="array" ref="K188">IFERROR(_xlfn.AGGREGATE(15,6,(ROW(Personnel[Egtim durumu])-MIN(ROW(Personnel[Egtim durumu]))+1)/((Personnel[Egtim durumu]="2 kere sinavden gecemedi")),ROWS($K$7:K188)),"")</f>
        <v/>
      </c>
    </row>
    <row r="189" spans="1:11" x14ac:dyDescent="0.25">
      <c r="A189" s="18" t="str">
        <f>IFERROR(INDEX(Personnel[Sicil],$K189),"")</f>
        <v/>
      </c>
      <c r="B189" s="17" t="str">
        <f>IFERROR(INDEX(Personnel[Adi Soyadi],$K189),"")</f>
        <v/>
      </c>
      <c r="C189" s="18" t="str">
        <f>IFERROR(INDEX(Personnel[Vatandaslik],$K189),"")</f>
        <v/>
      </c>
      <c r="D189" s="18" t="str">
        <f>IFERROR(INDEX(Personnel[Santiye],$K189),"")</f>
        <v/>
      </c>
      <c r="E189" s="18" t="str">
        <f>IFERROR(INDEX(Personnel[Ogretmen],$K189),"")</f>
        <v/>
      </c>
      <c r="F189" s="17" t="str">
        <f>IFERROR(INDEX(Personnel[[Sinav ]],$K189),"")</f>
        <v/>
      </c>
      <c r="G189" s="17" t="str">
        <f>IFERROR(INDEX(Personnel[Egtim durumu],$K189),"")</f>
        <v/>
      </c>
      <c r="H189" s="17" t="str">
        <f>IFERROR(INDEX(Personnel[Shohruh Not],$K189),"")</f>
        <v/>
      </c>
      <c r="I189" s="18" t="str">
        <f>IFERROR(INDEX(Personnel[Дней в РФ],$K189),"")</f>
        <v/>
      </c>
      <c r="K189" s="23" t="str">
        <f t="array" ref="K189">IFERROR(_xlfn.AGGREGATE(15,6,(ROW(Personnel[Egtim durumu])-MIN(ROW(Personnel[Egtim durumu]))+1)/((Personnel[Egtim durumu]="2 kere sinavden gecemedi")),ROWS($K$7:K189)),"")</f>
        <v/>
      </c>
    </row>
    <row r="190" spans="1:11" x14ac:dyDescent="0.25">
      <c r="A190" s="24" t="str">
        <f>IFERROR(INDEX(Personnel[Sicil],$K190),"")</f>
        <v/>
      </c>
      <c r="B190" s="25" t="str">
        <f>IFERROR(INDEX(Personnel[Adi Soyadi],$K190),"")</f>
        <v/>
      </c>
      <c r="C190" s="24" t="str">
        <f>IFERROR(INDEX(Personnel[Vatandaslik],$K190),"")</f>
        <v/>
      </c>
      <c r="D190" s="24" t="str">
        <f>IFERROR(INDEX(Personnel[Santiye],$K190),"")</f>
        <v/>
      </c>
      <c r="E190" s="24" t="str">
        <f>IFERROR(INDEX(Personnel[Ogretmen],$K190),"")</f>
        <v/>
      </c>
      <c r="F190" s="25" t="str">
        <f>IFERROR(INDEX(Personnel[[Sinav ]],$K190),"")</f>
        <v/>
      </c>
      <c r="G190" s="25" t="str">
        <f>IFERROR(INDEX(Personnel[Egtim durumu],$K190),"")</f>
        <v/>
      </c>
      <c r="H190" s="25" t="str">
        <f>IFERROR(INDEX(Personnel[Shohruh Not],$K190),"")</f>
        <v/>
      </c>
      <c r="I190" s="24" t="str">
        <f>IFERROR(INDEX(Personnel[Дней в РФ],$K190),"")</f>
        <v/>
      </c>
      <c r="K190" s="23" t="str">
        <f t="array" ref="K190">IFERROR(_xlfn.AGGREGATE(15,6,(ROW(Personnel[Egtim durumu])-MIN(ROW(Personnel[Egtim durumu]))+1)/((Personnel[Egtim durumu]="2 kere sinavden gecemedi")),ROWS($K$7:K190)),"")</f>
        <v/>
      </c>
    </row>
    <row r="191" spans="1:11" x14ac:dyDescent="0.25">
      <c r="A191" s="18" t="str">
        <f>IFERROR(INDEX(Personnel[Sicil],$K191),"")</f>
        <v/>
      </c>
      <c r="B191" s="17" t="str">
        <f>IFERROR(INDEX(Personnel[Adi Soyadi],$K191),"")</f>
        <v/>
      </c>
      <c r="C191" s="18" t="str">
        <f>IFERROR(INDEX(Personnel[Vatandaslik],$K191),"")</f>
        <v/>
      </c>
      <c r="D191" s="18" t="str">
        <f>IFERROR(INDEX(Personnel[Santiye],$K191),"")</f>
        <v/>
      </c>
      <c r="E191" s="18" t="str">
        <f>IFERROR(INDEX(Personnel[Ogretmen],$K191),"")</f>
        <v/>
      </c>
      <c r="F191" s="17" t="str">
        <f>IFERROR(INDEX(Personnel[[Sinav ]],$K191),"")</f>
        <v/>
      </c>
      <c r="G191" s="17" t="str">
        <f>IFERROR(INDEX(Personnel[Egtim durumu],$K191),"")</f>
        <v/>
      </c>
      <c r="H191" s="17" t="str">
        <f>IFERROR(INDEX(Personnel[Shohruh Not],$K191),"")</f>
        <v/>
      </c>
      <c r="I191" s="18" t="str">
        <f>IFERROR(INDEX(Personnel[Дней в РФ],$K191),"")</f>
        <v/>
      </c>
      <c r="K191" s="23" t="str">
        <f t="array" ref="K191">IFERROR(_xlfn.AGGREGATE(15,6,(ROW(Personnel[Egtim durumu])-MIN(ROW(Personnel[Egtim durumu]))+1)/((Personnel[Egtim durumu]="2 kere sinavden gecemedi")),ROWS($K$7:K191)),"")</f>
        <v/>
      </c>
    </row>
    <row r="192" spans="1:11" x14ac:dyDescent="0.25">
      <c r="A192" s="24" t="str">
        <f>IFERROR(INDEX(Personnel[Sicil],$K192),"")</f>
        <v/>
      </c>
      <c r="B192" s="25" t="str">
        <f>IFERROR(INDEX(Personnel[Adi Soyadi],$K192),"")</f>
        <v/>
      </c>
      <c r="C192" s="24" t="str">
        <f>IFERROR(INDEX(Personnel[Vatandaslik],$K192),"")</f>
        <v/>
      </c>
      <c r="D192" s="24" t="str">
        <f>IFERROR(INDEX(Personnel[Santiye],$K192),"")</f>
        <v/>
      </c>
      <c r="E192" s="24" t="str">
        <f>IFERROR(INDEX(Personnel[Ogretmen],$K192),"")</f>
        <v/>
      </c>
      <c r="F192" s="25" t="str">
        <f>IFERROR(INDEX(Personnel[[Sinav ]],$K192),"")</f>
        <v/>
      </c>
      <c r="G192" s="25" t="str">
        <f>IFERROR(INDEX(Personnel[Egtim durumu],$K192),"")</f>
        <v/>
      </c>
      <c r="H192" s="25" t="str">
        <f>IFERROR(INDEX(Personnel[Shohruh Not],$K192),"")</f>
        <v/>
      </c>
      <c r="I192" s="24" t="str">
        <f>IFERROR(INDEX(Personnel[Дней в РФ],$K192),"")</f>
        <v/>
      </c>
      <c r="K192" s="23" t="str">
        <f t="array" ref="K192">IFERROR(_xlfn.AGGREGATE(15,6,(ROW(Personnel[Egtim durumu])-MIN(ROW(Personnel[Egtim durumu]))+1)/((Personnel[Egtim durumu]="2 kere sinavden gecemedi")),ROWS($K$7:K192)),"")</f>
        <v/>
      </c>
    </row>
    <row r="193" spans="1:11" x14ac:dyDescent="0.25">
      <c r="A193" s="18" t="str">
        <f>IFERROR(INDEX(Personnel[Sicil],$K193),"")</f>
        <v/>
      </c>
      <c r="B193" s="17" t="str">
        <f>IFERROR(INDEX(Personnel[Adi Soyadi],$K193),"")</f>
        <v/>
      </c>
      <c r="C193" s="18" t="str">
        <f>IFERROR(INDEX(Personnel[Vatandaslik],$K193),"")</f>
        <v/>
      </c>
      <c r="D193" s="18" t="str">
        <f>IFERROR(INDEX(Personnel[Santiye],$K193),"")</f>
        <v/>
      </c>
      <c r="E193" s="18" t="str">
        <f>IFERROR(INDEX(Personnel[Ogretmen],$K193),"")</f>
        <v/>
      </c>
      <c r="F193" s="17" t="str">
        <f>IFERROR(INDEX(Personnel[[Sinav ]],$K193),"")</f>
        <v/>
      </c>
      <c r="G193" s="17" t="str">
        <f>IFERROR(INDEX(Personnel[Egtim durumu],$K193),"")</f>
        <v/>
      </c>
      <c r="H193" s="17" t="str">
        <f>IFERROR(INDEX(Personnel[Shohruh Not],$K193),"")</f>
        <v/>
      </c>
      <c r="I193" s="18" t="str">
        <f>IFERROR(INDEX(Personnel[Дней в РФ],$K193),"")</f>
        <v/>
      </c>
      <c r="K193" s="23" t="str">
        <f t="array" ref="K193">IFERROR(_xlfn.AGGREGATE(15,6,(ROW(Personnel[Egtim durumu])-MIN(ROW(Personnel[Egtim durumu]))+1)/((Personnel[Egtim durumu]="2 kere sinavden gecemedi")),ROWS($K$7:K193)),"")</f>
        <v/>
      </c>
    </row>
    <row r="194" spans="1:11" x14ac:dyDescent="0.25">
      <c r="A194" s="24" t="str">
        <f>IFERROR(INDEX(Personnel[Sicil],$K194),"")</f>
        <v/>
      </c>
      <c r="B194" s="25" t="str">
        <f>IFERROR(INDEX(Personnel[Adi Soyadi],$K194),"")</f>
        <v/>
      </c>
      <c r="C194" s="24" t="str">
        <f>IFERROR(INDEX(Personnel[Vatandaslik],$K194),"")</f>
        <v/>
      </c>
      <c r="D194" s="24" t="str">
        <f>IFERROR(INDEX(Personnel[Santiye],$K194),"")</f>
        <v/>
      </c>
      <c r="E194" s="24" t="str">
        <f>IFERROR(INDEX(Personnel[Ogretmen],$K194),"")</f>
        <v/>
      </c>
      <c r="F194" s="25" t="str">
        <f>IFERROR(INDEX(Personnel[[Sinav ]],$K194),"")</f>
        <v/>
      </c>
      <c r="G194" s="25" t="str">
        <f>IFERROR(INDEX(Personnel[Egtim durumu],$K194),"")</f>
        <v/>
      </c>
      <c r="H194" s="25" t="str">
        <f>IFERROR(INDEX(Personnel[Shohruh Not],$K194),"")</f>
        <v/>
      </c>
      <c r="I194" s="24" t="str">
        <f>IFERROR(INDEX(Personnel[Дней в РФ],$K194),"")</f>
        <v/>
      </c>
      <c r="K194" s="23" t="str">
        <f t="array" ref="K194">IFERROR(_xlfn.AGGREGATE(15,6,(ROW(Personnel[Egtim durumu])-MIN(ROW(Personnel[Egtim durumu]))+1)/((Personnel[Egtim durumu]="2 kere sinavden gecemedi")),ROWS($K$7:K194)),"")</f>
        <v/>
      </c>
    </row>
    <row r="195" spans="1:11" x14ac:dyDescent="0.25">
      <c r="A195" s="18" t="str">
        <f>IFERROR(INDEX(Personnel[Sicil],$K195),"")</f>
        <v/>
      </c>
      <c r="B195" s="17" t="str">
        <f>IFERROR(INDEX(Personnel[Adi Soyadi],$K195),"")</f>
        <v/>
      </c>
      <c r="C195" s="18" t="str">
        <f>IFERROR(INDEX(Personnel[Vatandaslik],$K195),"")</f>
        <v/>
      </c>
      <c r="D195" s="18" t="str">
        <f>IFERROR(INDEX(Personnel[Santiye],$K195),"")</f>
        <v/>
      </c>
      <c r="E195" s="18" t="str">
        <f>IFERROR(INDEX(Personnel[Ogretmen],$K195),"")</f>
        <v/>
      </c>
      <c r="F195" s="17" t="str">
        <f>IFERROR(INDEX(Personnel[[Sinav ]],$K195),"")</f>
        <v/>
      </c>
      <c r="G195" s="17" t="str">
        <f>IFERROR(INDEX(Personnel[Egtim durumu],$K195),"")</f>
        <v/>
      </c>
      <c r="H195" s="17" t="str">
        <f>IFERROR(INDEX(Personnel[Shohruh Not],$K195),"")</f>
        <v/>
      </c>
      <c r="I195" s="18" t="str">
        <f>IFERROR(INDEX(Personnel[Дней в РФ],$K195),"")</f>
        <v/>
      </c>
      <c r="K195" s="23" t="str">
        <f t="array" ref="K195">IFERROR(_xlfn.AGGREGATE(15,6,(ROW(Personnel[Egtim durumu])-MIN(ROW(Personnel[Egtim durumu]))+1)/((Personnel[Egtim durumu]="2 kere sinavden gecemedi")),ROWS($K$7:K195)),"")</f>
        <v/>
      </c>
    </row>
    <row r="196" spans="1:11" x14ac:dyDescent="0.25">
      <c r="A196" s="24" t="str">
        <f>IFERROR(INDEX(Personnel[Sicil],$K196),"")</f>
        <v/>
      </c>
      <c r="B196" s="25" t="str">
        <f>IFERROR(INDEX(Personnel[Adi Soyadi],$K196),"")</f>
        <v/>
      </c>
      <c r="C196" s="24" t="str">
        <f>IFERROR(INDEX(Personnel[Vatandaslik],$K196),"")</f>
        <v/>
      </c>
      <c r="D196" s="24" t="str">
        <f>IFERROR(INDEX(Personnel[Santiye],$K196),"")</f>
        <v/>
      </c>
      <c r="E196" s="24" t="str">
        <f>IFERROR(INDEX(Personnel[Ogretmen],$K196),"")</f>
        <v/>
      </c>
      <c r="F196" s="25" t="str">
        <f>IFERROR(INDEX(Personnel[[Sinav ]],$K196),"")</f>
        <v/>
      </c>
      <c r="G196" s="25" t="str">
        <f>IFERROR(INDEX(Personnel[Egtim durumu],$K196),"")</f>
        <v/>
      </c>
      <c r="H196" s="25" t="str">
        <f>IFERROR(INDEX(Personnel[Shohruh Not],$K196),"")</f>
        <v/>
      </c>
      <c r="I196" s="24" t="str">
        <f>IFERROR(INDEX(Personnel[Дней в РФ],$K196),"")</f>
        <v/>
      </c>
      <c r="K196" s="23" t="str">
        <f t="array" ref="K196">IFERROR(_xlfn.AGGREGATE(15,6,(ROW(Personnel[Egtim durumu])-MIN(ROW(Personnel[Egtim durumu]))+1)/((Personnel[Egtim durumu]="2 kere sinavden gecemedi")),ROWS($K$7:K196)),"")</f>
        <v/>
      </c>
    </row>
    <row r="197" spans="1:11" x14ac:dyDescent="0.25">
      <c r="A197" s="18" t="str">
        <f>IFERROR(INDEX(Personnel[Sicil],$K197),"")</f>
        <v/>
      </c>
      <c r="B197" s="17" t="str">
        <f>IFERROR(INDEX(Personnel[Adi Soyadi],$K197),"")</f>
        <v/>
      </c>
      <c r="C197" s="18" t="str">
        <f>IFERROR(INDEX(Personnel[Vatandaslik],$K197),"")</f>
        <v/>
      </c>
      <c r="D197" s="18" t="str">
        <f>IFERROR(INDEX(Personnel[Santiye],$K197),"")</f>
        <v/>
      </c>
      <c r="E197" s="18" t="str">
        <f>IFERROR(INDEX(Personnel[Ogretmen],$K197),"")</f>
        <v/>
      </c>
      <c r="F197" s="17" t="str">
        <f>IFERROR(INDEX(Personnel[[Sinav ]],$K197),"")</f>
        <v/>
      </c>
      <c r="G197" s="17" t="str">
        <f>IFERROR(INDEX(Personnel[Egtim durumu],$K197),"")</f>
        <v/>
      </c>
      <c r="H197" s="17" t="str">
        <f>IFERROR(INDEX(Personnel[Shohruh Not],$K197),"")</f>
        <v/>
      </c>
      <c r="I197" s="18" t="str">
        <f>IFERROR(INDEX(Personnel[Дней в РФ],$K197),"")</f>
        <v/>
      </c>
      <c r="K197" s="23" t="str">
        <f t="array" ref="K197">IFERROR(_xlfn.AGGREGATE(15,6,(ROW(Personnel[Egtim durumu])-MIN(ROW(Personnel[Egtim durumu]))+1)/((Personnel[Egtim durumu]="2 kere sinavden gecemedi")),ROWS($K$7:K197)),"")</f>
        <v/>
      </c>
    </row>
    <row r="198" spans="1:11" x14ac:dyDescent="0.25">
      <c r="A198" s="24" t="str">
        <f>IFERROR(INDEX(Personnel[Sicil],$K198),"")</f>
        <v/>
      </c>
      <c r="B198" s="25" t="str">
        <f>IFERROR(INDEX(Personnel[Adi Soyadi],$K198),"")</f>
        <v/>
      </c>
      <c r="C198" s="24" t="str">
        <f>IFERROR(INDEX(Personnel[Vatandaslik],$K198),"")</f>
        <v/>
      </c>
      <c r="D198" s="24" t="str">
        <f>IFERROR(INDEX(Personnel[Santiye],$K198),"")</f>
        <v/>
      </c>
      <c r="E198" s="24" t="str">
        <f>IFERROR(INDEX(Personnel[Ogretmen],$K198),"")</f>
        <v/>
      </c>
      <c r="F198" s="25" t="str">
        <f>IFERROR(INDEX(Personnel[[Sinav ]],$K198),"")</f>
        <v/>
      </c>
      <c r="G198" s="25" t="str">
        <f>IFERROR(INDEX(Personnel[Egtim durumu],$K198),"")</f>
        <v/>
      </c>
      <c r="H198" s="25" t="str">
        <f>IFERROR(INDEX(Personnel[Shohruh Not],$K198),"")</f>
        <v/>
      </c>
      <c r="I198" s="24" t="str">
        <f>IFERROR(INDEX(Personnel[Дней в РФ],$K198),"")</f>
        <v/>
      </c>
      <c r="K198" s="23" t="str">
        <f t="array" ref="K198">IFERROR(_xlfn.AGGREGATE(15,6,(ROW(Personnel[Egtim durumu])-MIN(ROW(Personnel[Egtim durumu]))+1)/((Personnel[Egtim durumu]="2 kere sinavden gecemedi")),ROWS($K$7:K198)),"")</f>
        <v/>
      </c>
    </row>
    <row r="199" spans="1:11" x14ac:dyDescent="0.25">
      <c r="A199" s="18" t="str">
        <f>IFERROR(INDEX(Personnel[Sicil],$K199),"")</f>
        <v/>
      </c>
      <c r="B199" s="17" t="str">
        <f>IFERROR(INDEX(Personnel[Adi Soyadi],$K199),"")</f>
        <v/>
      </c>
      <c r="C199" s="18" t="str">
        <f>IFERROR(INDEX(Personnel[Vatandaslik],$K199),"")</f>
        <v/>
      </c>
      <c r="D199" s="18" t="str">
        <f>IFERROR(INDEX(Personnel[Santiye],$K199),"")</f>
        <v/>
      </c>
      <c r="E199" s="18" t="str">
        <f>IFERROR(INDEX(Personnel[Ogretmen],$K199),"")</f>
        <v/>
      </c>
      <c r="F199" s="17" t="str">
        <f>IFERROR(INDEX(Personnel[[Sinav ]],$K199),"")</f>
        <v/>
      </c>
      <c r="G199" s="17" t="str">
        <f>IFERROR(INDEX(Personnel[Egtim durumu],$K199),"")</f>
        <v/>
      </c>
      <c r="H199" s="17" t="str">
        <f>IFERROR(INDEX(Personnel[Shohruh Not],$K199),"")</f>
        <v/>
      </c>
      <c r="I199" s="18" t="str">
        <f>IFERROR(INDEX(Personnel[Дней в РФ],$K199),"")</f>
        <v/>
      </c>
      <c r="K199" s="23" t="str">
        <f t="array" ref="K199">IFERROR(_xlfn.AGGREGATE(15,6,(ROW(Personnel[Egtim durumu])-MIN(ROW(Personnel[Egtim durumu]))+1)/((Personnel[Egtim durumu]="2 kere sinavden gecemedi")),ROWS($K$7:K199)),"")</f>
        <v/>
      </c>
    </row>
    <row r="200" spans="1:11" x14ac:dyDescent="0.25">
      <c r="A200" s="24" t="str">
        <f>IFERROR(INDEX(Personnel[Sicil],$K200),"")</f>
        <v/>
      </c>
      <c r="B200" s="25" t="str">
        <f>IFERROR(INDEX(Personnel[Adi Soyadi],$K200),"")</f>
        <v/>
      </c>
      <c r="C200" s="24" t="str">
        <f>IFERROR(INDEX(Personnel[Vatandaslik],$K200),"")</f>
        <v/>
      </c>
      <c r="D200" s="24" t="str">
        <f>IFERROR(INDEX(Personnel[Santiye],$K200),"")</f>
        <v/>
      </c>
      <c r="E200" s="24" t="str">
        <f>IFERROR(INDEX(Personnel[Ogretmen],$K200),"")</f>
        <v/>
      </c>
      <c r="F200" s="25" t="str">
        <f>IFERROR(INDEX(Personnel[[Sinav ]],$K200),"")</f>
        <v/>
      </c>
      <c r="G200" s="25" t="str">
        <f>IFERROR(INDEX(Personnel[Egtim durumu],$K200),"")</f>
        <v/>
      </c>
      <c r="H200" s="25" t="str">
        <f>IFERROR(INDEX(Personnel[Shohruh Not],$K200),"")</f>
        <v/>
      </c>
      <c r="I200" s="24" t="str">
        <f>IFERROR(INDEX(Personnel[Дней в РФ],$K200),"")</f>
        <v/>
      </c>
      <c r="K200" s="23" t="str">
        <f t="array" ref="K200">IFERROR(_xlfn.AGGREGATE(15,6,(ROW(Personnel[Egtim durumu])-MIN(ROW(Personnel[Egtim durumu]))+1)/((Personnel[Egtim durumu]="2 kere sinavden gecemedi")),ROWS($K$7:K200)),"")</f>
        <v/>
      </c>
    </row>
    <row r="201" spans="1:11" x14ac:dyDescent="0.25">
      <c r="A201" s="18" t="str">
        <f>IFERROR(INDEX(Personnel[Sicil],$K201),"")</f>
        <v/>
      </c>
      <c r="B201" s="17" t="str">
        <f>IFERROR(INDEX(Personnel[Adi Soyadi],$K201),"")</f>
        <v/>
      </c>
      <c r="C201" s="18" t="str">
        <f>IFERROR(INDEX(Personnel[Vatandaslik],$K201),"")</f>
        <v/>
      </c>
      <c r="D201" s="18" t="str">
        <f>IFERROR(INDEX(Personnel[Santiye],$K201),"")</f>
        <v/>
      </c>
      <c r="E201" s="18" t="str">
        <f>IFERROR(INDEX(Personnel[Ogretmen],$K201),"")</f>
        <v/>
      </c>
      <c r="F201" s="17" t="str">
        <f>IFERROR(INDEX(Personnel[[Sinav ]],$K201),"")</f>
        <v/>
      </c>
      <c r="G201" s="17" t="str">
        <f>IFERROR(INDEX(Personnel[Egtim durumu],$K201),"")</f>
        <v/>
      </c>
      <c r="H201" s="17" t="str">
        <f>IFERROR(INDEX(Personnel[Shohruh Not],$K201),"")</f>
        <v/>
      </c>
      <c r="I201" s="18" t="str">
        <f>IFERROR(INDEX(Personnel[Дней в РФ],$K201),"")</f>
        <v/>
      </c>
      <c r="K201" s="23" t="str">
        <f t="array" ref="K201">IFERROR(_xlfn.AGGREGATE(15,6,(ROW(Personnel[Egtim durumu])-MIN(ROW(Personnel[Egtim durumu]))+1)/((Personnel[Egtim durumu]="2 kere sinavden gecemedi")),ROWS($K$7:K201)),"")</f>
        <v/>
      </c>
    </row>
    <row r="202" spans="1:11" x14ac:dyDescent="0.25">
      <c r="A202" s="24" t="str">
        <f>IFERROR(INDEX(Personnel[Sicil],$K202),"")</f>
        <v/>
      </c>
      <c r="B202" s="25" t="str">
        <f>IFERROR(INDEX(Personnel[Adi Soyadi],$K202),"")</f>
        <v/>
      </c>
      <c r="C202" s="24" t="str">
        <f>IFERROR(INDEX(Personnel[Vatandaslik],$K202),"")</f>
        <v/>
      </c>
      <c r="D202" s="24" t="str">
        <f>IFERROR(INDEX(Personnel[Santiye],$K202),"")</f>
        <v/>
      </c>
      <c r="E202" s="24" t="str">
        <f>IFERROR(INDEX(Personnel[Ogretmen],$K202),"")</f>
        <v/>
      </c>
      <c r="F202" s="25" t="str">
        <f>IFERROR(INDEX(Personnel[[Sinav ]],$K202),"")</f>
        <v/>
      </c>
      <c r="G202" s="25" t="str">
        <f>IFERROR(INDEX(Personnel[Egtim durumu],$K202),"")</f>
        <v/>
      </c>
      <c r="H202" s="25" t="str">
        <f>IFERROR(INDEX(Personnel[Shohruh Not],$K202),"")</f>
        <v/>
      </c>
      <c r="I202" s="24" t="str">
        <f>IFERROR(INDEX(Personnel[Дней в РФ],$K202),"")</f>
        <v/>
      </c>
      <c r="K202" s="23" t="str">
        <f t="array" ref="K202">IFERROR(_xlfn.AGGREGATE(15,6,(ROW(Personnel[Egtim durumu])-MIN(ROW(Personnel[Egtim durumu]))+1)/((Personnel[Egtim durumu]="2 kere sinavden gecemedi")),ROWS($K$7:K202)),"")</f>
        <v/>
      </c>
    </row>
    <row r="203" spans="1:11" x14ac:dyDescent="0.25">
      <c r="A203" s="18" t="str">
        <f>IFERROR(INDEX(Personnel[Sicil],$K203),"")</f>
        <v/>
      </c>
      <c r="B203" s="17" t="str">
        <f>IFERROR(INDEX(Personnel[Adi Soyadi],$K203),"")</f>
        <v/>
      </c>
      <c r="C203" s="18" t="str">
        <f>IFERROR(INDEX(Personnel[Vatandaslik],$K203),"")</f>
        <v/>
      </c>
      <c r="D203" s="18" t="str">
        <f>IFERROR(INDEX(Personnel[Santiye],$K203),"")</f>
        <v/>
      </c>
      <c r="E203" s="18" t="str">
        <f>IFERROR(INDEX(Personnel[Ogretmen],$K203),"")</f>
        <v/>
      </c>
      <c r="F203" s="17" t="str">
        <f>IFERROR(INDEX(Personnel[[Sinav ]],$K203),"")</f>
        <v/>
      </c>
      <c r="G203" s="17" t="str">
        <f>IFERROR(INDEX(Personnel[Egtim durumu],$K203),"")</f>
        <v/>
      </c>
      <c r="H203" s="17" t="str">
        <f>IFERROR(INDEX(Personnel[Shohruh Not],$K203),"")</f>
        <v/>
      </c>
      <c r="I203" s="18" t="str">
        <f>IFERROR(INDEX(Personnel[Дней в РФ],$K203),"")</f>
        <v/>
      </c>
      <c r="K203" s="23" t="str">
        <f t="array" ref="K203">IFERROR(_xlfn.AGGREGATE(15,6,(ROW(Personnel[Egtim durumu])-MIN(ROW(Personnel[Egtim durumu]))+1)/((Personnel[Egtim durumu]="2 kere sinavden gecemedi")),ROWS($K$7:K203)),"")</f>
        <v/>
      </c>
    </row>
    <row r="204" spans="1:11" x14ac:dyDescent="0.25">
      <c r="A204" s="24" t="str">
        <f>IFERROR(INDEX(Personnel[Sicil],$K204),"")</f>
        <v/>
      </c>
      <c r="B204" s="25" t="str">
        <f>IFERROR(INDEX(Personnel[Adi Soyadi],$K204),"")</f>
        <v/>
      </c>
      <c r="C204" s="24" t="str">
        <f>IFERROR(INDEX(Personnel[Vatandaslik],$K204),"")</f>
        <v/>
      </c>
      <c r="D204" s="24" t="str">
        <f>IFERROR(INDEX(Personnel[Santiye],$K204),"")</f>
        <v/>
      </c>
      <c r="E204" s="24" t="str">
        <f>IFERROR(INDEX(Personnel[Ogretmen],$K204),"")</f>
        <v/>
      </c>
      <c r="F204" s="25" t="str">
        <f>IFERROR(INDEX(Personnel[[Sinav ]],$K204),"")</f>
        <v/>
      </c>
      <c r="G204" s="25" t="str">
        <f>IFERROR(INDEX(Personnel[Egtim durumu],$K204),"")</f>
        <v/>
      </c>
      <c r="H204" s="25" t="str">
        <f>IFERROR(INDEX(Personnel[Shohruh Not],$K204),"")</f>
        <v/>
      </c>
      <c r="I204" s="24" t="str">
        <f>IFERROR(INDEX(Personnel[Дней в РФ],$K204),"")</f>
        <v/>
      </c>
      <c r="K204" s="23" t="str">
        <f t="array" ref="K204">IFERROR(_xlfn.AGGREGATE(15,6,(ROW(Personnel[Egtim durumu])-MIN(ROW(Personnel[Egtim durumu]))+1)/((Personnel[Egtim durumu]="2 kere sinavden gecemedi")),ROWS($K$7:K204)),"")</f>
        <v/>
      </c>
    </row>
    <row r="205" spans="1:11" x14ac:dyDescent="0.25">
      <c r="A205" s="18" t="str">
        <f>IFERROR(INDEX(Personnel[Sicil],$K205),"")</f>
        <v/>
      </c>
      <c r="B205" s="17" t="str">
        <f>IFERROR(INDEX(Personnel[Adi Soyadi],$K205),"")</f>
        <v/>
      </c>
      <c r="C205" s="18" t="str">
        <f>IFERROR(INDEX(Personnel[Vatandaslik],$K205),"")</f>
        <v/>
      </c>
      <c r="D205" s="18" t="str">
        <f>IFERROR(INDEX(Personnel[Santiye],$K205),"")</f>
        <v/>
      </c>
      <c r="E205" s="18" t="str">
        <f>IFERROR(INDEX(Personnel[Ogretmen],$K205),"")</f>
        <v/>
      </c>
      <c r="F205" s="17" t="str">
        <f>IFERROR(INDEX(Personnel[[Sinav ]],$K205),"")</f>
        <v/>
      </c>
      <c r="G205" s="17" t="str">
        <f>IFERROR(INDEX(Personnel[Egtim durumu],$K205),"")</f>
        <v/>
      </c>
      <c r="H205" s="17" t="str">
        <f>IFERROR(INDEX(Personnel[Shohruh Not],$K205),"")</f>
        <v/>
      </c>
      <c r="I205" s="18" t="str">
        <f>IFERROR(INDEX(Personnel[Дней в РФ],$K205),"")</f>
        <v/>
      </c>
      <c r="K205" s="23" t="str">
        <f t="array" ref="K205">IFERROR(_xlfn.AGGREGATE(15,6,(ROW(Personnel[Egtim durumu])-MIN(ROW(Personnel[Egtim durumu]))+1)/((Personnel[Egtim durumu]="2 kere sinavden gecemedi")),ROWS($K$7:K205)),"")</f>
        <v/>
      </c>
    </row>
    <row r="206" spans="1:11" x14ac:dyDescent="0.25">
      <c r="A206" s="24" t="str">
        <f>IFERROR(INDEX(Personnel[Sicil],$K206),"")</f>
        <v/>
      </c>
      <c r="B206" s="25" t="str">
        <f>IFERROR(INDEX(Personnel[Adi Soyadi],$K206),"")</f>
        <v/>
      </c>
      <c r="C206" s="24" t="str">
        <f>IFERROR(INDEX(Personnel[Vatandaslik],$K206),"")</f>
        <v/>
      </c>
      <c r="D206" s="24" t="str">
        <f>IFERROR(INDEX(Personnel[Santiye],$K206),"")</f>
        <v/>
      </c>
      <c r="E206" s="24" t="str">
        <f>IFERROR(INDEX(Personnel[Ogretmen],$K206),"")</f>
        <v/>
      </c>
      <c r="F206" s="25" t="str">
        <f>IFERROR(INDEX(Personnel[[Sinav ]],$K206),"")</f>
        <v/>
      </c>
      <c r="G206" s="25" t="str">
        <f>IFERROR(INDEX(Personnel[Egtim durumu],$K206),"")</f>
        <v/>
      </c>
      <c r="H206" s="25" t="str">
        <f>IFERROR(INDEX(Personnel[Shohruh Not],$K206),"")</f>
        <v/>
      </c>
      <c r="I206" s="24" t="str">
        <f>IFERROR(INDEX(Personnel[Дней в РФ],$K206),"")</f>
        <v/>
      </c>
      <c r="K206" s="23" t="str">
        <f t="array" ref="K206">IFERROR(_xlfn.AGGREGATE(15,6,(ROW(Personnel[Egtim durumu])-MIN(ROW(Personnel[Egtim durumu]))+1)/((Personnel[Egtim durumu]="2 kere sinavden gecemedi")),ROWS($K$7:K206)),"")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E67E22"/>
  </sheetPr>
  <dimension ref="A1:K256"/>
  <sheetViews>
    <sheetView showGridLines="0" zoomScaleNormal="100" workbookViewId="0">
      <pane ySplit="6" topLeftCell="A7" activePane="bottomLeft" state="frozen"/>
      <selection activeCell="F30" sqref="F30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87" t="s">
        <v>1805</v>
      </c>
      <c r="B1" s="87"/>
      <c r="C1" s="87"/>
    </row>
    <row r="3" spans="1:11" ht="21" x14ac:dyDescent="0.35">
      <c r="A3" s="88" t="s">
        <v>1815</v>
      </c>
      <c r="B3" s="88"/>
      <c r="C3" s="88"/>
      <c r="D3" s="88"/>
      <c r="E3" s="88"/>
      <c r="F3" s="88"/>
      <c r="G3" s="88"/>
      <c r="H3" s="88"/>
    </row>
    <row r="4" spans="1:11" x14ac:dyDescent="0.25">
      <c r="A4" s="85" t="s">
        <v>1816</v>
      </c>
      <c r="B4" s="85"/>
      <c r="C4" s="85"/>
      <c r="D4" s="85"/>
      <c r="E4" s="85"/>
      <c r="F4" s="85"/>
      <c r="G4" s="85"/>
      <c r="H4" s="85"/>
    </row>
    <row r="5" spans="1:11" x14ac:dyDescent="0.25">
      <c r="A5" s="89" t="str">
        <f>"Найдено записей: "&amp;(COUNTIF(Personnel[Egtim durumu],"Egitime  devem eden")+COUNTIF(Personnel[Egtim durumu],"Egitime alinacak")+COUNTIF(Personnel[Egtim durumu],"sinavi hazir"))</f>
        <v>Найдено записей: 56</v>
      </c>
      <c r="B5" s="89"/>
      <c r="C5" s="89"/>
      <c r="D5" s="89"/>
      <c r="E5" s="89"/>
      <c r="F5" s="89"/>
      <c r="G5" s="89"/>
      <c r="H5" s="89"/>
    </row>
    <row r="6" spans="1:11" ht="27.75" customHeight="1" x14ac:dyDescent="0.25">
      <c r="A6" s="27" t="s">
        <v>1808</v>
      </c>
      <c r="B6" s="27" t="s">
        <v>1809</v>
      </c>
      <c r="C6" s="27" t="s">
        <v>1784</v>
      </c>
      <c r="D6" s="27" t="s">
        <v>1810</v>
      </c>
      <c r="E6" s="27" t="s">
        <v>1811</v>
      </c>
      <c r="F6" s="27" t="s">
        <v>1812</v>
      </c>
      <c r="G6" s="27" t="s">
        <v>1813</v>
      </c>
      <c r="H6" s="27" t="s">
        <v>1814</v>
      </c>
      <c r="I6" s="27" t="s">
        <v>24</v>
      </c>
    </row>
    <row r="7" spans="1:11" ht="25.5" x14ac:dyDescent="0.25">
      <c r="A7" s="18">
        <f>IFERROR(INDEX(Personnel[Sicil],$K7),"")</f>
        <v>646665</v>
      </c>
      <c r="B7" s="17" t="str">
        <f>IFERROR(INDEX(Personnel[Adi Soyadi],$K7),"")</f>
        <v>Абдужалилов Отабек Фарход Угли</v>
      </c>
      <c r="C7" s="18" t="str">
        <f>IFERROR(INDEX(Personnel[Vatandaslik],$K7),"")</f>
        <v>УЗБЕКИСТАН</v>
      </c>
      <c r="D7" s="18" t="str">
        <f>IFERROR(INDEX(Personnel[Santiye],$K7),"")</f>
        <v>GPP Proje</v>
      </c>
      <c r="E7" s="18" t="str">
        <f>IFERROR(INDEX(Personnel[Ogretmen],$K7),"")</f>
        <v>Ziazetdinov Arslan / Ziazetdinov Arslan</v>
      </c>
      <c r="F7" s="17" t="str">
        <f>IFERROR(INDEX(Personnel[[Sinav ]],$K7),"")</f>
        <v>Ic testimizden gecemedi 08.08.2026 /Ic testimizden gecemedi 11.08.2026</v>
      </c>
      <c r="G7" s="17" t="str">
        <f>IFERROR(INDEX(Personnel[Egtim durumu],$K7),"")</f>
        <v>sinavi hazir</v>
      </c>
      <c r="H7" s="17" t="str">
        <f>IFERROR(INDEX(Personnel[Shohruh Not],$K7),"")</f>
        <v>kedi hisabindan</v>
      </c>
      <c r="I7" s="22">
        <f ca="1">IFERROR(INDEX(Personnel[Дней в РФ],$K7),"")</f>
        <v>20</v>
      </c>
      <c r="K7" s="23">
        <f t="array" ref="K7">IFERROR(_xlfn.AGGREGATE(15,6,(ROW(Personnel[Egtim durumu])-MIN(ROW(Personnel[Egtim durumu]))+1)/((Personnel[Egtim durumu]="Egitime  devem eden")+(Personnel[Egtim durumu]="Egitime alinacak")+(Personnel[Egtim durumu]="sinavi hazir")),ROWS($K$7:K7)),"")</f>
        <v>689</v>
      </c>
    </row>
    <row r="8" spans="1:11" x14ac:dyDescent="0.25">
      <c r="A8" s="28">
        <f>IFERROR(INDEX(Personnel[Sicil],$K8),"")</f>
        <v>580765</v>
      </c>
      <c r="B8" s="29" t="str">
        <f>IFERROR(INDEX(Personnel[Adi Soyadi],$K8),"")</f>
        <v>Муродзода Маснун Нурмурод</v>
      </c>
      <c r="C8" s="28" t="str">
        <f>IFERROR(INDEX(Personnel[Vatandaslik],$K8),"")</f>
        <v>ТАДЖИКИСТАН</v>
      </c>
      <c r="D8" s="28" t="str">
        <f>IFERROR(INDEX(Personnel[Santiye],$K8),"")</f>
        <v>GPP Proje (TSF)</v>
      </c>
      <c r="E8" s="28" t="str">
        <f>IFERROR(INDEX(Personnel[Ogretmen],$K8),"")</f>
        <v xml:space="preserve">Ziazetdinov Arslan </v>
      </c>
      <c r="F8" s="29" t="str">
        <f>IFERROR(INDEX(Personnel[[Sinav ]],$K8),"")</f>
        <v>17.08.2026 Sineva gitti gecemedi.</v>
      </c>
      <c r="G8" s="29" t="str">
        <f>IFERROR(INDEX(Personnel[Egtim durumu],$K8),"")</f>
        <v>sinavi hazir</v>
      </c>
      <c r="H8" s="29" t="str">
        <f>IFERROR(INDEX(Personnel[Shohruh Not],$K8),"")</f>
        <v>-</v>
      </c>
      <c r="I8" s="30">
        <f ca="1">IFERROR(INDEX(Personnel[Дней в РФ],$K8),"")</f>
        <v>22</v>
      </c>
      <c r="K8" s="23">
        <f t="array" ref="K8">IFERROR(_xlfn.AGGREGATE(15,6,(ROW(Personnel[Egtim durumu])-MIN(ROW(Personnel[Egtim durumu]))+1)/((Personnel[Egtim durumu]="Egitime  devem eden")+(Personnel[Egtim durumu]="Egitime alinacak")+(Personnel[Egtim durumu]="sinavi hazir")),ROWS($K$7:K8)),"")</f>
        <v>700</v>
      </c>
    </row>
    <row r="9" spans="1:11" x14ac:dyDescent="0.25">
      <c r="A9" s="18">
        <f>IFERROR(INDEX(Personnel[Sicil],$K9),"")</f>
        <v>646678</v>
      </c>
      <c r="B9" s="17" t="str">
        <f>IFERROR(INDEX(Personnel[Adi Soyadi],$K9),"")</f>
        <v>Акабаев Тулкин Адашбаевич</v>
      </c>
      <c r="C9" s="18" t="str">
        <f>IFERROR(INDEX(Personnel[Vatandaslik],$K9),"")</f>
        <v>УЗБЕКИСТАН</v>
      </c>
      <c r="D9" s="18" t="str">
        <f>IFERROR(INDEX(Personnel[Santiye],$K9),"")</f>
        <v>GPP Proje</v>
      </c>
      <c r="E9" s="18" t="str">
        <f>IFERROR(INDEX(Personnel[Ogretmen],$K9),"")</f>
        <v>Ziazetdinov Arslan / Ziazetdinov Arslan</v>
      </c>
      <c r="F9" s="17" t="str">
        <f>IFERROR(INDEX(Personnel[[Sinav ]],$K9),"")</f>
        <v>Ic testimizden gecemedi 11.08.2026</v>
      </c>
      <c r="G9" s="17" t="str">
        <f>IFERROR(INDEX(Personnel[Egtim durumu],$K9),"")</f>
        <v>sinavi hazir</v>
      </c>
      <c r="H9" s="17" t="str">
        <f>IFERROR(INDEX(Personnel[Shohruh Not],$K9),"")</f>
        <v>-</v>
      </c>
      <c r="I9" s="22">
        <f ca="1">IFERROR(INDEX(Personnel[Дней в РФ],$K9),"")</f>
        <v>18</v>
      </c>
      <c r="K9" s="23">
        <f t="array" ref="K9">IFERROR(_xlfn.AGGREGATE(15,6,(ROW(Personnel[Egtim durumu])-MIN(ROW(Personnel[Egtim durumu]))+1)/((Personnel[Egtim durumu]="Egitime  devem eden")+(Personnel[Egtim durumu]="Egitime alinacak")+(Personnel[Egtim durumu]="sinavi hazir")),ROWS($K$7:K9)),"")</f>
        <v>707</v>
      </c>
    </row>
    <row r="10" spans="1:11" x14ac:dyDescent="0.25">
      <c r="A10" s="28">
        <f>IFERROR(INDEX(Personnel[Sicil],$K10),"")</f>
        <v>646687</v>
      </c>
      <c r="B10" s="29" t="str">
        <f>IFERROR(INDEX(Personnel[Adi Soyadi],$K10),"")</f>
        <v>Исматиллаев Обид Исматилла Угли</v>
      </c>
      <c r="C10" s="28" t="str">
        <f>IFERROR(INDEX(Personnel[Vatandaslik],$K10),"")</f>
        <v>УЗБЕКИСТАН</v>
      </c>
      <c r="D10" s="28" t="str">
        <f>IFERROR(INDEX(Personnel[Santiye],$K10),"")</f>
        <v>GPP Proje</v>
      </c>
      <c r="E10" s="28" t="str">
        <f>IFERROR(INDEX(Personnel[Ogretmen],$K10),"")</f>
        <v>Ziazetdinov Arslan / Ziazetdinov Arslan</v>
      </c>
      <c r="F10" s="29" t="str">
        <f>IFERROR(INDEX(Personnel[[Sinav ]],$K10),"")</f>
        <v>Ic testimizden gecemedi 11.08.2026</v>
      </c>
      <c r="G10" s="29" t="str">
        <f>IFERROR(INDEX(Personnel[Egtim durumu],$K10),"")</f>
        <v>sinavi hazir</v>
      </c>
      <c r="H10" s="29" t="str">
        <f>IFERROR(INDEX(Personnel[Shohruh Not],$K10),"")</f>
        <v>-</v>
      </c>
      <c r="I10" s="30">
        <f ca="1">IFERROR(INDEX(Personnel[Дней в РФ],$K10),"")</f>
        <v>18</v>
      </c>
      <c r="K10" s="23">
        <f t="array" ref="K10">IFERROR(_xlfn.AGGREGATE(15,6,(ROW(Personnel[Egtim durumu])-MIN(ROW(Personnel[Egtim durumu]))+1)/((Personnel[Egtim durumu]="Egitime  devem eden")+(Personnel[Egtim durumu]="Egitime alinacak")+(Personnel[Egtim durumu]="sinavi hazir")),ROWS($K$7:K10)),"")</f>
        <v>708</v>
      </c>
    </row>
    <row r="11" spans="1:11" x14ac:dyDescent="0.25">
      <c r="A11" s="18">
        <f>IFERROR(INDEX(Personnel[Sicil],$K11),"")</f>
        <v>646690</v>
      </c>
      <c r="B11" s="17" t="str">
        <f>IFERROR(INDEX(Personnel[Adi Soyadi],$K11),"")</f>
        <v>Курбонов Журабек Зайнидинович</v>
      </c>
      <c r="C11" s="18" t="str">
        <f>IFERROR(INDEX(Personnel[Vatandaslik],$K11),"")</f>
        <v>УЗБЕКИСТАН</v>
      </c>
      <c r="D11" s="18" t="str">
        <f>IFERROR(INDEX(Personnel[Santiye],$K11),"")</f>
        <v>GPP Proje</v>
      </c>
      <c r="E11" s="18" t="str">
        <f>IFERROR(INDEX(Personnel[Ogretmen],$K11),"")</f>
        <v>Ziazetdinov Arslan / Ziazetdinov Arslan</v>
      </c>
      <c r="F11" s="17" t="str">
        <f>IFERROR(INDEX(Personnel[[Sinav ]],$K11),"")</f>
        <v>17.08.2026 Sineva gitti gecemedi.</v>
      </c>
      <c r="G11" s="17" t="str">
        <f>IFERROR(INDEX(Personnel[Egtim durumu],$K11),"")</f>
        <v>sinavi hazir</v>
      </c>
      <c r="H11" s="17" t="str">
        <f>IFERROR(INDEX(Personnel[Shohruh Not],$K11),"")</f>
        <v>-</v>
      </c>
      <c r="I11" s="22">
        <f ca="1">IFERROR(INDEX(Personnel[Дней в РФ],$K11),"")</f>
        <v>18</v>
      </c>
      <c r="K11" s="23">
        <f t="array" ref="K11">IFERROR(_xlfn.AGGREGATE(15,6,(ROW(Personnel[Egtim durumu])-MIN(ROW(Personnel[Egtim durumu]))+1)/((Personnel[Egtim durumu]="Egitime  devem eden")+(Personnel[Egtim durumu]="Egitime alinacak")+(Personnel[Egtim durumu]="sinavi hazir")),ROWS($K$7:K11)),"")</f>
        <v>710</v>
      </c>
    </row>
    <row r="12" spans="1:11" ht="25.5" x14ac:dyDescent="0.25">
      <c r="A12" s="28">
        <f>IFERROR(INDEX(Personnel[Sicil],$K12),"")</f>
        <v>646688</v>
      </c>
      <c r="B12" s="29" t="str">
        <f>IFERROR(INDEX(Personnel[Adi Soyadi],$K12),"")</f>
        <v>Лукмонов Жамолиддин Тоштемирович</v>
      </c>
      <c r="C12" s="28" t="str">
        <f>IFERROR(INDEX(Personnel[Vatandaslik],$K12),"")</f>
        <v>УЗБЕКИСТАН</v>
      </c>
      <c r="D12" s="28" t="str">
        <f>IFERROR(INDEX(Personnel[Santiye],$K12),"")</f>
        <v>GPP Proje</v>
      </c>
      <c r="E12" s="28" t="str">
        <f>IFERROR(INDEX(Personnel[Ogretmen],$K12),"")</f>
        <v>Ziazetdinov Arslan / Ziazetdinov Arslan</v>
      </c>
      <c r="F12" s="29" t="str">
        <f>IFERROR(INDEX(Personnel[[Sinav ]],$K12),"")</f>
        <v>Ic testimizden gecemedi 11.08.2026</v>
      </c>
      <c r="G12" s="29" t="str">
        <f>IFERROR(INDEX(Personnel[Egtim durumu],$K12),"")</f>
        <v>sinavi hazir</v>
      </c>
      <c r="H12" s="29" t="str">
        <f>IFERROR(INDEX(Personnel[Shohruh Not],$K12),"")</f>
        <v>-</v>
      </c>
      <c r="I12" s="30">
        <f ca="1">IFERROR(INDEX(Personnel[Дней в РФ],$K12),"")</f>
        <v>18</v>
      </c>
      <c r="K12" s="23">
        <f t="array" ref="K12">IFERROR(_xlfn.AGGREGATE(15,6,(ROW(Personnel[Egtim durumu])-MIN(ROW(Personnel[Egtim durumu]))+1)/((Personnel[Egtim durumu]="Egitime  devem eden")+(Personnel[Egtim durumu]="Egitime alinacak")+(Personnel[Egtim durumu]="sinavi hazir")),ROWS($K$7:K12)),"")</f>
        <v>711</v>
      </c>
    </row>
    <row r="13" spans="1:11" x14ac:dyDescent="0.25">
      <c r="A13" s="18">
        <f>IFERROR(INDEX(Personnel[Sicil],$K13),"")</f>
        <v>646679</v>
      </c>
      <c r="B13" s="17" t="str">
        <f>IFERROR(INDEX(Personnel[Adi Soyadi],$K13),"")</f>
        <v>Некбаев Бекмирза Хамидович</v>
      </c>
      <c r="C13" s="18" t="str">
        <f>IFERROR(INDEX(Personnel[Vatandaslik],$K13),"")</f>
        <v>УЗБЕКИСТАН</v>
      </c>
      <c r="D13" s="18" t="str">
        <f>IFERROR(INDEX(Personnel[Santiye],$K13),"")</f>
        <v>GPP Proje</v>
      </c>
      <c r="E13" s="18" t="str">
        <f>IFERROR(INDEX(Personnel[Ogretmen],$K13),"")</f>
        <v>Ziazetdinov Arslan / Ziazetdinov Arslan</v>
      </c>
      <c r="F13" s="17" t="str">
        <f>IFERROR(INDEX(Personnel[[Sinav ]],$K13),"")</f>
        <v>Ic testimizden gecemedi 11.08.2026</v>
      </c>
      <c r="G13" s="17" t="str">
        <f>IFERROR(INDEX(Personnel[Egtim durumu],$K13),"")</f>
        <v>sinavi hazir</v>
      </c>
      <c r="H13" s="17" t="str">
        <f>IFERROR(INDEX(Personnel[Shohruh Not],$K13),"")</f>
        <v>-</v>
      </c>
      <c r="I13" s="22">
        <f ca="1">IFERROR(INDEX(Personnel[Дней в РФ],$K13),"")</f>
        <v>18</v>
      </c>
      <c r="K13" s="23">
        <f t="array" ref="K13">IFERROR(_xlfn.AGGREGATE(15,6,(ROW(Personnel[Egtim durumu])-MIN(ROW(Personnel[Egtim durumu]))+1)/((Personnel[Egtim durumu]="Egitime  devem eden")+(Personnel[Egtim durumu]="Egitime alinacak")+(Personnel[Egtim durumu]="sinavi hazir")),ROWS($K$7:K13)),"")</f>
        <v>712</v>
      </c>
    </row>
    <row r="14" spans="1:11" ht="38.25" x14ac:dyDescent="0.25">
      <c r="A14" s="28">
        <f>IFERROR(INDEX(Personnel[Sicil],$K14),"")</f>
        <v>646682</v>
      </c>
      <c r="B14" s="29" t="str">
        <f>IFERROR(INDEX(Personnel[Adi Soyadi],$K14),"")</f>
        <v>Хожикулов Кувончбек Чориевич</v>
      </c>
      <c r="C14" s="28" t="str">
        <f>IFERROR(INDEX(Personnel[Vatandaslik],$K14),"")</f>
        <v>УЗБЕКИСТАН</v>
      </c>
      <c r="D14" s="28" t="str">
        <f>IFERROR(INDEX(Personnel[Santiye],$K14),"")</f>
        <v>GPP Proje</v>
      </c>
      <c r="E14" s="28" t="str">
        <f>IFERROR(INDEX(Personnel[Ogretmen],$K14),"")</f>
        <v>Ziazetdinov Arslan / Ziazetdinov Arslan</v>
      </c>
      <c r="F14" s="29" t="str">
        <f>IFERROR(INDEX(Personnel[[Sinav ]],$K14),"")</f>
        <v>Ic testimizden gecemedi 08.08.2026 /Ic testimizden gecemedi 11.08.2026 /19.08.2026 Sineva gitti gecemedi</v>
      </c>
      <c r="G14" s="29" t="str">
        <f>IFERROR(INDEX(Personnel[Egtim durumu],$K14),"")</f>
        <v>sinavi hazir</v>
      </c>
      <c r="H14" s="29" t="str">
        <f>IFERROR(INDEX(Personnel[Shohruh Not],$K14),"")</f>
        <v>kedi hisabindan</v>
      </c>
      <c r="I14" s="30">
        <f ca="1">IFERROR(INDEX(Personnel[Дней в РФ],$K14),"")</f>
        <v>19</v>
      </c>
      <c r="K14" s="23">
        <f t="array" ref="K14">IFERROR(_xlfn.AGGREGATE(15,6,(ROW(Personnel[Egtim durumu])-MIN(ROW(Personnel[Egtim durumu]))+1)/((Personnel[Egtim durumu]="Egitime  devem eden")+(Personnel[Egtim durumu]="Egitime alinacak")+(Personnel[Egtim durumu]="sinavi hazir")),ROWS($K$7:K14)),"")</f>
        <v>718</v>
      </c>
    </row>
    <row r="15" spans="1:11" x14ac:dyDescent="0.25">
      <c r="A15" s="18">
        <f>IFERROR(INDEX(Personnel[Sicil],$K15),"")</f>
        <v>635282</v>
      </c>
      <c r="B15" s="17" t="str">
        <f>IFERROR(INDEX(Personnel[Adi Soyadi],$K15),"")</f>
        <v>Бозоров Жахонгир Соатмурод Угли</v>
      </c>
      <c r="C15" s="18" t="str">
        <f>IFERROR(INDEX(Personnel[Vatandaslik],$K15),"")</f>
        <v>УЗБЕКИСТАН</v>
      </c>
      <c r="D15" s="18" t="str">
        <f>IFERROR(INDEX(Personnel[Santiye],$K15),"")</f>
        <v>GPP Proje</v>
      </c>
      <c r="E15" s="18" t="str">
        <f>IFERROR(INDEX(Personnel[Ogretmen],$K15),"")</f>
        <v>Ziazetdinov Arslan / Ziazetdinov Arslan</v>
      </c>
      <c r="F15" s="17" t="str">
        <f>IFERROR(INDEX(Personnel[[Sinav ]],$K15),"")</f>
        <v>Ic testimizden gecemedi 11.08.2026</v>
      </c>
      <c r="G15" s="17" t="str">
        <f>IFERROR(INDEX(Personnel[Egtim durumu],$K15),"")</f>
        <v>sinavi hazir</v>
      </c>
      <c r="H15" s="17" t="str">
        <f>IFERROR(INDEX(Personnel[Shohruh Not],$K15),"")</f>
        <v>-</v>
      </c>
      <c r="I15" s="22">
        <f ca="1">IFERROR(INDEX(Personnel[Дней в РФ],$K15),"")</f>
        <v>350</v>
      </c>
      <c r="K15" s="23">
        <f t="array" ref="K15">IFERROR(_xlfn.AGGREGATE(15,6,(ROW(Personnel[Egtim durumu])-MIN(ROW(Personnel[Egtim durumu]))+1)/((Personnel[Egtim durumu]="Egitime  devem eden")+(Personnel[Egtim durumu]="Egitime alinacak")+(Personnel[Egtim durumu]="sinavi hazir")),ROWS($K$7:K15)),"")</f>
        <v>723</v>
      </c>
    </row>
    <row r="16" spans="1:11" ht="25.5" x14ac:dyDescent="0.25">
      <c r="A16" s="28">
        <f>IFERROR(INDEX(Personnel[Sicil],$K16),"")</f>
        <v>646746</v>
      </c>
      <c r="B16" s="29" t="str">
        <f>IFERROR(INDEX(Personnel[Adi Soyadi],$K16),"")</f>
        <v>Богибеков Мухиддин Мухаммад Угли</v>
      </c>
      <c r="C16" s="28" t="str">
        <f>IFERROR(INDEX(Personnel[Vatandaslik],$K16),"")</f>
        <v>УЗБЕКИСТАН</v>
      </c>
      <c r="D16" s="28" t="str">
        <f>IFERROR(INDEX(Personnel[Santiye],$K16),"")</f>
        <v>GPP Proje</v>
      </c>
      <c r="E16" s="28" t="str">
        <f>IFERROR(INDEX(Personnel[Ogretmen],$K16),"")</f>
        <v>Ziazetdinov Arslan / Ziazetdinov Arslan</v>
      </c>
      <c r="F16" s="29" t="str">
        <f>IFERROR(INDEX(Personnel[[Sinav ]],$K16),"")</f>
        <v>Ic testimizden gecemedi 11.08.2026 /Ic testimizden gecemedi 18.08.2026</v>
      </c>
      <c r="G16" s="29" t="str">
        <f>IFERROR(INDEX(Personnel[Egtim durumu],$K16),"")</f>
        <v>sinavi hazir</v>
      </c>
      <c r="H16" s="29" t="str">
        <f>IFERROR(INDEX(Personnel[Shohruh Not],$K16),"")</f>
        <v>kedi hisabindan</v>
      </c>
      <c r="I16" s="30">
        <f ca="1">IFERROR(INDEX(Personnel[Дней в РФ],$K16),"")</f>
        <v>14</v>
      </c>
      <c r="K16" s="23">
        <f t="array" ref="K16">IFERROR(_xlfn.AGGREGATE(15,6,(ROW(Personnel[Egtim durumu])-MIN(ROW(Personnel[Egtim durumu]))+1)/((Personnel[Egtim durumu]="Egitime  devem eden")+(Personnel[Egtim durumu]="Egitime alinacak")+(Personnel[Egtim durumu]="sinavi hazir")),ROWS($K$7:K16)),"")</f>
        <v>725</v>
      </c>
    </row>
    <row r="17" spans="1:11" x14ac:dyDescent="0.25">
      <c r="A17" s="18">
        <f>IFERROR(INDEX(Personnel[Sicil],$K17),"")</f>
        <v>471080</v>
      </c>
      <c r="B17" s="17" t="str">
        <f>IFERROR(INDEX(Personnel[Adi Soyadi],$K17),"")</f>
        <v>Султанов Атаулла Абдуллаевич</v>
      </c>
      <c r="C17" s="18" t="str">
        <f>IFERROR(INDEX(Personnel[Vatandaslik],$K17),"")</f>
        <v>УЗБЕКИСТАН</v>
      </c>
      <c r="D17" s="18" t="str">
        <f>IFERROR(INDEX(Personnel[Santiye],$K17),"")</f>
        <v>GPP Proje</v>
      </c>
      <c r="E17" s="18" t="str">
        <f>IFERROR(INDEX(Personnel[Ogretmen],$K17),"")</f>
        <v>Ziazetdinov Arslan / Ziazetdinov Arslan</v>
      </c>
      <c r="F17" s="17" t="str">
        <f>IFERROR(INDEX(Personnel[[Sinav ]],$K17),"")</f>
        <v>Ic testimizden gecemedi 11.08.2026</v>
      </c>
      <c r="G17" s="17" t="str">
        <f>IFERROR(INDEX(Personnel[Egtim durumu],$K17),"")</f>
        <v>sinavi hazir</v>
      </c>
      <c r="H17" s="17" t="str">
        <f>IFERROR(INDEX(Personnel[Shohruh Not],$K17),"")</f>
        <v>-</v>
      </c>
      <c r="I17" s="22">
        <f ca="1">IFERROR(INDEX(Personnel[Дней в РФ],$K17),"")</f>
        <v>14</v>
      </c>
      <c r="K17" s="23">
        <f t="array" ref="K17">IFERROR(_xlfn.AGGREGATE(15,6,(ROW(Personnel[Egtim durumu])-MIN(ROW(Personnel[Egtim durumu]))+1)/((Personnel[Egtim durumu]="Egitime  devem eden")+(Personnel[Egtim durumu]="Egitime alinacak")+(Personnel[Egtim durumu]="sinavi hazir")),ROWS($K$7:K17)),"")</f>
        <v>728</v>
      </c>
    </row>
    <row r="18" spans="1:11" x14ac:dyDescent="0.25">
      <c r="A18" s="28">
        <f>IFERROR(INDEX(Personnel[Sicil],$K18),"")</f>
        <v>646641</v>
      </c>
      <c r="B18" s="29" t="str">
        <f>IFERROR(INDEX(Personnel[Adi Soyadi],$K18),"")</f>
        <v>Валиев Арслан Мыратович</v>
      </c>
      <c r="C18" s="28" t="str">
        <f>IFERROR(INDEX(Personnel[Vatandaslik],$K18),"")</f>
        <v>ТАДЖИКИСТАН</v>
      </c>
      <c r="D18" s="28" t="str">
        <f>IFERROR(INDEX(Personnel[Santiye],$K18),"")</f>
        <v>GPP Proje</v>
      </c>
      <c r="E18" s="28" t="str">
        <f>IFERROR(INDEX(Personnel[Ogretmen],$K18),"")</f>
        <v xml:space="preserve">Ziazetdinov Arslan </v>
      </c>
      <c r="F18" s="29" t="str">
        <f>IFERROR(INDEX(Personnel[[Sinav ]],$K18),"")</f>
        <v>-</v>
      </c>
      <c r="G18" s="29" t="str">
        <f>IFERROR(INDEX(Personnel[Egtim durumu],$K18),"")</f>
        <v>sinavi hazir</v>
      </c>
      <c r="H18" s="29" t="str">
        <f>IFERROR(INDEX(Personnel[Shohruh Not],$K18),"")</f>
        <v>-</v>
      </c>
      <c r="I18" s="30">
        <f ca="1">IFERROR(INDEX(Personnel[Дней в РФ],$K18),"")</f>
        <v>13</v>
      </c>
      <c r="K18" s="23">
        <f t="array" ref="K18">IFERROR(_xlfn.AGGREGATE(15,6,(ROW(Personnel[Egtim durumu])-MIN(ROW(Personnel[Egtim durumu]))+1)/((Personnel[Egtim durumu]="Egitime  devem eden")+(Personnel[Egtim durumu]="Egitime alinacak")+(Personnel[Egtim durumu]="sinavi hazir")),ROWS($K$7:K18)),"")</f>
        <v>729</v>
      </c>
    </row>
    <row r="19" spans="1:11" x14ac:dyDescent="0.25">
      <c r="A19" s="18">
        <f>IFERROR(INDEX(Personnel[Sicil],$K19),"")</f>
        <v>539593</v>
      </c>
      <c r="B19" s="17" t="str">
        <f>IFERROR(INDEX(Personnel[Adi Soyadi],$K19),"")</f>
        <v>Абаев Шохбоз Обиджон угли</v>
      </c>
      <c r="C19" s="18" t="str">
        <f>IFERROR(INDEX(Personnel[Vatandaslik],$K19),"")</f>
        <v>УЗБЕКИСТАН</v>
      </c>
      <c r="D19" s="18" t="str">
        <f>IFERROR(INDEX(Personnel[Santiye],$K19),"")</f>
        <v>GPP Proje</v>
      </c>
      <c r="E19" s="18" t="str">
        <f>IFERROR(INDEX(Personnel[Ogretmen],$K19),"")</f>
        <v xml:space="preserve">Ziazetdinov Arslan </v>
      </c>
      <c r="F19" s="17" t="str">
        <f>IFERROR(INDEX(Personnel[[Sinav ]],$K19),"")</f>
        <v>-</v>
      </c>
      <c r="G19" s="17" t="str">
        <f>IFERROR(INDEX(Personnel[Egtim durumu],$K19),"")</f>
        <v>sinavi hazir</v>
      </c>
      <c r="H19" s="17" t="str">
        <f>IFERROR(INDEX(Personnel[Shohruh Not],$K19),"")</f>
        <v>-</v>
      </c>
      <c r="I19" s="22">
        <f ca="1">IFERROR(INDEX(Personnel[Дней в РФ],$K19),"")</f>
        <v>11</v>
      </c>
      <c r="K19" s="23">
        <f t="array" ref="K19">IFERROR(_xlfn.AGGREGATE(15,6,(ROW(Personnel[Egtim durumu])-MIN(ROW(Personnel[Egtim durumu]))+1)/((Personnel[Egtim durumu]="Egitime  devem eden")+(Personnel[Egtim durumu]="Egitime alinacak")+(Personnel[Egtim durumu]="sinavi hazir")),ROWS($K$7:K19)),"")</f>
        <v>730</v>
      </c>
    </row>
    <row r="20" spans="1:11" x14ac:dyDescent="0.25">
      <c r="A20" s="28">
        <f>IFERROR(INDEX(Personnel[Sicil],$K20),"")</f>
        <v>646801</v>
      </c>
      <c r="B20" s="29" t="str">
        <f>IFERROR(INDEX(Personnel[Adi Soyadi],$K20),"")</f>
        <v>Алиев Давриддин Зухриддин Угли</v>
      </c>
      <c r="C20" s="28" t="str">
        <f>IFERROR(INDEX(Personnel[Vatandaslik],$K20),"")</f>
        <v>УЗБЕКИСТАН</v>
      </c>
      <c r="D20" s="28" t="str">
        <f>IFERROR(INDEX(Personnel[Santiye],$K20),"")</f>
        <v>GPP Proje</v>
      </c>
      <c r="E20" s="28" t="str">
        <f>IFERROR(INDEX(Personnel[Ogretmen],$K20),"")</f>
        <v>Ziazetdinov Arslan/ Валерия Алексеева</v>
      </c>
      <c r="F20" s="29" t="str">
        <f>IFERROR(INDEX(Personnel[[Sinav ]],$K20),"")</f>
        <v>Ic testimizden gecemedi 18.08.2026</v>
      </c>
      <c r="G20" s="29" t="str">
        <f>IFERROR(INDEX(Personnel[Egtim durumu],$K20),"")</f>
        <v>Egitime  devem eden</v>
      </c>
      <c r="H20" s="29" t="str">
        <f>IFERROR(INDEX(Personnel[Shohruh Not],$K20),"")</f>
        <v>-</v>
      </c>
      <c r="I20" s="30">
        <f ca="1">IFERROR(INDEX(Personnel[Дней в РФ],$K20),"")</f>
        <v>11</v>
      </c>
      <c r="K20" s="23">
        <f t="array" ref="K20">IFERROR(_xlfn.AGGREGATE(15,6,(ROW(Personnel[Egtim durumu])-MIN(ROW(Personnel[Egtim durumu]))+1)/((Personnel[Egtim durumu]="Egitime  devem eden")+(Personnel[Egtim durumu]="Egitime alinacak")+(Personnel[Egtim durumu]="sinavi hazir")),ROWS($K$7:K20)),"")</f>
        <v>732</v>
      </c>
    </row>
    <row r="21" spans="1:11" x14ac:dyDescent="0.25">
      <c r="A21" s="18">
        <f>IFERROR(INDEX(Personnel[Sicil],$K21),"")</f>
        <v>646813</v>
      </c>
      <c r="B21" s="17" t="str">
        <f>IFERROR(INDEX(Personnel[Adi Soyadi],$K21),"")</f>
        <v>Аннеков Хамид Арисланбек Угли</v>
      </c>
      <c r="C21" s="18" t="str">
        <f>IFERROR(INDEX(Personnel[Vatandaslik],$K21),"")</f>
        <v>УЗБЕКИСТАН</v>
      </c>
      <c r="D21" s="18" t="str">
        <f>IFERROR(INDEX(Personnel[Santiye],$K21),"")</f>
        <v>GPP Proje</v>
      </c>
      <c r="E21" s="18" t="str">
        <f>IFERROR(INDEX(Personnel[Ogretmen],$K21),"")</f>
        <v>Ziazetdinov Arslan/ Валерия Алексеева</v>
      </c>
      <c r="F21" s="17" t="str">
        <f>IFERROR(INDEX(Personnel[[Sinav ]],$K21),"")</f>
        <v>Ic testimizden gecemedi 18.08.2026</v>
      </c>
      <c r="G21" s="17" t="str">
        <f>IFERROR(INDEX(Personnel[Egtim durumu],$K21),"")</f>
        <v>Egitime  devem eden</v>
      </c>
      <c r="H21" s="17" t="str">
        <f>IFERROR(INDEX(Personnel[Shohruh Not],$K21),"")</f>
        <v>-</v>
      </c>
      <c r="I21" s="22">
        <f ca="1">IFERROR(INDEX(Personnel[Дней в РФ],$K21),"")</f>
        <v>11</v>
      </c>
      <c r="K21" s="23">
        <f t="array" ref="K21">IFERROR(_xlfn.AGGREGATE(15,6,(ROW(Personnel[Egtim durumu])-MIN(ROW(Personnel[Egtim durumu]))+1)/((Personnel[Egtim durumu]="Egitime  devem eden")+(Personnel[Egtim durumu]="Egitime alinacak")+(Personnel[Egtim durumu]="sinavi hazir")),ROWS($K$7:K21)),"")</f>
        <v>733</v>
      </c>
    </row>
    <row r="22" spans="1:11" x14ac:dyDescent="0.25">
      <c r="A22" s="28">
        <f>IFERROR(INDEX(Personnel[Sicil],$K22),"")</f>
        <v>472878</v>
      </c>
      <c r="B22" s="29" t="str">
        <f>IFERROR(INDEX(Personnel[Adi Soyadi],$K22),"")</f>
        <v>Баратов Абдували Ирисович</v>
      </c>
      <c r="C22" s="28" t="str">
        <f>IFERROR(INDEX(Personnel[Vatandaslik],$K22),"")</f>
        <v>УЗБЕКИСТАН</v>
      </c>
      <c r="D22" s="28" t="str">
        <f>IFERROR(INDEX(Personnel[Santiye],$K22),"")</f>
        <v>GPP Proje</v>
      </c>
      <c r="E22" s="28" t="str">
        <f>IFERROR(INDEX(Personnel[Ogretmen],$K22),"")</f>
        <v xml:space="preserve">Ziazetdinov Arslan </v>
      </c>
      <c r="F22" s="29" t="str">
        <f>IFERROR(INDEX(Personnel[[Sinav ]],$K22),"")</f>
        <v>-</v>
      </c>
      <c r="G22" s="29" t="str">
        <f>IFERROR(INDEX(Personnel[Egtim durumu],$K22),"")</f>
        <v>sinavi hazir</v>
      </c>
      <c r="H22" s="29" t="str">
        <f>IFERROR(INDEX(Personnel[Shohruh Not],$K22),"")</f>
        <v>-</v>
      </c>
      <c r="I22" s="30">
        <f ca="1">IFERROR(INDEX(Personnel[Дней в РФ],$K22),"")</f>
        <v>11</v>
      </c>
      <c r="K22" s="23">
        <f t="array" ref="K22">IFERROR(_xlfn.AGGREGATE(15,6,(ROW(Personnel[Egtim durumu])-MIN(ROW(Personnel[Egtim durumu]))+1)/((Personnel[Egtim durumu]="Egitime  devem eden")+(Personnel[Egtim durumu]="Egitime alinacak")+(Personnel[Egtim durumu]="sinavi hazir")),ROWS($K$7:K22)),"")</f>
        <v>734</v>
      </c>
    </row>
    <row r="23" spans="1:11" x14ac:dyDescent="0.25">
      <c r="A23" s="18">
        <f>IFERROR(INDEX(Personnel[Sicil],$K23),"")</f>
        <v>646805</v>
      </c>
      <c r="B23" s="17" t="str">
        <f>IFERROR(INDEX(Personnel[Adi Soyadi],$K23),"")</f>
        <v>Бобоназаров Шербек Толлибой Угли</v>
      </c>
      <c r="C23" s="18" t="str">
        <f>IFERROR(INDEX(Personnel[Vatandaslik],$K23),"")</f>
        <v>УЗБЕКИСТАН</v>
      </c>
      <c r="D23" s="18" t="str">
        <f>IFERROR(INDEX(Personnel[Santiye],$K23),"")</f>
        <v>GPP Proje</v>
      </c>
      <c r="E23" s="18" t="str">
        <f>IFERROR(INDEX(Personnel[Ogretmen],$K23),"")</f>
        <v xml:space="preserve">Ziazetdinov Arslan </v>
      </c>
      <c r="F23" s="17" t="str">
        <f>IFERROR(INDEX(Personnel[[Sinav ]],$K23),"")</f>
        <v>-</v>
      </c>
      <c r="G23" s="17" t="str">
        <f>IFERROR(INDEX(Personnel[Egtim durumu],$K23),"")</f>
        <v>sinavi hazir</v>
      </c>
      <c r="H23" s="17" t="str">
        <f>IFERROR(INDEX(Personnel[Shohruh Not],$K23),"")</f>
        <v>-</v>
      </c>
      <c r="I23" s="22">
        <f ca="1">IFERROR(INDEX(Personnel[Дней в РФ],$K23),"")</f>
        <v>11</v>
      </c>
      <c r="K23" s="23">
        <f t="array" ref="K23">IFERROR(_xlfn.AGGREGATE(15,6,(ROW(Personnel[Egtim durumu])-MIN(ROW(Personnel[Egtim durumu]))+1)/((Personnel[Egtim durumu]="Egitime  devem eden")+(Personnel[Egtim durumu]="Egitime alinacak")+(Personnel[Egtim durumu]="sinavi hazir")),ROWS($K$7:K23)),"")</f>
        <v>735</v>
      </c>
    </row>
    <row r="24" spans="1:11" x14ac:dyDescent="0.25">
      <c r="A24" s="28">
        <f>IFERROR(INDEX(Personnel[Sicil],$K24),"")</f>
        <v>274067</v>
      </c>
      <c r="B24" s="29" t="str">
        <f>IFERROR(INDEX(Personnel[Adi Soyadi],$K24),"")</f>
        <v>Гадоев Бахридин Фатхудинович</v>
      </c>
      <c r="C24" s="28" t="str">
        <f>IFERROR(INDEX(Personnel[Vatandaslik],$K24),"")</f>
        <v>ТАДЖИКИСТАН</v>
      </c>
      <c r="D24" s="28" t="str">
        <f>IFERROR(INDEX(Personnel[Santiye],$K24),"")</f>
        <v>GPP Proje</v>
      </c>
      <c r="E24" s="28" t="str">
        <f>IFERROR(INDEX(Personnel[Ogretmen],$K24),"")</f>
        <v>Ziazetdinov Arslan/ Валерия Алексеева</v>
      </c>
      <c r="F24" s="29" t="str">
        <f>IFERROR(INDEX(Personnel[[Sinav ]],$K24),"")</f>
        <v>Ic testimizden gecemedi 18.08.2026</v>
      </c>
      <c r="G24" s="29" t="str">
        <f>IFERROR(INDEX(Personnel[Egtim durumu],$K24),"")</f>
        <v>Egitime  devem eden</v>
      </c>
      <c r="H24" s="29" t="str">
        <f>IFERROR(INDEX(Personnel[Shohruh Not],$K24),"")</f>
        <v>-</v>
      </c>
      <c r="I24" s="30">
        <f ca="1">IFERROR(INDEX(Personnel[Дней в РФ],$K24),"")</f>
        <v>11</v>
      </c>
      <c r="K24" s="23">
        <f t="array" ref="K24">IFERROR(_xlfn.AGGREGATE(15,6,(ROW(Personnel[Egtim durumu])-MIN(ROW(Personnel[Egtim durumu]))+1)/((Personnel[Egtim durumu]="Egitime  devem eden")+(Personnel[Egtim durumu]="Egitime alinacak")+(Personnel[Egtim durumu]="sinavi hazir")),ROWS($K$7:K24)),"")</f>
        <v>736</v>
      </c>
    </row>
    <row r="25" spans="1:11" x14ac:dyDescent="0.25">
      <c r="A25" s="18">
        <f>IFERROR(INDEX(Personnel[Sicil],$K25),"")</f>
        <v>646791</v>
      </c>
      <c r="B25" s="17" t="str">
        <f>IFERROR(INDEX(Personnel[Adi Soyadi],$K25),"")</f>
        <v>Дониёров Озодбек Химматалиевич</v>
      </c>
      <c r="C25" s="18" t="str">
        <f>IFERROR(INDEX(Personnel[Vatandaslik],$K25),"")</f>
        <v>УЗБЕКИСТАН</v>
      </c>
      <c r="D25" s="18" t="str">
        <f>IFERROR(INDEX(Personnel[Santiye],$K25),"")</f>
        <v>GPP Proje</v>
      </c>
      <c r="E25" s="18" t="str">
        <f>IFERROR(INDEX(Personnel[Ogretmen],$K25),"")</f>
        <v>Ziazetdinov Arslan/ Валерия Алексеева</v>
      </c>
      <c r="F25" s="17" t="str">
        <f>IFERROR(INDEX(Personnel[[Sinav ]],$K25),"")</f>
        <v>Ic testimizden gecemedi 18.08.2026</v>
      </c>
      <c r="G25" s="17" t="str">
        <f>IFERROR(INDEX(Personnel[Egtim durumu],$K25),"")</f>
        <v>Egitime  devem eden</v>
      </c>
      <c r="H25" s="17" t="str">
        <f>IFERROR(INDEX(Personnel[Shohruh Not],$K25),"")</f>
        <v>-</v>
      </c>
      <c r="I25" s="22">
        <f ca="1">IFERROR(INDEX(Personnel[Дней в РФ],$K25),"")</f>
        <v>12</v>
      </c>
      <c r="K25" s="23">
        <f t="array" ref="K25">IFERROR(_xlfn.AGGREGATE(15,6,(ROW(Personnel[Egtim durumu])-MIN(ROW(Personnel[Egtim durumu]))+1)/((Personnel[Egtim durumu]="Egitime  devem eden")+(Personnel[Egtim durumu]="Egitime alinacak")+(Personnel[Egtim durumu]="sinavi hazir")),ROWS($K$7:K25)),"")</f>
        <v>737</v>
      </c>
    </row>
    <row r="26" spans="1:11" x14ac:dyDescent="0.25">
      <c r="A26" s="28">
        <f>IFERROR(INDEX(Personnel[Sicil],$K26),"")</f>
        <v>646802</v>
      </c>
      <c r="B26" s="29" t="str">
        <f>IFERROR(INDEX(Personnel[Adi Soyadi],$K26),"")</f>
        <v>Жуллибаев Шахзод Асадулла Угли</v>
      </c>
      <c r="C26" s="28" t="str">
        <f>IFERROR(INDEX(Personnel[Vatandaslik],$K26),"")</f>
        <v>УЗБЕКИСТАН</v>
      </c>
      <c r="D26" s="28" t="str">
        <f>IFERROR(INDEX(Personnel[Santiye],$K26),"")</f>
        <v>GPP Proje</v>
      </c>
      <c r="E26" s="28" t="str">
        <f>IFERROR(INDEX(Personnel[Ogretmen],$K26),"")</f>
        <v>Ziazetdinov Arslan/ Валерия Алексеева</v>
      </c>
      <c r="F26" s="29" t="str">
        <f>IFERROR(INDEX(Personnel[[Sinav ]],$K26),"")</f>
        <v>Ic testimizden gecemedi 18.08.2026</v>
      </c>
      <c r="G26" s="29" t="str">
        <f>IFERROR(INDEX(Personnel[Egtim durumu],$K26),"")</f>
        <v>Egitime  devem eden</v>
      </c>
      <c r="H26" s="29" t="str">
        <f>IFERROR(INDEX(Personnel[Shohruh Not],$K26),"")</f>
        <v>-</v>
      </c>
      <c r="I26" s="30">
        <f ca="1">IFERROR(INDEX(Personnel[Дней в РФ],$K26),"")</f>
        <v>11</v>
      </c>
      <c r="K26" s="23">
        <f t="array" ref="K26">IFERROR(_xlfn.AGGREGATE(15,6,(ROW(Personnel[Egtim durumu])-MIN(ROW(Personnel[Egtim durumu]))+1)/((Personnel[Egtim durumu]="Egitime  devem eden")+(Personnel[Egtim durumu]="Egitime alinacak")+(Personnel[Egtim durumu]="sinavi hazir")),ROWS($K$7:K26)),"")</f>
        <v>738</v>
      </c>
    </row>
    <row r="27" spans="1:11" x14ac:dyDescent="0.25">
      <c r="A27" s="18">
        <f>IFERROR(INDEX(Personnel[Sicil],$K27),"")</f>
        <v>646804</v>
      </c>
      <c r="B27" s="17" t="str">
        <f>IFERROR(INDEX(Personnel[Adi Soyadi],$K27),"")</f>
        <v>Косимов Музаффар Мехмоналиевич</v>
      </c>
      <c r="C27" s="18" t="str">
        <f>IFERROR(INDEX(Personnel[Vatandaslik],$K27),"")</f>
        <v>УЗБЕКИСТАН</v>
      </c>
      <c r="D27" s="18" t="str">
        <f>IFERROR(INDEX(Personnel[Santiye],$K27),"")</f>
        <v>GPP Proje</v>
      </c>
      <c r="E27" s="18" t="str">
        <f>IFERROR(INDEX(Personnel[Ogretmen],$K27),"")</f>
        <v>Ziazetdinov Arslan/ Валерия Алексеева</v>
      </c>
      <c r="F27" s="17" t="str">
        <f>IFERROR(INDEX(Personnel[[Sinav ]],$K27),"")</f>
        <v>Ic testimizden gecemedi 18.08.2026</v>
      </c>
      <c r="G27" s="17" t="str">
        <f>IFERROR(INDEX(Personnel[Egtim durumu],$K27),"")</f>
        <v>Egitime  devem eden</v>
      </c>
      <c r="H27" s="17" t="str">
        <f>IFERROR(INDEX(Personnel[Shohruh Not],$K27),"")</f>
        <v>-</v>
      </c>
      <c r="I27" s="22">
        <f ca="1">IFERROR(INDEX(Personnel[Дней в РФ],$K27),"")</f>
        <v>11</v>
      </c>
      <c r="K27" s="23">
        <f t="array" ref="K27">IFERROR(_xlfn.AGGREGATE(15,6,(ROW(Personnel[Egtim durumu])-MIN(ROW(Personnel[Egtim durumu]))+1)/((Personnel[Egtim durumu]="Egitime  devem eden")+(Personnel[Egtim durumu]="Egitime alinacak")+(Personnel[Egtim durumu]="sinavi hazir")),ROWS($K$7:K27)),"")</f>
        <v>740</v>
      </c>
    </row>
    <row r="28" spans="1:11" x14ac:dyDescent="0.25">
      <c r="A28" s="28">
        <f>IFERROR(INDEX(Personnel[Sicil],$K28),"")</f>
        <v>646807</v>
      </c>
      <c r="B28" s="29" t="str">
        <f>IFERROR(INDEX(Personnel[Adi Soyadi],$K28),"")</f>
        <v>Косимов Отабек Абдухалилович</v>
      </c>
      <c r="C28" s="28" t="str">
        <f>IFERROR(INDEX(Personnel[Vatandaslik],$K28),"")</f>
        <v>УЗБЕКИСТАН</v>
      </c>
      <c r="D28" s="28" t="str">
        <f>IFERROR(INDEX(Personnel[Santiye],$K28),"")</f>
        <v>GPP Proje</v>
      </c>
      <c r="E28" s="28" t="str">
        <f>IFERROR(INDEX(Personnel[Ogretmen],$K28),"")</f>
        <v xml:space="preserve">Ziazetdinov Arslan </v>
      </c>
      <c r="F28" s="29" t="str">
        <f>IFERROR(INDEX(Personnel[[Sinav ]],$K28),"")</f>
        <v>-</v>
      </c>
      <c r="G28" s="29" t="str">
        <f>IFERROR(INDEX(Personnel[Egtim durumu],$K28),"")</f>
        <v>sinavi hazir</v>
      </c>
      <c r="H28" s="29" t="str">
        <f>IFERROR(INDEX(Personnel[Shohruh Not],$K28),"")</f>
        <v>-</v>
      </c>
      <c r="I28" s="30">
        <f ca="1">IFERROR(INDEX(Personnel[Дней в РФ],$K28),"")</f>
        <v>11</v>
      </c>
      <c r="K28" s="23">
        <f t="array" ref="K28">IFERROR(_xlfn.AGGREGATE(15,6,(ROW(Personnel[Egtim durumu])-MIN(ROW(Personnel[Egtim durumu]))+1)/((Personnel[Egtim durumu]="Egitime  devem eden")+(Personnel[Egtim durumu]="Egitime alinacak")+(Personnel[Egtim durumu]="sinavi hazir")),ROWS($K$7:K28)),"")</f>
        <v>741</v>
      </c>
    </row>
    <row r="29" spans="1:11" x14ac:dyDescent="0.25">
      <c r="A29" s="18">
        <f>IFERROR(INDEX(Personnel[Sicil],$K29),"")</f>
        <v>646795</v>
      </c>
      <c r="B29" s="17" t="str">
        <f>IFERROR(INDEX(Personnel[Adi Soyadi],$K29),"")</f>
        <v>Курязов Алишер Пархатович</v>
      </c>
      <c r="C29" s="18" t="str">
        <f>IFERROR(INDEX(Personnel[Vatandaslik],$K29),"")</f>
        <v>УЗБЕКИСТАН</v>
      </c>
      <c r="D29" s="18" t="str">
        <f>IFERROR(INDEX(Personnel[Santiye],$K29),"")</f>
        <v>GPP Proje</v>
      </c>
      <c r="E29" s="18" t="str">
        <f>IFERROR(INDEX(Personnel[Ogretmen],$K29),"")</f>
        <v>Ziazetdinov Arslan/ Валерия Алексеева</v>
      </c>
      <c r="F29" s="17" t="str">
        <f>IFERROR(INDEX(Personnel[[Sinav ]],$K29),"")</f>
        <v>Ic testimizden gecemedi 18.08.2026</v>
      </c>
      <c r="G29" s="17" t="str">
        <f>IFERROR(INDEX(Personnel[Egtim durumu],$K29),"")</f>
        <v>Egitime  devem eden</v>
      </c>
      <c r="H29" s="17" t="str">
        <f>IFERROR(INDEX(Personnel[Shohruh Not],$K29),"")</f>
        <v>-</v>
      </c>
      <c r="I29" s="22">
        <f ca="1">IFERROR(INDEX(Personnel[Дней в РФ],$K29),"")</f>
        <v>11</v>
      </c>
      <c r="K29" s="23">
        <f t="array" ref="K29">IFERROR(_xlfn.AGGREGATE(15,6,(ROW(Personnel[Egtim durumu])-MIN(ROW(Personnel[Egtim durumu]))+1)/((Personnel[Egtim durumu]="Egitime  devem eden")+(Personnel[Egtim durumu]="Egitime alinacak")+(Personnel[Egtim durumu]="sinavi hazir")),ROWS($K$7:K29)),"")</f>
        <v>742</v>
      </c>
    </row>
    <row r="30" spans="1:11" x14ac:dyDescent="0.25">
      <c r="A30" s="28">
        <f>IFERROR(INDEX(Personnel[Sicil],$K30),"")</f>
        <v>646743</v>
      </c>
      <c r="B30" s="29" t="str">
        <f>IFERROR(INDEX(Personnel[Adi Soyadi],$K30),"")</f>
        <v>Латифли Джавидан Сабир Оглы</v>
      </c>
      <c r="C30" s="28" t="str">
        <f>IFERROR(INDEX(Personnel[Vatandaslik],$K30),"")</f>
        <v>АЗЕРБАЙДЖАН</v>
      </c>
      <c r="D30" s="28" t="str">
        <f>IFERROR(INDEX(Personnel[Santiye],$K30),"")</f>
        <v>GPP Proje</v>
      </c>
      <c r="E30" s="28" t="str">
        <f>IFERROR(INDEX(Personnel[Ogretmen],$K30),"")</f>
        <v>Валерия Алексеева</v>
      </c>
      <c r="F30" s="29" t="str">
        <f>IFERROR(INDEX(Personnel[[Sinav ]],$K30),"")</f>
        <v>-</v>
      </c>
      <c r="G30" s="29" t="str">
        <f>IFERROR(INDEX(Personnel[Egtim durumu],$K30),"")</f>
        <v>Egitime  devem eden</v>
      </c>
      <c r="H30" s="29" t="str">
        <f>IFERROR(INDEX(Personnel[Shohruh Not],$K30),"")</f>
        <v>-</v>
      </c>
      <c r="I30" s="30">
        <f ca="1">IFERROR(INDEX(Personnel[Дней в РФ],$K30),"")</f>
        <v>9</v>
      </c>
      <c r="K30" s="23">
        <f t="array" ref="K30">IFERROR(_xlfn.AGGREGATE(15,6,(ROW(Personnel[Egtim durumu])-MIN(ROW(Personnel[Egtim durumu]))+1)/((Personnel[Egtim durumu]="Egitime  devem eden")+(Personnel[Egtim durumu]="Egitime alinacak")+(Personnel[Egtim durumu]="sinavi hazir")),ROWS($K$7:K30)),"")</f>
        <v>743</v>
      </c>
    </row>
    <row r="31" spans="1:11" x14ac:dyDescent="0.25">
      <c r="A31" s="18">
        <f>IFERROR(INDEX(Personnel[Sicil],$K31),"")</f>
        <v>646818</v>
      </c>
      <c r="B31" s="17" t="str">
        <f>IFERROR(INDEX(Personnel[Adi Soyadi],$K31),"")</f>
        <v>Матчанов Жавохир Муродбек Угли</v>
      </c>
      <c r="C31" s="18" t="str">
        <f>IFERROR(INDEX(Personnel[Vatandaslik],$K31),"")</f>
        <v>УЗБЕКИСТАН</v>
      </c>
      <c r="D31" s="18" t="str">
        <f>IFERROR(INDEX(Personnel[Santiye],$K31),"")</f>
        <v>GPP Proje</v>
      </c>
      <c r="E31" s="18" t="str">
        <f>IFERROR(INDEX(Personnel[Ogretmen],$K31),"")</f>
        <v>Ziazetdinov Arslan/ Валерия Алексеева</v>
      </c>
      <c r="F31" s="17" t="str">
        <f>IFERROR(INDEX(Personnel[[Sinav ]],$K31),"")</f>
        <v>Ic testimizden gecemedi 18.08.2026</v>
      </c>
      <c r="G31" s="17" t="str">
        <f>IFERROR(INDEX(Personnel[Egtim durumu],$K31),"")</f>
        <v>Egitime  devem eden</v>
      </c>
      <c r="H31" s="17" t="str">
        <f>IFERROR(INDEX(Personnel[Shohruh Not],$K31),"")</f>
        <v>-</v>
      </c>
      <c r="I31" s="22">
        <f ca="1">IFERROR(INDEX(Personnel[Дней в РФ],$K31),"")</f>
        <v>11</v>
      </c>
      <c r="K31" s="23">
        <f t="array" ref="K31">IFERROR(_xlfn.AGGREGATE(15,6,(ROW(Personnel[Egtim durumu])-MIN(ROW(Personnel[Egtim durumu]))+1)/((Personnel[Egtim durumu]="Egitime  devem eden")+(Personnel[Egtim durumu]="Egitime alinacak")+(Personnel[Egtim durumu]="sinavi hazir")),ROWS($K$7:K31)),"")</f>
        <v>744</v>
      </c>
    </row>
    <row r="32" spans="1:11" x14ac:dyDescent="0.25">
      <c r="A32" s="28">
        <f>IFERROR(INDEX(Personnel[Sicil],$K32),"")</f>
        <v>544197</v>
      </c>
      <c r="B32" s="29" t="str">
        <f>IFERROR(INDEX(Personnel[Adi Soyadi],$K32),"")</f>
        <v>Матякубов Ихтиёр Бахтиярович</v>
      </c>
      <c r="C32" s="28" t="str">
        <f>IFERROR(INDEX(Personnel[Vatandaslik],$K32),"")</f>
        <v>УЗБЕКИСТАН</v>
      </c>
      <c r="D32" s="28" t="str">
        <f>IFERROR(INDEX(Personnel[Santiye],$K32),"")</f>
        <v>GPP Proje</v>
      </c>
      <c r="E32" s="28" t="str">
        <f>IFERROR(INDEX(Personnel[Ogretmen],$K32),"")</f>
        <v xml:space="preserve">Ziazetdinov Arslan </v>
      </c>
      <c r="F32" s="29" t="str">
        <f>IFERROR(INDEX(Personnel[[Sinav ]],$K32),"")</f>
        <v>-</v>
      </c>
      <c r="G32" s="29" t="str">
        <f>IFERROR(INDEX(Personnel[Egtim durumu],$K32),"")</f>
        <v>sinavi hazir</v>
      </c>
      <c r="H32" s="29" t="str">
        <f>IFERROR(INDEX(Personnel[Shohruh Not],$K32),"")</f>
        <v>-</v>
      </c>
      <c r="I32" s="30">
        <f ca="1">IFERROR(INDEX(Personnel[Дней в РФ],$K32),"")</f>
        <v>11</v>
      </c>
      <c r="K32" s="23">
        <f t="array" ref="K32">IFERROR(_xlfn.AGGREGATE(15,6,(ROW(Personnel[Egtim durumu])-MIN(ROW(Personnel[Egtim durumu]))+1)/((Personnel[Egtim durumu]="Egitime  devem eden")+(Personnel[Egtim durumu]="Egitime alinacak")+(Personnel[Egtim durumu]="sinavi hazir")),ROWS($K$7:K32)),"")</f>
        <v>745</v>
      </c>
    </row>
    <row r="33" spans="1:11" x14ac:dyDescent="0.25">
      <c r="A33" s="18">
        <f>IFERROR(INDEX(Personnel[Sicil],$K33),"")</f>
        <v>646788</v>
      </c>
      <c r="B33" s="17" t="str">
        <f>IFERROR(INDEX(Personnel[Adi Soyadi],$K33),"")</f>
        <v>Норбоев Мухиддин Шаймардонович</v>
      </c>
      <c r="C33" s="18" t="str">
        <f>IFERROR(INDEX(Personnel[Vatandaslik],$K33),"")</f>
        <v>УЗБЕКИСТАН</v>
      </c>
      <c r="D33" s="18" t="str">
        <f>IFERROR(INDEX(Personnel[Santiye],$K33),"")</f>
        <v>GPP Proje</v>
      </c>
      <c r="E33" s="18" t="str">
        <f>IFERROR(INDEX(Personnel[Ogretmen],$K33),"")</f>
        <v xml:space="preserve">Ziazetdinov Arslan </v>
      </c>
      <c r="F33" s="17" t="str">
        <f>IFERROR(INDEX(Personnel[[Sinav ]],$K33),"")</f>
        <v>-</v>
      </c>
      <c r="G33" s="17" t="str">
        <f>IFERROR(INDEX(Personnel[Egtim durumu],$K33),"")</f>
        <v>sinavi hazir</v>
      </c>
      <c r="H33" s="17" t="str">
        <f>IFERROR(INDEX(Personnel[Shohruh Not],$K33),"")</f>
        <v>-</v>
      </c>
      <c r="I33" s="22">
        <f ca="1">IFERROR(INDEX(Personnel[Дней в РФ],$K33),"")</f>
        <v>12</v>
      </c>
      <c r="K33" s="23">
        <f t="array" ref="K33">IFERROR(_xlfn.AGGREGATE(15,6,(ROW(Personnel[Egtim durumu])-MIN(ROW(Personnel[Egtim durumu]))+1)/((Personnel[Egtim durumu]="Egitime  devem eden")+(Personnel[Egtim durumu]="Egitime alinacak")+(Personnel[Egtim durumu]="sinavi hazir")),ROWS($K$7:K33)),"")</f>
        <v>746</v>
      </c>
    </row>
    <row r="34" spans="1:11" x14ac:dyDescent="0.25">
      <c r="A34" s="28">
        <f>IFERROR(INDEX(Personnel[Sicil],$K34),"")</f>
        <v>646789</v>
      </c>
      <c r="B34" s="29" t="str">
        <f>IFERROR(INDEX(Personnel[Adi Soyadi],$K34),"")</f>
        <v>Норбоев Тулкин Шаймарданович</v>
      </c>
      <c r="C34" s="28" t="str">
        <f>IFERROR(INDEX(Personnel[Vatandaslik],$K34),"")</f>
        <v>УЗБЕКИСТАН</v>
      </c>
      <c r="D34" s="28" t="str">
        <f>IFERROR(INDEX(Personnel[Santiye],$K34),"")</f>
        <v>GPP Proje</v>
      </c>
      <c r="E34" s="28" t="str">
        <f>IFERROR(INDEX(Personnel[Ogretmen],$K34),"")</f>
        <v>Ziazetdinov Arslan/ Валерия Алексеева</v>
      </c>
      <c r="F34" s="29" t="str">
        <f>IFERROR(INDEX(Personnel[[Sinav ]],$K34),"")</f>
        <v>Ic testimizden gecemedi 18.08.2026</v>
      </c>
      <c r="G34" s="29" t="str">
        <f>IFERROR(INDEX(Personnel[Egtim durumu],$K34),"")</f>
        <v>Egitime  devem eden</v>
      </c>
      <c r="H34" s="29" t="str">
        <f>IFERROR(INDEX(Personnel[Shohruh Not],$K34),"")</f>
        <v>-</v>
      </c>
      <c r="I34" s="30">
        <f ca="1">IFERROR(INDEX(Personnel[Дней в РФ],$K34),"")</f>
        <v>12</v>
      </c>
      <c r="K34" s="23">
        <f t="array" ref="K34">IFERROR(_xlfn.AGGREGATE(15,6,(ROW(Personnel[Egtim durumu])-MIN(ROW(Personnel[Egtim durumu]))+1)/((Personnel[Egtim durumu]="Egitime  devem eden")+(Personnel[Egtim durumu]="Egitime alinacak")+(Personnel[Egtim durumu]="sinavi hazir")),ROWS($K$7:K34)),"")</f>
        <v>747</v>
      </c>
    </row>
    <row r="35" spans="1:11" ht="25.5" x14ac:dyDescent="0.25">
      <c r="A35" s="18">
        <f>IFERROR(INDEX(Personnel[Sicil],$K35),"")</f>
        <v>512037</v>
      </c>
      <c r="B35" s="17" t="str">
        <f>IFERROR(INDEX(Personnel[Adi Soyadi],$K35),"")</f>
        <v>Нортоджиев Азамат Махмараджаб угли</v>
      </c>
      <c r="C35" s="18" t="str">
        <f>IFERROR(INDEX(Personnel[Vatandaslik],$K35),"")</f>
        <v>УЗБЕКИСТАН</v>
      </c>
      <c r="D35" s="18" t="str">
        <f>IFERROR(INDEX(Personnel[Santiye],$K35),"")</f>
        <v>GPP Proje</v>
      </c>
      <c r="E35" s="18" t="str">
        <f>IFERROR(INDEX(Personnel[Ogretmen],$K35),"")</f>
        <v>Валерия Алексеева</v>
      </c>
      <c r="F35" s="17" t="str">
        <f>IFERROR(INDEX(Personnel[[Sinav ]],$K35),"")</f>
        <v>-</v>
      </c>
      <c r="G35" s="17" t="str">
        <f>IFERROR(INDEX(Personnel[Egtim durumu],$K35),"")</f>
        <v>Egitime  devem eden</v>
      </c>
      <c r="H35" s="17" t="str">
        <f>IFERROR(INDEX(Personnel[Shohruh Not],$K35),"")</f>
        <v>-</v>
      </c>
      <c r="I35" s="22">
        <f ca="1">IFERROR(INDEX(Personnel[Дней в РФ],$K35),"")</f>
        <v>12</v>
      </c>
      <c r="K35" s="23">
        <f t="array" ref="K35">IFERROR(_xlfn.AGGREGATE(15,6,(ROW(Personnel[Egtim durumu])-MIN(ROW(Personnel[Egtim durumu]))+1)/((Personnel[Egtim durumu]="Egitime  devem eden")+(Personnel[Egtim durumu]="Egitime alinacak")+(Personnel[Egtim durumu]="sinavi hazir")),ROWS($K$7:K35)),"")</f>
        <v>748</v>
      </c>
    </row>
    <row r="36" spans="1:11" ht="25.5" x14ac:dyDescent="0.25">
      <c r="A36" s="28">
        <f>IFERROR(INDEX(Personnel[Sicil],$K36),"")</f>
        <v>646810</v>
      </c>
      <c r="B36" s="29" t="str">
        <f>IFERROR(INDEX(Personnel[Adi Soyadi],$K36),"")</f>
        <v>Оллаберганов Максадбек Шухрат Угли</v>
      </c>
      <c r="C36" s="28" t="str">
        <f>IFERROR(INDEX(Personnel[Vatandaslik],$K36),"")</f>
        <v>УЗБЕКИСТАН</v>
      </c>
      <c r="D36" s="28" t="str">
        <f>IFERROR(INDEX(Personnel[Santiye],$K36),"")</f>
        <v>GPP Proje</v>
      </c>
      <c r="E36" s="28" t="str">
        <f>IFERROR(INDEX(Personnel[Ogretmen],$K36),"")</f>
        <v xml:space="preserve">Ziazetdinov Arslan </v>
      </c>
      <c r="F36" s="29" t="str">
        <f>IFERROR(INDEX(Personnel[[Sinav ]],$K36),"")</f>
        <v>Ic testimizden gecemedi 18.08.2026</v>
      </c>
      <c r="G36" s="29" t="str">
        <f>IFERROR(INDEX(Personnel[Egtim durumu],$K36),"")</f>
        <v>Egitime  devem eden</v>
      </c>
      <c r="H36" s="29" t="str">
        <f>IFERROR(INDEX(Personnel[Shohruh Not],$K36),"")</f>
        <v>-</v>
      </c>
      <c r="I36" s="30">
        <f ca="1">IFERROR(INDEX(Personnel[Дней в РФ],$K36),"")</f>
        <v>11</v>
      </c>
      <c r="K36" s="23">
        <f t="array" ref="K36">IFERROR(_xlfn.AGGREGATE(15,6,(ROW(Personnel[Egtim durumu])-MIN(ROW(Personnel[Egtim durumu]))+1)/((Personnel[Egtim durumu]="Egitime  devem eden")+(Personnel[Egtim durumu]="Egitime alinacak")+(Personnel[Egtim durumu]="sinavi hazir")),ROWS($K$7:K36)),"")</f>
        <v>749</v>
      </c>
    </row>
    <row r="37" spans="1:11" x14ac:dyDescent="0.25">
      <c r="A37" s="18">
        <f>IFERROR(INDEX(Personnel[Sicil],$K37),"")</f>
        <v>571022</v>
      </c>
      <c r="B37" s="17" t="str">
        <f>IFERROR(INDEX(Personnel[Adi Soyadi],$K37),"")</f>
        <v>Рузатов Фарход Кодирович</v>
      </c>
      <c r="C37" s="18" t="str">
        <f>IFERROR(INDEX(Personnel[Vatandaslik],$K37),"")</f>
        <v>УЗБЕКИСТАН</v>
      </c>
      <c r="D37" s="18" t="str">
        <f>IFERROR(INDEX(Personnel[Santiye],$K37),"")</f>
        <v>GPP Proje</v>
      </c>
      <c r="E37" s="18" t="str">
        <f>IFERROR(INDEX(Personnel[Ogretmen],$K37),"")</f>
        <v xml:space="preserve">Ziazetdinov Arslan </v>
      </c>
      <c r="F37" s="17" t="str">
        <f>IFERROR(INDEX(Personnel[[Sinav ]],$K37),"")</f>
        <v>-</v>
      </c>
      <c r="G37" s="17" t="str">
        <f>IFERROR(INDEX(Personnel[Egtim durumu],$K37),"")</f>
        <v>sinavi hazir</v>
      </c>
      <c r="H37" s="17" t="str">
        <f>IFERROR(INDEX(Personnel[Shohruh Not],$K37),"")</f>
        <v>-</v>
      </c>
      <c r="I37" s="22">
        <f ca="1">IFERROR(INDEX(Personnel[Дней в РФ],$K37),"")</f>
        <v>12</v>
      </c>
      <c r="K37" s="23">
        <f t="array" ref="K37">IFERROR(_xlfn.AGGREGATE(15,6,(ROW(Personnel[Egtim durumu])-MIN(ROW(Personnel[Egtim durumu]))+1)/((Personnel[Egtim durumu]="Egitime  devem eden")+(Personnel[Egtim durumu]="Egitime alinacak")+(Personnel[Egtim durumu]="sinavi hazir")),ROWS($K$7:K37)),"")</f>
        <v>750</v>
      </c>
    </row>
    <row r="38" spans="1:11" x14ac:dyDescent="0.25">
      <c r="A38" s="28">
        <f>IFERROR(INDEX(Personnel[Sicil],$K38),"")</f>
        <v>613164</v>
      </c>
      <c r="B38" s="29" t="str">
        <f>IFERROR(INDEX(Personnel[Adi Soyadi],$K38),"")</f>
        <v>Сапаров Сайдилла Ашурович</v>
      </c>
      <c r="C38" s="28" t="str">
        <f>IFERROR(INDEX(Personnel[Vatandaslik],$K38),"")</f>
        <v>УЗБЕКИСТАН</v>
      </c>
      <c r="D38" s="28" t="str">
        <f>IFERROR(INDEX(Personnel[Santiye],$K38),"")</f>
        <v>GPP Proje</v>
      </c>
      <c r="E38" s="28" t="str">
        <f>IFERROR(INDEX(Personnel[Ogretmen],$K38),"")</f>
        <v xml:space="preserve">Ziazetdinov Arslan </v>
      </c>
      <c r="F38" s="29" t="str">
        <f>IFERROR(INDEX(Personnel[[Sinav ]],$K38),"")</f>
        <v>Ic testimizden gecemedi 18.08.2026</v>
      </c>
      <c r="G38" s="29" t="str">
        <f>IFERROR(INDEX(Personnel[Egtim durumu],$K38),"")</f>
        <v>Egitime  devem eden</v>
      </c>
      <c r="H38" s="29" t="str">
        <f>IFERROR(INDEX(Personnel[Shohruh Not],$K38),"")</f>
        <v>-</v>
      </c>
      <c r="I38" s="30">
        <f ca="1">IFERROR(INDEX(Personnel[Дней в РФ],$K38),"")</f>
        <v>11</v>
      </c>
      <c r="K38" s="23">
        <f t="array" ref="K38">IFERROR(_xlfn.AGGREGATE(15,6,(ROW(Personnel[Egtim durumu])-MIN(ROW(Personnel[Egtim durumu]))+1)/((Personnel[Egtim durumu]="Egitime  devem eden")+(Personnel[Egtim durumu]="Egitime alinacak")+(Personnel[Egtim durumu]="sinavi hazir")),ROWS($K$7:K38)),"")</f>
        <v>752</v>
      </c>
    </row>
    <row r="39" spans="1:11" ht="25.5" x14ac:dyDescent="0.25">
      <c r="A39" s="18">
        <f>IFERROR(INDEX(Personnel[Sicil],$K39),"")</f>
        <v>646816</v>
      </c>
      <c r="B39" s="17" t="str">
        <f>IFERROR(INDEX(Personnel[Adi Soyadi],$K39),"")</f>
        <v>Сулаймонов Шахбозбек Шавкатжон Угли</v>
      </c>
      <c r="C39" s="18" t="str">
        <f>IFERROR(INDEX(Personnel[Vatandaslik],$K39),"")</f>
        <v>УЗБЕКИСТАН</v>
      </c>
      <c r="D39" s="18" t="str">
        <f>IFERROR(INDEX(Personnel[Santiye],$K39),"")</f>
        <v>GPP Proje</v>
      </c>
      <c r="E39" s="18" t="str">
        <f>IFERROR(INDEX(Personnel[Ogretmen],$K39),"")</f>
        <v xml:space="preserve">Ziazetdinov Arslan </v>
      </c>
      <c r="F39" s="17" t="str">
        <f>IFERROR(INDEX(Personnel[[Sinav ]],$K39),"")</f>
        <v>-</v>
      </c>
      <c r="G39" s="17" t="str">
        <f>IFERROR(INDEX(Personnel[Egtim durumu],$K39),"")</f>
        <v>sinavi hazir</v>
      </c>
      <c r="H39" s="17" t="str">
        <f>IFERROR(INDEX(Personnel[Shohruh Not],$K39),"")</f>
        <v>-</v>
      </c>
      <c r="I39" s="22">
        <f ca="1">IFERROR(INDEX(Personnel[Дней в РФ],$K39),"")</f>
        <v>11</v>
      </c>
      <c r="K39" s="23">
        <f t="array" ref="K39">IFERROR(_xlfn.AGGREGATE(15,6,(ROW(Personnel[Egtim durumu])-MIN(ROW(Personnel[Egtim durumu]))+1)/((Personnel[Egtim durumu]="Egitime  devem eden")+(Personnel[Egtim durumu]="Egitime alinacak")+(Personnel[Egtim durumu]="sinavi hazir")),ROWS($K$7:K39)),"")</f>
        <v>753</v>
      </c>
    </row>
    <row r="40" spans="1:11" ht="25.5" x14ac:dyDescent="0.25">
      <c r="A40" s="28">
        <f>IFERROR(INDEX(Personnel[Sicil],$K40),"")</f>
        <v>646790</v>
      </c>
      <c r="B40" s="29" t="str">
        <f>IFERROR(INDEX(Personnel[Adi Soyadi],$K40),"")</f>
        <v>Хакимов Исомиддин Шаймордон Угли</v>
      </c>
      <c r="C40" s="28" t="str">
        <f>IFERROR(INDEX(Personnel[Vatandaslik],$K40),"")</f>
        <v>УЗБЕКИСТАН</v>
      </c>
      <c r="D40" s="28" t="str">
        <f>IFERROR(INDEX(Personnel[Santiye],$K40),"")</f>
        <v>GPP Proje</v>
      </c>
      <c r="E40" s="28" t="str">
        <f>IFERROR(INDEX(Personnel[Ogretmen],$K40),"")</f>
        <v xml:space="preserve">Ziazetdinov Arslan </v>
      </c>
      <c r="F40" s="29" t="str">
        <f>IFERROR(INDEX(Personnel[[Sinav ]],$K40),"")</f>
        <v>-</v>
      </c>
      <c r="G40" s="29" t="str">
        <f>IFERROR(INDEX(Personnel[Egtim durumu],$K40),"")</f>
        <v>sinavi hazir</v>
      </c>
      <c r="H40" s="29" t="str">
        <f>IFERROR(INDEX(Personnel[Shohruh Not],$K40),"")</f>
        <v>-</v>
      </c>
      <c r="I40" s="30">
        <f ca="1">IFERROR(INDEX(Personnel[Дней в РФ],$K40),"")</f>
        <v>12</v>
      </c>
      <c r="K40" s="23">
        <f t="array" ref="K40">IFERROR(_xlfn.AGGREGATE(15,6,(ROW(Personnel[Egtim durumu])-MIN(ROW(Personnel[Egtim durumu]))+1)/((Personnel[Egtim durumu]="Egitime  devem eden")+(Personnel[Egtim durumu]="Egitime alinacak")+(Personnel[Egtim durumu]="sinavi hazir")),ROWS($K$7:K40)),"")</f>
        <v>754</v>
      </c>
    </row>
    <row r="41" spans="1:11" x14ac:dyDescent="0.25">
      <c r="A41" s="18">
        <f>IFERROR(INDEX(Personnel[Sicil],$K41),"")</f>
        <v>646820</v>
      </c>
      <c r="B41" s="17" t="str">
        <f>IFERROR(INDEX(Personnel[Adi Soyadi],$K41),"")</f>
        <v>Хожаев Хожаназар Айытназар Угли</v>
      </c>
      <c r="C41" s="18" t="str">
        <f>IFERROR(INDEX(Personnel[Vatandaslik],$K41),"")</f>
        <v>УЗБЕКИСТАН</v>
      </c>
      <c r="D41" s="18" t="str">
        <f>IFERROR(INDEX(Personnel[Santiye],$K41),"")</f>
        <v>GPP Proje</v>
      </c>
      <c r="E41" s="18" t="str">
        <f>IFERROR(INDEX(Personnel[Ogretmen],$K41),"")</f>
        <v>Ziazetdinov Arslan/ Валерия Алексеева</v>
      </c>
      <c r="F41" s="17" t="str">
        <f>IFERROR(INDEX(Personnel[[Sinav ]],$K41),"")</f>
        <v>Ic testimizden gecemedi 18.08.2026</v>
      </c>
      <c r="G41" s="17" t="str">
        <f>IFERROR(INDEX(Personnel[Egtim durumu],$K41),"")</f>
        <v>Egitime  devem eden</v>
      </c>
      <c r="H41" s="17" t="str">
        <f>IFERROR(INDEX(Personnel[Shohruh Not],$K41),"")</f>
        <v>-</v>
      </c>
      <c r="I41" s="22">
        <f ca="1">IFERROR(INDEX(Personnel[Дней в РФ],$K41),"")</f>
        <v>11</v>
      </c>
      <c r="K41" s="23">
        <f t="array" ref="K41">IFERROR(_xlfn.AGGREGATE(15,6,(ROW(Personnel[Egtim durumu])-MIN(ROW(Personnel[Egtim durumu]))+1)/((Personnel[Egtim durumu]="Egitime  devem eden")+(Personnel[Egtim durumu]="Egitime alinacak")+(Personnel[Egtim durumu]="sinavi hazir")),ROWS($K$7:K41)),"")</f>
        <v>755</v>
      </c>
    </row>
    <row r="42" spans="1:11" x14ac:dyDescent="0.25">
      <c r="A42" s="28">
        <f>IFERROR(INDEX(Personnel[Sicil],$K42),"")</f>
        <v>646792</v>
      </c>
      <c r="B42" s="29" t="str">
        <f>IFERROR(INDEX(Personnel[Adi Soyadi],$K42),"")</f>
        <v>Холбоев Рустомжон Тухтаевич</v>
      </c>
      <c r="C42" s="28" t="str">
        <f>IFERROR(INDEX(Personnel[Vatandaslik],$K42),"")</f>
        <v>УЗБЕКИСТАН</v>
      </c>
      <c r="D42" s="28" t="str">
        <f>IFERROR(INDEX(Personnel[Santiye],$K42),"")</f>
        <v>GPP Proje</v>
      </c>
      <c r="E42" s="28" t="str">
        <f>IFERROR(INDEX(Personnel[Ogretmen],$K42),"")</f>
        <v>Ziazetdinov Arslan/ Валерия Алексеева</v>
      </c>
      <c r="F42" s="29" t="str">
        <f>IFERROR(INDEX(Personnel[[Sinav ]],$K42),"")</f>
        <v>Ic testimizden gecemedi 18.08.2026</v>
      </c>
      <c r="G42" s="29" t="str">
        <f>IFERROR(INDEX(Personnel[Egtim durumu],$K42),"")</f>
        <v>Egitime  devem eden</v>
      </c>
      <c r="H42" s="29" t="str">
        <f>IFERROR(INDEX(Personnel[Shohruh Not],$K42),"")</f>
        <v>-</v>
      </c>
      <c r="I42" s="30">
        <f ca="1">IFERROR(INDEX(Personnel[Дней в РФ],$K42),"")</f>
        <v>12</v>
      </c>
      <c r="K42" s="23">
        <f t="array" ref="K42">IFERROR(_xlfn.AGGREGATE(15,6,(ROW(Personnel[Egtim durumu])-MIN(ROW(Personnel[Egtim durumu]))+1)/((Personnel[Egtim durumu]="Egitime  devem eden")+(Personnel[Egtim durumu]="Egitime alinacak")+(Personnel[Egtim durumu]="sinavi hazir")),ROWS($K$7:K42)),"")</f>
        <v>756</v>
      </c>
    </row>
    <row r="43" spans="1:11" x14ac:dyDescent="0.25">
      <c r="A43" s="18">
        <f>IFERROR(INDEX(Personnel[Sicil],$K43),"")</f>
        <v>646796</v>
      </c>
      <c r="B43" s="17" t="str">
        <f>IFERROR(INDEX(Personnel[Adi Soyadi],$K43),"")</f>
        <v>Худайбердиев Сохбет Базарбаевич</v>
      </c>
      <c r="C43" s="18" t="str">
        <f>IFERROR(INDEX(Personnel[Vatandaslik],$K43),"")</f>
        <v>УЗБЕКИСТАН</v>
      </c>
      <c r="D43" s="18" t="str">
        <f>IFERROR(INDEX(Personnel[Santiye],$K43),"")</f>
        <v>GPP Proje</v>
      </c>
      <c r="E43" s="18" t="str">
        <f>IFERROR(INDEX(Personnel[Ogretmen],$K43),"")</f>
        <v>Ziazetdinov Arslan/ Валерия Алексеева</v>
      </c>
      <c r="F43" s="17" t="str">
        <f>IFERROR(INDEX(Personnel[[Sinav ]],$K43),"")</f>
        <v>Ic testimizden gecemedi 18.08.2026</v>
      </c>
      <c r="G43" s="17" t="str">
        <f>IFERROR(INDEX(Personnel[Egtim durumu],$K43),"")</f>
        <v>Egitime  devem eden</v>
      </c>
      <c r="H43" s="17" t="str">
        <f>IFERROR(INDEX(Personnel[Shohruh Not],$K43),"")</f>
        <v>-</v>
      </c>
      <c r="I43" s="22">
        <f ca="1">IFERROR(INDEX(Personnel[Дней в РФ],$K43),"")</f>
        <v>11</v>
      </c>
      <c r="K43" s="23">
        <f t="array" ref="K43">IFERROR(_xlfn.AGGREGATE(15,6,(ROW(Personnel[Egtim durumu])-MIN(ROW(Personnel[Egtim durumu]))+1)/((Personnel[Egtim durumu]="Egitime  devem eden")+(Personnel[Egtim durumu]="Egitime alinacak")+(Personnel[Egtim durumu]="sinavi hazir")),ROWS($K$7:K43)),"")</f>
        <v>757</v>
      </c>
    </row>
    <row r="44" spans="1:11" x14ac:dyDescent="0.25">
      <c r="A44" s="28">
        <f>IFERROR(INDEX(Personnel[Sicil],$K44),"")</f>
        <v>646808</v>
      </c>
      <c r="B44" s="29" t="str">
        <f>IFERROR(INDEX(Personnel[Adi Soyadi],$K44),"")</f>
        <v>Эшонкулов Акмал Очилович</v>
      </c>
      <c r="C44" s="28" t="str">
        <f>IFERROR(INDEX(Personnel[Vatandaslik],$K44),"")</f>
        <v>УЗБЕКИСТАН</v>
      </c>
      <c r="D44" s="28" t="str">
        <f>IFERROR(INDEX(Personnel[Santiye],$K44),"")</f>
        <v>GPP Proje</v>
      </c>
      <c r="E44" s="28" t="str">
        <f>IFERROR(INDEX(Personnel[Ogretmen],$K44),"")</f>
        <v>Ziazetdinov Arslan/ Валерия Алексеева</v>
      </c>
      <c r="F44" s="29" t="str">
        <f>IFERROR(INDEX(Personnel[[Sinav ]],$K44),"")</f>
        <v>Ic testimizden gecemedi 18.08.2026</v>
      </c>
      <c r="G44" s="29" t="str">
        <f>IFERROR(INDEX(Personnel[Egtim durumu],$K44),"")</f>
        <v>Egitime  devem eden</v>
      </c>
      <c r="H44" s="29" t="str">
        <f>IFERROR(INDEX(Personnel[Shohruh Not],$K44),"")</f>
        <v>-</v>
      </c>
      <c r="I44" s="30">
        <f ca="1">IFERROR(INDEX(Personnel[Дней в РФ],$K44),"")</f>
        <v>11</v>
      </c>
      <c r="K44" s="23">
        <f t="array" ref="K44">IFERROR(_xlfn.AGGREGATE(15,6,(ROW(Personnel[Egtim durumu])-MIN(ROW(Personnel[Egtim durumu]))+1)/((Personnel[Egtim durumu]="Egitime  devem eden")+(Personnel[Egtim durumu]="Egitime alinacak")+(Personnel[Egtim durumu]="sinavi hazir")),ROWS($K$7:K44)),"")</f>
        <v>758</v>
      </c>
    </row>
    <row r="45" spans="1:11" x14ac:dyDescent="0.25">
      <c r="A45" s="18">
        <f>IFERROR(INDEX(Personnel[Sicil],$K45),"")</f>
        <v>646776</v>
      </c>
      <c r="B45" s="17" t="str">
        <f>IFERROR(INDEX(Personnel[Adi Soyadi],$K45),"")</f>
        <v>Юлдашев Мехмонали Пирназарович</v>
      </c>
      <c r="C45" s="18" t="str">
        <f>IFERROR(INDEX(Personnel[Vatandaslik],$K45),"")</f>
        <v>ТАДЖИКИСТАН</v>
      </c>
      <c r="D45" s="18" t="str">
        <f>IFERROR(INDEX(Personnel[Santiye],$K45),"")</f>
        <v>GPP Proje</v>
      </c>
      <c r="E45" s="18" t="str">
        <f>IFERROR(INDEX(Personnel[Ogretmen],$K45),"")</f>
        <v>Ziazetdinov Arslan/ Валерия Алексеева</v>
      </c>
      <c r="F45" s="17" t="str">
        <f>IFERROR(INDEX(Personnel[[Sinav ]],$K45),"")</f>
        <v>Ic testimizden gecemedi 18.08.2026</v>
      </c>
      <c r="G45" s="17" t="str">
        <f>IFERROR(INDEX(Personnel[Egtim durumu],$K45),"")</f>
        <v>Egitime  devem eden</v>
      </c>
      <c r="H45" s="17" t="str">
        <f>IFERROR(INDEX(Personnel[Shohruh Not],$K45),"")</f>
        <v>-</v>
      </c>
      <c r="I45" s="22">
        <f ca="1">IFERROR(INDEX(Personnel[Дней в РФ],$K45),"")</f>
        <v>11</v>
      </c>
      <c r="K45" s="23">
        <f t="array" ref="K45">IFERROR(_xlfn.AGGREGATE(15,6,(ROW(Personnel[Egtim durumu])-MIN(ROW(Personnel[Egtim durumu]))+1)/((Personnel[Egtim durumu]="Egitime  devem eden")+(Personnel[Egtim durumu]="Egitime alinacak")+(Personnel[Egtim durumu]="sinavi hazir")),ROWS($K$7:K45)),"")</f>
        <v>759</v>
      </c>
    </row>
    <row r="46" spans="1:11" x14ac:dyDescent="0.25">
      <c r="A46" s="28">
        <f>IFERROR(INDEX(Personnel[Sicil],$K46),"")</f>
        <v>646859</v>
      </c>
      <c r="B46" s="29" t="str">
        <f>IFERROR(INDEX(Personnel[Adi Soyadi],$K46),"")</f>
        <v>Болтаев Максуд Аширали Угли</v>
      </c>
      <c r="C46" s="28" t="str">
        <f>IFERROR(INDEX(Personnel[Vatandaslik],$K46),"")</f>
        <v>УЗБЕКИСТАН</v>
      </c>
      <c r="D46" s="28" t="str">
        <f>IFERROR(INDEX(Personnel[Santiye],$K46),"")</f>
        <v>GPP Proje</v>
      </c>
      <c r="E46" s="28" t="str">
        <f>IFERROR(INDEX(Personnel[Ogretmen],$K46),"")</f>
        <v>Валерия Алексеева</v>
      </c>
      <c r="F46" s="29" t="str">
        <f>IFERROR(INDEX(Personnel[[Sinav ]],$K46),"")</f>
        <v>-</v>
      </c>
      <c r="G46" s="29" t="str">
        <f>IFERROR(INDEX(Personnel[Egtim durumu],$K46),"")</f>
        <v>Egitime  devem eden</v>
      </c>
      <c r="H46" s="29" t="str">
        <f>IFERROR(INDEX(Personnel[Shohruh Not],$K46),"")</f>
        <v>-</v>
      </c>
      <c r="I46" s="30">
        <f ca="1">IFERROR(INDEX(Personnel[Дней в РФ],$K46),"")</f>
        <v>9</v>
      </c>
      <c r="K46" s="23">
        <f t="array" ref="K46">IFERROR(_xlfn.AGGREGATE(15,6,(ROW(Personnel[Egtim durumu])-MIN(ROW(Personnel[Egtim durumu]))+1)/((Personnel[Egtim durumu]="Egitime  devem eden")+(Personnel[Egtim durumu]="Egitime alinacak")+(Personnel[Egtim durumu]="sinavi hazir")),ROWS($K$7:K46)),"")</f>
        <v>760</v>
      </c>
    </row>
    <row r="47" spans="1:11" x14ac:dyDescent="0.25">
      <c r="A47" s="18">
        <f>IFERROR(INDEX(Personnel[Sicil],$K47),"")</f>
        <v>646861</v>
      </c>
      <c r="B47" s="17" t="str">
        <f>IFERROR(INDEX(Personnel[Adi Soyadi],$K47),"")</f>
        <v>Галиев Журабек Акмал Угли</v>
      </c>
      <c r="C47" s="18" t="str">
        <f>IFERROR(INDEX(Personnel[Vatandaslik],$K47),"")</f>
        <v>УЗБЕКИСТАН</v>
      </c>
      <c r="D47" s="18" t="str">
        <f>IFERROR(INDEX(Personnel[Santiye],$K47),"")</f>
        <v>GPP Proje</v>
      </c>
      <c r="E47" s="18" t="str">
        <f>IFERROR(INDEX(Personnel[Ogretmen],$K47),"")</f>
        <v>Валерия Алексеева</v>
      </c>
      <c r="F47" s="17" t="str">
        <f>IFERROR(INDEX(Personnel[[Sinav ]],$K47),"")</f>
        <v>-</v>
      </c>
      <c r="G47" s="17" t="str">
        <f>IFERROR(INDEX(Personnel[Egtim durumu],$K47),"")</f>
        <v>Egitime  devem eden</v>
      </c>
      <c r="H47" s="17" t="str">
        <f>IFERROR(INDEX(Personnel[Shohruh Not],$K47),"")</f>
        <v>-</v>
      </c>
      <c r="I47" s="22">
        <f ca="1">IFERROR(INDEX(Personnel[Дней в РФ],$K47),"")</f>
        <v>9</v>
      </c>
      <c r="K47" s="23">
        <f t="array" ref="K47">IFERROR(_xlfn.AGGREGATE(15,6,(ROW(Personnel[Egtim durumu])-MIN(ROW(Personnel[Egtim durumu]))+1)/((Personnel[Egtim durumu]="Egitime  devem eden")+(Personnel[Egtim durumu]="Egitime alinacak")+(Personnel[Egtim durumu]="sinavi hazir")),ROWS($K$7:K47)),"")</f>
        <v>761</v>
      </c>
    </row>
    <row r="48" spans="1:11" x14ac:dyDescent="0.25">
      <c r="A48" s="28">
        <f>IFERROR(INDEX(Personnel[Sicil],$K48),"")</f>
        <v>646857</v>
      </c>
      <c r="B48" s="29" t="str">
        <f>IFERROR(INDEX(Personnel[Adi Soyadi],$K48),"")</f>
        <v>Жумаев Фахриддин Сахобиддин Угли</v>
      </c>
      <c r="C48" s="28" t="str">
        <f>IFERROR(INDEX(Personnel[Vatandaslik],$K48),"")</f>
        <v>УЗБЕКИСТАН</v>
      </c>
      <c r="D48" s="28" t="str">
        <f>IFERROR(INDEX(Personnel[Santiye],$K48),"")</f>
        <v>GPP Proje</v>
      </c>
      <c r="E48" s="28" t="str">
        <f>IFERROR(INDEX(Personnel[Ogretmen],$K48),"")</f>
        <v>Валерия Алексеева</v>
      </c>
      <c r="F48" s="29" t="str">
        <f>IFERROR(INDEX(Personnel[[Sinav ]],$K48),"")</f>
        <v>-</v>
      </c>
      <c r="G48" s="29" t="str">
        <f>IFERROR(INDEX(Personnel[Egtim durumu],$K48),"")</f>
        <v>Egitime  devem eden</v>
      </c>
      <c r="H48" s="29" t="str">
        <f>IFERROR(INDEX(Personnel[Shohruh Not],$K48),"")</f>
        <v>-</v>
      </c>
      <c r="I48" s="30">
        <f ca="1">IFERROR(INDEX(Personnel[Дней в РФ],$K48),"")</f>
        <v>8</v>
      </c>
      <c r="K48" s="23">
        <f t="array" ref="K48">IFERROR(_xlfn.AGGREGATE(15,6,(ROW(Personnel[Egtim durumu])-MIN(ROW(Personnel[Egtim durumu]))+1)/((Personnel[Egtim durumu]="Egitime  devem eden")+(Personnel[Egtim durumu]="Egitime alinacak")+(Personnel[Egtim durumu]="sinavi hazir")),ROWS($K$7:K48)),"")</f>
        <v>762</v>
      </c>
    </row>
    <row r="49" spans="1:11" x14ac:dyDescent="0.25">
      <c r="A49" s="18">
        <f>IFERROR(INDEX(Personnel[Sicil],$K49),"")</f>
        <v>609416</v>
      </c>
      <c r="B49" s="17" t="str">
        <f>IFERROR(INDEX(Personnel[Adi Soyadi],$K49),"")</f>
        <v>Кандахаров Достонбек Холбобо Угли</v>
      </c>
      <c r="C49" s="18" t="str">
        <f>IFERROR(INDEX(Personnel[Vatandaslik],$K49),"")</f>
        <v>УЗБЕКИСТАН</v>
      </c>
      <c r="D49" s="18" t="str">
        <f>IFERROR(INDEX(Personnel[Santiye],$K49),"")</f>
        <v>GPP Proje</v>
      </c>
      <c r="E49" s="18" t="str">
        <f>IFERROR(INDEX(Personnel[Ogretmen],$K49),"")</f>
        <v>Валерия Алексеева</v>
      </c>
      <c r="F49" s="17" t="str">
        <f>IFERROR(INDEX(Personnel[[Sinav ]],$K49),"")</f>
        <v>-</v>
      </c>
      <c r="G49" s="17" t="str">
        <f>IFERROR(INDEX(Personnel[Egtim durumu],$K49),"")</f>
        <v>Egitime  devem eden</v>
      </c>
      <c r="H49" s="17" t="str">
        <f>IFERROR(INDEX(Personnel[Shohruh Not],$K49),"")</f>
        <v>-</v>
      </c>
      <c r="I49" s="22">
        <f ca="1">IFERROR(INDEX(Personnel[Дней в РФ],$K49),"")</f>
        <v>9</v>
      </c>
      <c r="K49" s="23">
        <f t="array" ref="K49">IFERROR(_xlfn.AGGREGATE(15,6,(ROW(Personnel[Egtim durumu])-MIN(ROW(Personnel[Egtim durumu]))+1)/((Personnel[Egtim durumu]="Egitime  devem eden")+(Personnel[Egtim durumu]="Egitime alinacak")+(Personnel[Egtim durumu]="sinavi hazir")),ROWS($K$7:K49)),"")</f>
        <v>763</v>
      </c>
    </row>
    <row r="50" spans="1:11" x14ac:dyDescent="0.25">
      <c r="A50" s="28">
        <f>IFERROR(INDEX(Personnel[Sicil],$K50),"")</f>
        <v>646858</v>
      </c>
      <c r="B50" s="29" t="str">
        <f>IFERROR(INDEX(Personnel[Adi Soyadi],$K50),"")</f>
        <v xml:space="preserve">Суяров Шодиёр Абдурахим Угли </v>
      </c>
      <c r="C50" s="28" t="str">
        <f>IFERROR(INDEX(Personnel[Vatandaslik],$K50),"")</f>
        <v>УЗБЕКИСТАН</v>
      </c>
      <c r="D50" s="28" t="str">
        <f>IFERROR(INDEX(Personnel[Santiye],$K50),"")</f>
        <v>GPP Proje</v>
      </c>
      <c r="E50" s="28" t="str">
        <f>IFERROR(INDEX(Personnel[Ogretmen],$K50),"")</f>
        <v>Валерия Алексеева</v>
      </c>
      <c r="F50" s="29" t="str">
        <f>IFERROR(INDEX(Personnel[[Sinav ]],$K50),"")</f>
        <v>-</v>
      </c>
      <c r="G50" s="29" t="str">
        <f>IFERROR(INDEX(Personnel[Egtim durumu],$K50),"")</f>
        <v>Egitime  devem eden</v>
      </c>
      <c r="H50" s="29" t="str">
        <f>IFERROR(INDEX(Personnel[Shohruh Not],$K50),"")</f>
        <v>-</v>
      </c>
      <c r="I50" s="30">
        <f ca="1">IFERROR(INDEX(Personnel[Дней в РФ],$K50),"")</f>
        <v>9</v>
      </c>
      <c r="K50" s="23">
        <f t="array" ref="K50">IFERROR(_xlfn.AGGREGATE(15,6,(ROW(Personnel[Egtim durumu])-MIN(ROW(Personnel[Egtim durumu]))+1)/((Personnel[Egtim durumu]="Egitime  devem eden")+(Personnel[Egtim durumu]="Egitime alinacak")+(Personnel[Egtim durumu]="sinavi hazir")),ROWS($K$7:K50)),"")</f>
        <v>764</v>
      </c>
    </row>
    <row r="51" spans="1:11" ht="25.5" x14ac:dyDescent="0.25">
      <c r="A51" s="18">
        <f>IFERROR(INDEX(Personnel[Sicil],$K51),"")</f>
        <v>646719</v>
      </c>
      <c r="B51" s="17" t="str">
        <f>IFERROR(INDEX(Personnel[Adi Soyadi],$K51),"")</f>
        <v>Эркинов Джамшидбек Дилмурод Угли</v>
      </c>
      <c r="C51" s="18" t="str">
        <f>IFERROR(INDEX(Personnel[Vatandaslik],$K51),"")</f>
        <v>УЗБЕКИСТАН</v>
      </c>
      <c r="D51" s="18" t="str">
        <f>IFERROR(INDEX(Personnel[Santiye],$K51),"")</f>
        <v>GPP Proje</v>
      </c>
      <c r="E51" s="18" t="str">
        <f>IFERROR(INDEX(Personnel[Ogretmen],$K51),"")</f>
        <v xml:space="preserve">Ziazetdinov Arslan </v>
      </c>
      <c r="F51" s="17" t="str">
        <f>IFERROR(INDEX(Personnel[[Sinav ]],$K51),"")</f>
        <v>-</v>
      </c>
      <c r="G51" s="17" t="str">
        <f>IFERROR(INDEX(Personnel[Egtim durumu],$K51),"")</f>
        <v>sinavi hazir</v>
      </c>
      <c r="H51" s="17" t="str">
        <f>IFERROR(INDEX(Personnel[Shohruh Not],$K51),"")</f>
        <v>-</v>
      </c>
      <c r="I51" s="22">
        <f ca="1">IFERROR(INDEX(Personnel[Дней в РФ],$K51),"")</f>
        <v>8</v>
      </c>
      <c r="K51" s="23">
        <f t="array" ref="K51">IFERROR(_xlfn.AGGREGATE(15,6,(ROW(Personnel[Egtim durumu])-MIN(ROW(Personnel[Egtim durumu]))+1)/((Personnel[Egtim durumu]="Egitime  devem eden")+(Personnel[Egtim durumu]="Egitime alinacak")+(Personnel[Egtim durumu]="sinavi hazir")),ROWS($K$7:K51)),"")</f>
        <v>765</v>
      </c>
    </row>
    <row r="52" spans="1:11" ht="25.5" x14ac:dyDescent="0.25">
      <c r="A52" s="28">
        <f>IFERROR(INDEX(Personnel[Sicil],$K52),"")</f>
        <v>528101</v>
      </c>
      <c r="B52" s="29" t="str">
        <f>IFERROR(INDEX(Personnel[Adi Soyadi],$K52),"")</f>
        <v xml:space="preserve">Абдуманнопов Мухаммад Абдумутал угли </v>
      </c>
      <c r="C52" s="28" t="str">
        <f>IFERROR(INDEX(Personnel[Vatandaslik],$K52),"")</f>
        <v>УЗБЕКИСТАН</v>
      </c>
      <c r="D52" s="28" t="str">
        <f>IFERROR(INDEX(Personnel[Santiye],$K52),"")</f>
        <v>GPP Proje</v>
      </c>
      <c r="E52" s="28" t="str">
        <f>IFERROR(INDEX(Personnel[Ogretmen],$K52),"")</f>
        <v>Валерия Алексеева</v>
      </c>
      <c r="F52" s="29" t="str">
        <f>IFERROR(INDEX(Personnel[[Sinav ]],$K52),"")</f>
        <v>-</v>
      </c>
      <c r="G52" s="29" t="str">
        <f>IFERROR(INDEX(Personnel[Egtim durumu],$K52),"")</f>
        <v>Egitime  devem eden</v>
      </c>
      <c r="H52" s="29" t="str">
        <f>IFERROR(INDEX(Personnel[Shohruh Not],$K52),"")</f>
        <v>-</v>
      </c>
      <c r="I52" s="30">
        <f ca="1">IFERROR(INDEX(Personnel[Дней в РФ],$K52),"")</f>
        <v>46256</v>
      </c>
      <c r="K52" s="23">
        <f t="array" ref="K52">IFERROR(_xlfn.AGGREGATE(15,6,(ROW(Personnel[Egtim durumu])-MIN(ROW(Personnel[Egtim durumu]))+1)/((Personnel[Egtim durumu]="Egitime  devem eden")+(Personnel[Egtim durumu]="Egitime alinacak")+(Personnel[Egtim durumu]="sinavi hazir")),ROWS($K$7:K52)),"")</f>
        <v>766</v>
      </c>
    </row>
    <row r="53" spans="1:11" x14ac:dyDescent="0.25">
      <c r="A53" s="18">
        <f>IFERROR(INDEX(Personnel[Sicil],$K53),"")</f>
        <v>482554</v>
      </c>
      <c r="B53" s="17" t="str">
        <f>IFERROR(INDEX(Personnel[Adi Soyadi],$K53),"")</f>
        <v>Абдуллаев Садулла Абдуллаевич</v>
      </c>
      <c r="C53" s="18" t="str">
        <f>IFERROR(INDEX(Personnel[Vatandaslik],$K53),"")</f>
        <v>УЗБЕКИСТАН</v>
      </c>
      <c r="D53" s="18" t="str">
        <f>IFERROR(INDEX(Personnel[Santiye],$K53),"")</f>
        <v>GPP Proje</v>
      </c>
      <c r="E53" s="18" t="str">
        <f>IFERROR(INDEX(Personnel[Ogretmen],$K53),"")</f>
        <v>Валерия Алексеева</v>
      </c>
      <c r="F53" s="17" t="str">
        <f>IFERROR(INDEX(Personnel[[Sinav ]],$K53),"")</f>
        <v>-</v>
      </c>
      <c r="G53" s="17" t="str">
        <f>IFERROR(INDEX(Personnel[Egtim durumu],$K53),"")</f>
        <v>Egitime  devem eden</v>
      </c>
      <c r="H53" s="17" t="str">
        <f>IFERROR(INDEX(Personnel[Shohruh Not],$K53),"")</f>
        <v>-</v>
      </c>
      <c r="I53" s="22">
        <f ca="1">IFERROR(INDEX(Personnel[Дней в РФ],$K53),"")</f>
        <v>7</v>
      </c>
      <c r="K53" s="23">
        <f t="array" ref="K53">IFERROR(_xlfn.AGGREGATE(15,6,(ROW(Personnel[Egtim durumu])-MIN(ROW(Personnel[Egtim durumu]))+1)/((Personnel[Egtim durumu]="Egitime  devem eden")+(Personnel[Egtim durumu]="Egitime alinacak")+(Personnel[Egtim durumu]="sinavi hazir")),ROWS($K$7:K53)),"")</f>
        <v>767</v>
      </c>
    </row>
    <row r="54" spans="1:11" ht="25.5" x14ac:dyDescent="0.25">
      <c r="A54" s="28">
        <f>IFERROR(INDEX(Personnel[Sicil],$K54),"")</f>
        <v>646875</v>
      </c>
      <c r="B54" s="29" t="str">
        <f>IFERROR(INDEX(Personnel[Adi Soyadi],$K54),"")</f>
        <v>Азамхонов Максудхон Аблиясхон Угли</v>
      </c>
      <c r="C54" s="28" t="str">
        <f>IFERROR(INDEX(Personnel[Vatandaslik],$K54),"")</f>
        <v>УЗБЕКИСТАН</v>
      </c>
      <c r="D54" s="28" t="str">
        <f>IFERROR(INDEX(Personnel[Santiye],$K54),"")</f>
        <v>GPP Proje</v>
      </c>
      <c r="E54" s="28" t="str">
        <f>IFERROR(INDEX(Personnel[Ogretmen],$K54),"")</f>
        <v>Валерия Алексеева</v>
      </c>
      <c r="F54" s="29" t="str">
        <f>IFERROR(INDEX(Personnel[[Sinav ]],$K54),"")</f>
        <v>-</v>
      </c>
      <c r="G54" s="29" t="str">
        <f>IFERROR(INDEX(Personnel[Egtim durumu],$K54),"")</f>
        <v>Egitime  devem eden</v>
      </c>
      <c r="H54" s="29" t="str">
        <f>IFERROR(INDEX(Personnel[Shohruh Not],$K54),"")</f>
        <v>-</v>
      </c>
      <c r="I54" s="30">
        <f ca="1">IFERROR(INDEX(Personnel[Дней в РФ],$K54),"")</f>
        <v>5</v>
      </c>
      <c r="K54" s="23">
        <f t="array" ref="K54">IFERROR(_xlfn.AGGREGATE(15,6,(ROW(Personnel[Egtim durumu])-MIN(ROW(Personnel[Egtim durumu]))+1)/((Personnel[Egtim durumu]="Egitime  devem eden")+(Personnel[Egtim durumu]="Egitime alinacak")+(Personnel[Egtim durumu]="sinavi hazir")),ROWS($K$7:K54)),"")</f>
        <v>768</v>
      </c>
    </row>
    <row r="55" spans="1:11" x14ac:dyDescent="0.25">
      <c r="A55" s="18">
        <f>IFERROR(INDEX(Personnel[Sicil],$K55),"")</f>
        <v>611354</v>
      </c>
      <c r="B55" s="17" t="str">
        <f>IFERROR(INDEX(Personnel[Adi Soyadi],$K55),"")</f>
        <v>Эгамова Нилуфар Шерипбоевна</v>
      </c>
      <c r="C55" s="18" t="str">
        <f>IFERROR(INDEX(Personnel[Vatandaslik],$K55),"")</f>
        <v>УЗБЕКИСТАН</v>
      </c>
      <c r="D55" s="18" t="str">
        <f>IFERROR(INDEX(Personnel[Santiye],$K55),"")</f>
        <v>GPP Proje</v>
      </c>
      <c r="E55" s="18">
        <f>IFERROR(INDEX(Personnel[Ogretmen],$K55),"")</f>
        <v>0</v>
      </c>
      <c r="F55" s="17" t="str">
        <f>IFERROR(INDEX(Personnel[[Sinav ]],$K55),"")</f>
        <v>-</v>
      </c>
      <c r="G55" s="17" t="str">
        <f>IFERROR(INDEX(Personnel[Egtim durumu],$K55),"")</f>
        <v>Egitime alinacak</v>
      </c>
      <c r="H55" s="17" t="str">
        <f>IFERROR(INDEX(Personnel[Shohruh Not],$K55),"")</f>
        <v>-</v>
      </c>
      <c r="I55" s="22">
        <f ca="1">IFERROR(INDEX(Personnel[Дней в РФ],$K55),"")</f>
        <v>5</v>
      </c>
      <c r="K55" s="23">
        <f t="array" ref="K55">IFERROR(_xlfn.AGGREGATE(15,6,(ROW(Personnel[Egtim durumu])-MIN(ROW(Personnel[Egtim durumu]))+1)/((Personnel[Egtim durumu]="Egitime  devem eden")+(Personnel[Egtim durumu]="Egitime alinacak")+(Personnel[Egtim durumu]="sinavi hazir")),ROWS($K$7:K55)),"")</f>
        <v>769</v>
      </c>
    </row>
    <row r="56" spans="1:11" x14ac:dyDescent="0.25">
      <c r="A56" s="28">
        <f>IFERROR(INDEX(Personnel[Sicil],$K56),"")</f>
        <v>633244</v>
      </c>
      <c r="B56" s="29" t="str">
        <f>IFERROR(INDEX(Personnel[Adi Soyadi],$K56),"")</f>
        <v>Рузиев Дилмурод Кудратович</v>
      </c>
      <c r="C56" s="28" t="str">
        <f>IFERROR(INDEX(Personnel[Vatandaslik],$K56),"")</f>
        <v>УЗБЕКИСТАН</v>
      </c>
      <c r="D56" s="28" t="str">
        <f>IFERROR(INDEX(Personnel[Santiye],$K56),"")</f>
        <v>GPP Proje</v>
      </c>
      <c r="E56" s="28" t="str">
        <f>IFERROR(INDEX(Personnel[Ogretmen],$K56),"")</f>
        <v>Валерия Алексеева</v>
      </c>
      <c r="F56" s="29" t="str">
        <f>IFERROR(INDEX(Personnel[[Sinav ]],$K56),"")</f>
        <v>-</v>
      </c>
      <c r="G56" s="29" t="str">
        <f>IFERROR(INDEX(Personnel[Egtim durumu],$K56),"")</f>
        <v>Egitime  devem eden</v>
      </c>
      <c r="H56" s="29" t="str">
        <f>IFERROR(INDEX(Personnel[Shohruh Not],$K56),"")</f>
        <v>-</v>
      </c>
      <c r="I56" s="30">
        <f ca="1">IFERROR(INDEX(Personnel[Дней в РФ],$K56),"")</f>
        <v>6</v>
      </c>
      <c r="K56" s="23">
        <f t="array" ref="K56">IFERROR(_xlfn.AGGREGATE(15,6,(ROW(Personnel[Egtim durumu])-MIN(ROW(Personnel[Egtim durumu]))+1)/((Personnel[Egtim durumu]="Egitime  devem eden")+(Personnel[Egtim durumu]="Egitime alinacak")+(Personnel[Egtim durumu]="sinavi hazir")),ROWS($K$7:K56)),"")</f>
        <v>770</v>
      </c>
    </row>
    <row r="57" spans="1:11" x14ac:dyDescent="0.25">
      <c r="A57" s="18">
        <f>IFERROR(INDEX(Personnel[Sicil],$K57),"")</f>
        <v>646874</v>
      </c>
      <c r="B57" s="17" t="str">
        <f>IFERROR(INDEX(Personnel[Adi Soyadi],$K57),"")</f>
        <v>Сувонкулов Аслиддин Умид Угли</v>
      </c>
      <c r="C57" s="18" t="str">
        <f>IFERROR(INDEX(Personnel[Vatandaslik],$K57),"")</f>
        <v>УЗБЕКИСТАН</v>
      </c>
      <c r="D57" s="18" t="str">
        <f>IFERROR(INDEX(Personnel[Santiye],$K57),"")</f>
        <v>GPP Proje</v>
      </c>
      <c r="E57" s="18">
        <f>IFERROR(INDEX(Personnel[Ogretmen],$K57),"")</f>
        <v>0</v>
      </c>
      <c r="F57" s="17" t="str">
        <f>IFERROR(INDEX(Personnel[[Sinav ]],$K57),"")</f>
        <v>-</v>
      </c>
      <c r="G57" s="17" t="str">
        <f>IFERROR(INDEX(Personnel[Egtim durumu],$K57),"")</f>
        <v>Egitime alinacak</v>
      </c>
      <c r="H57" s="17" t="str">
        <f>IFERROR(INDEX(Personnel[Shohruh Not],$K57),"")</f>
        <v>-</v>
      </c>
      <c r="I57" s="22">
        <f ca="1">IFERROR(INDEX(Personnel[Дней в РФ],$K57),"")</f>
        <v>6</v>
      </c>
      <c r="K57" s="23">
        <f t="array" ref="K57">IFERROR(_xlfn.AGGREGATE(15,6,(ROW(Personnel[Egtim durumu])-MIN(ROW(Personnel[Egtim durumu]))+1)/((Personnel[Egtim durumu]="Egitime  devem eden")+(Personnel[Egtim durumu]="Egitime alinacak")+(Personnel[Egtim durumu]="sinavi hazir")),ROWS($K$7:K57)),"")</f>
        <v>771</v>
      </c>
    </row>
    <row r="58" spans="1:11" x14ac:dyDescent="0.25">
      <c r="A58" s="28">
        <f>IFERROR(INDEX(Personnel[Sicil],$K58),"")</f>
        <v>548848</v>
      </c>
      <c r="B58" s="29" t="str">
        <f>IFERROR(INDEX(Personnel[Adi Soyadi],$K58),"")</f>
        <v>Чориев Сайфиддин Туйчи угли</v>
      </c>
      <c r="C58" s="28" t="str">
        <f>IFERROR(INDEX(Personnel[Vatandaslik],$K58),"")</f>
        <v>УЗБЕКИСТАН</v>
      </c>
      <c r="D58" s="28" t="str">
        <f>IFERROR(INDEX(Personnel[Santiye],$K58),"")</f>
        <v>GPP Proje</v>
      </c>
      <c r="E58" s="28" t="str">
        <f>IFERROR(INDEX(Personnel[Ogretmen],$K58),"")</f>
        <v>Валерия Алексеева</v>
      </c>
      <c r="F58" s="29" t="str">
        <f>IFERROR(INDEX(Personnel[[Sinav ]],$K58),"")</f>
        <v>-</v>
      </c>
      <c r="G58" s="29" t="str">
        <f>IFERROR(INDEX(Personnel[Egtim durumu],$K58),"")</f>
        <v>Egitime  devem eden</v>
      </c>
      <c r="H58" s="29" t="str">
        <f>IFERROR(INDEX(Personnel[Shohruh Not],$K58),"")</f>
        <v>-</v>
      </c>
      <c r="I58" s="30">
        <f ca="1">IFERROR(INDEX(Personnel[Дней в РФ],$K58),"")</f>
        <v>5</v>
      </c>
      <c r="K58" s="23">
        <f t="array" ref="K58">IFERROR(_xlfn.AGGREGATE(15,6,(ROW(Personnel[Egtim durumu])-MIN(ROW(Personnel[Egtim durumu]))+1)/((Personnel[Egtim durumu]="Egitime  devem eden")+(Personnel[Egtim durumu]="Egitime alinacak")+(Personnel[Egtim durumu]="sinavi hazir")),ROWS($K$7:K58)),"")</f>
        <v>772</v>
      </c>
    </row>
    <row r="59" spans="1:11" x14ac:dyDescent="0.25">
      <c r="A59" s="18">
        <f>IFERROR(INDEX(Personnel[Sicil],$K59),"")</f>
        <v>646896</v>
      </c>
      <c r="B59" s="17" t="str">
        <f>IFERROR(INDEX(Personnel[Adi Soyadi],$K59),"")</f>
        <v>Каюмов Шохзод Акрам Угли</v>
      </c>
      <c r="C59" s="18" t="str">
        <f>IFERROR(INDEX(Personnel[Vatandaslik],$K59),"")</f>
        <v>УЗБЕКИСТАН</v>
      </c>
      <c r="D59" s="18" t="str">
        <f>IFERROR(INDEX(Personnel[Santiye],$K59),"")</f>
        <v>GPP Proje</v>
      </c>
      <c r="E59" s="18" t="str">
        <f>IFERROR(INDEX(Personnel[Ogretmen],$K59),"")</f>
        <v>Валерия Алексеева</v>
      </c>
      <c r="F59" s="17" t="str">
        <f>IFERROR(INDEX(Personnel[[Sinav ]],$K59),"")</f>
        <v>-</v>
      </c>
      <c r="G59" s="17" t="str">
        <f>IFERROR(INDEX(Personnel[Egtim durumu],$K59),"")</f>
        <v>Egitime  devem eden</v>
      </c>
      <c r="H59" s="17" t="str">
        <f>IFERROR(INDEX(Personnel[Shohruh Not],$K59),"")</f>
        <v>-</v>
      </c>
      <c r="I59" s="22">
        <f ca="1">IFERROR(INDEX(Personnel[Дней в РФ],$K59),"")</f>
        <v>5</v>
      </c>
      <c r="K59" s="23">
        <f t="array" ref="K59">IFERROR(_xlfn.AGGREGATE(15,6,(ROW(Personnel[Egtim durumu])-MIN(ROW(Personnel[Egtim durumu]))+1)/((Personnel[Egtim durumu]="Egitime  devem eden")+(Personnel[Egtim durumu]="Egitime alinacak")+(Personnel[Egtim durumu]="sinavi hazir")),ROWS($K$7:K59)),"")</f>
        <v>773</v>
      </c>
    </row>
    <row r="60" spans="1:11" x14ac:dyDescent="0.25">
      <c r="A60" s="28">
        <f>IFERROR(INDEX(Personnel[Sicil],$K60),"")</f>
        <v>646894</v>
      </c>
      <c r="B60" s="29" t="str">
        <f>IFERROR(INDEX(Personnel[Adi Soyadi],$K60),"")</f>
        <v>Хурсанов Нурбек Шодмонович</v>
      </c>
      <c r="C60" s="28" t="str">
        <f>IFERROR(INDEX(Personnel[Vatandaslik],$K60),"")</f>
        <v>УЗБЕКИСТАН</v>
      </c>
      <c r="D60" s="28" t="str">
        <f>IFERROR(INDEX(Personnel[Santiye],$K60),"")</f>
        <v>GPP Proje</v>
      </c>
      <c r="E60" s="28" t="str">
        <f>IFERROR(INDEX(Personnel[Ogretmen],$K60),"")</f>
        <v>Валерия Алексеева</v>
      </c>
      <c r="F60" s="29" t="str">
        <f>IFERROR(INDEX(Personnel[[Sinav ]],$K60),"")</f>
        <v>-</v>
      </c>
      <c r="G60" s="29" t="str">
        <f>IFERROR(INDEX(Personnel[Egtim durumu],$K60),"")</f>
        <v>Egitime  devem eden</v>
      </c>
      <c r="H60" s="29" t="str">
        <f>IFERROR(INDEX(Personnel[Shohruh Not],$K60),"")</f>
        <v>-</v>
      </c>
      <c r="I60" s="30">
        <f ca="1">IFERROR(INDEX(Personnel[Дней в РФ],$K60),"")</f>
        <v>5</v>
      </c>
      <c r="K60" s="23">
        <f t="array" ref="K60">IFERROR(_xlfn.AGGREGATE(15,6,(ROW(Personnel[Egtim durumu])-MIN(ROW(Personnel[Egtim durumu]))+1)/((Personnel[Egtim durumu]="Egitime  devem eden")+(Personnel[Egtim durumu]="Egitime alinacak")+(Personnel[Egtim durumu]="sinavi hazir")),ROWS($K$7:K60)),"")</f>
        <v>774</v>
      </c>
    </row>
    <row r="61" spans="1:11" x14ac:dyDescent="0.25">
      <c r="A61" s="18">
        <f>IFERROR(INDEX(Personnel[Sicil],$K61),"")</f>
        <v>646897</v>
      </c>
      <c r="B61" s="17" t="str">
        <f>IFERROR(INDEX(Personnel[Adi Soyadi],$K61),"")</f>
        <v>Хурсанов Фазлиддин Шодмон Угли</v>
      </c>
      <c r="C61" s="18" t="str">
        <f>IFERROR(INDEX(Personnel[Vatandaslik],$K61),"")</f>
        <v>УЗБЕКИСТАН</v>
      </c>
      <c r="D61" s="18" t="str">
        <f>IFERROR(INDEX(Personnel[Santiye],$K61),"")</f>
        <v>GPP Proje</v>
      </c>
      <c r="E61" s="18" t="str">
        <f>IFERROR(INDEX(Personnel[Ogretmen],$K61),"")</f>
        <v>Валерия Алексеева</v>
      </c>
      <c r="F61" s="17" t="str">
        <f>IFERROR(INDEX(Personnel[[Sinav ]],$K61),"")</f>
        <v>-</v>
      </c>
      <c r="G61" s="17" t="str">
        <f>IFERROR(INDEX(Personnel[Egtim durumu],$K61),"")</f>
        <v>Egitime  devem eden</v>
      </c>
      <c r="H61" s="17" t="str">
        <f>IFERROR(INDEX(Personnel[Shohruh Not],$K61),"")</f>
        <v>-</v>
      </c>
      <c r="I61" s="22">
        <f ca="1">IFERROR(INDEX(Personnel[Дней в РФ],$K61),"")</f>
        <v>5</v>
      </c>
      <c r="K61" s="23">
        <f t="array" ref="K61">IFERROR(_xlfn.AGGREGATE(15,6,(ROW(Personnel[Egtim durumu])-MIN(ROW(Personnel[Egtim durumu]))+1)/((Personnel[Egtim durumu]="Egitime  devem eden")+(Personnel[Egtim durumu]="Egitime alinacak")+(Personnel[Egtim durumu]="sinavi hazir")),ROWS($K$7:K61)),"")</f>
        <v>775</v>
      </c>
    </row>
    <row r="62" spans="1:11" x14ac:dyDescent="0.25">
      <c r="A62" s="28">
        <f>IFERROR(INDEX(Personnel[Sicil],$K62),"")</f>
        <v>228538</v>
      </c>
      <c r="B62" s="29" t="str">
        <f>IFERROR(INDEX(Personnel[Adi Soyadi],$K62),"")</f>
        <v>Хажиев Бунёдбек Отабоевич</v>
      </c>
      <c r="C62" s="28" t="str">
        <f>IFERROR(INDEX(Personnel[Vatandaslik],$K62),"")</f>
        <v>УЗБЕКИСТАН</v>
      </c>
      <c r="D62" s="28" t="str">
        <f>IFERROR(INDEX(Personnel[Santiye],$K62),"")</f>
        <v>GPP Proje</v>
      </c>
      <c r="E62" s="28">
        <f>IFERROR(INDEX(Personnel[Ogretmen],$K62),"")</f>
        <v>0</v>
      </c>
      <c r="F62" s="29">
        <f>IFERROR(INDEX(Personnel[[Sinav ]],$K62),"")</f>
        <v>0</v>
      </c>
      <c r="G62" s="29" t="str">
        <f>IFERROR(INDEX(Personnel[Egtim durumu],$K62),"")</f>
        <v>sinavi hazir</v>
      </c>
      <c r="H62" s="29" t="str">
        <f>IFERROR(INDEX(Personnel[Shohruh Not],$K62),"")</f>
        <v>Vkes patent donismi</v>
      </c>
      <c r="I62" s="28">
        <f ca="1">IFERROR(INDEX(Personnel[Дней в РФ],$K62),"")</f>
        <v>46256</v>
      </c>
      <c r="K62" s="23">
        <f t="array" ref="K62">IFERROR(_xlfn.AGGREGATE(15,6,(ROW(Personnel[Egtim durumu])-MIN(ROW(Personnel[Egtim durumu]))+1)/((Personnel[Egtim durumu]="Egitime  devem eden")+(Personnel[Egtim durumu]="Egitime alinacak")+(Personnel[Egtim durumu]="sinavi hazir")),ROWS($K$7:K62)),"")</f>
        <v>776</v>
      </c>
    </row>
    <row r="63" spans="1:11" x14ac:dyDescent="0.25">
      <c r="A63" s="18" t="str">
        <f>IFERROR(INDEX(Personnel[Sicil],$K63),"")</f>
        <v/>
      </c>
      <c r="B63" s="17" t="str">
        <f>IFERROR(INDEX(Personnel[Adi Soyadi],$K63),"")</f>
        <v/>
      </c>
      <c r="C63" s="18" t="str">
        <f>IFERROR(INDEX(Personnel[Vatandaslik],$K63),"")</f>
        <v/>
      </c>
      <c r="D63" s="18" t="str">
        <f>IFERROR(INDEX(Personnel[Santiye],$K63),"")</f>
        <v/>
      </c>
      <c r="E63" s="18" t="str">
        <f>IFERROR(INDEX(Personnel[Ogretmen],$K63),"")</f>
        <v/>
      </c>
      <c r="F63" s="17" t="str">
        <f>IFERROR(INDEX(Personnel[[Sinav ]],$K63),"")</f>
        <v/>
      </c>
      <c r="G63" s="17" t="str">
        <f>IFERROR(INDEX(Personnel[Egtim durumu],$K63),"")</f>
        <v/>
      </c>
      <c r="H63" s="17" t="str">
        <f>IFERROR(INDEX(Personnel[Shohruh Not],$K63),"")</f>
        <v/>
      </c>
      <c r="I63" s="18" t="str">
        <f>IFERROR(INDEX(Personnel[Дней в РФ],$K63),"")</f>
        <v/>
      </c>
      <c r="K63" s="23" t="str">
        <f t="array" ref="K63">IFERROR(_xlfn.AGGREGATE(15,6,(ROW(Personnel[Egtim durumu])-MIN(ROW(Personnel[Egtim durumu]))+1)/((Personnel[Egtim durumu]="Egitime  devem eden")+(Personnel[Egtim durumu]="Egitime alinacak")+(Personnel[Egtim durumu]="sinavi hazir")),ROWS($K$7:K63)),"")</f>
        <v/>
      </c>
    </row>
    <row r="64" spans="1:11" x14ac:dyDescent="0.25">
      <c r="A64" s="28" t="str">
        <f>IFERROR(INDEX(Personnel[Sicil],$K64),"")</f>
        <v/>
      </c>
      <c r="B64" s="29" t="str">
        <f>IFERROR(INDEX(Personnel[Adi Soyadi],$K64),"")</f>
        <v/>
      </c>
      <c r="C64" s="28" t="str">
        <f>IFERROR(INDEX(Personnel[Vatandaslik],$K64),"")</f>
        <v/>
      </c>
      <c r="D64" s="28" t="str">
        <f>IFERROR(INDEX(Personnel[Santiye],$K64),"")</f>
        <v/>
      </c>
      <c r="E64" s="28" t="str">
        <f>IFERROR(INDEX(Personnel[Ogretmen],$K64),"")</f>
        <v/>
      </c>
      <c r="F64" s="29" t="str">
        <f>IFERROR(INDEX(Personnel[[Sinav ]],$K64),"")</f>
        <v/>
      </c>
      <c r="G64" s="29" t="str">
        <f>IFERROR(INDEX(Personnel[Egtim durumu],$K64),"")</f>
        <v/>
      </c>
      <c r="H64" s="29" t="str">
        <f>IFERROR(INDEX(Personnel[Shohruh Not],$K64),"")</f>
        <v/>
      </c>
      <c r="I64" s="28" t="str">
        <f>IFERROR(INDEX(Personnel[Дней в РФ],$K64),"")</f>
        <v/>
      </c>
      <c r="K64" s="23" t="str">
        <f t="array" ref="K64">IFERROR(_xlfn.AGGREGATE(15,6,(ROW(Personnel[Egtim durumu])-MIN(ROW(Personnel[Egtim durumu]))+1)/((Personnel[Egtim durumu]="Egitime  devem eden")+(Personnel[Egtim durumu]="Egitime alinacak")+(Personnel[Egtim durumu]="sinavi hazir")),ROWS($K$7:K64)),"")</f>
        <v/>
      </c>
    </row>
    <row r="65" spans="1:11" x14ac:dyDescent="0.25">
      <c r="A65" s="18" t="str">
        <f>IFERROR(INDEX(Personnel[Sicil],$K65),"")</f>
        <v/>
      </c>
      <c r="B65" s="17" t="str">
        <f>IFERROR(INDEX(Personnel[Adi Soyadi],$K65),"")</f>
        <v/>
      </c>
      <c r="C65" s="18" t="str">
        <f>IFERROR(INDEX(Personnel[Vatandaslik],$K65),"")</f>
        <v/>
      </c>
      <c r="D65" s="18" t="str">
        <f>IFERROR(INDEX(Personnel[Santiye],$K65),"")</f>
        <v/>
      </c>
      <c r="E65" s="18" t="str">
        <f>IFERROR(INDEX(Personnel[Ogretmen],$K65),"")</f>
        <v/>
      </c>
      <c r="F65" s="17" t="str">
        <f>IFERROR(INDEX(Personnel[[Sinav ]],$K65),"")</f>
        <v/>
      </c>
      <c r="G65" s="17" t="str">
        <f>IFERROR(INDEX(Personnel[Egtim durumu],$K65),"")</f>
        <v/>
      </c>
      <c r="H65" s="17" t="str">
        <f>IFERROR(INDEX(Personnel[Shohruh Not],$K65),"")</f>
        <v/>
      </c>
      <c r="I65" s="18" t="str">
        <f>IFERROR(INDEX(Personnel[Дней в РФ],$K65),"")</f>
        <v/>
      </c>
      <c r="K65" s="23" t="str">
        <f t="array" ref="K65">IFERROR(_xlfn.AGGREGATE(15,6,(ROW(Personnel[Egtim durumu])-MIN(ROW(Personnel[Egtim durumu]))+1)/((Personnel[Egtim durumu]="Egitime  devem eden")+(Personnel[Egtim durumu]="Egitime alinacak")+(Personnel[Egtim durumu]="sinavi hazir")),ROWS($K$7:K65)),"")</f>
        <v/>
      </c>
    </row>
    <row r="66" spans="1:11" x14ac:dyDescent="0.25">
      <c r="A66" s="28" t="str">
        <f>IFERROR(INDEX(Personnel[Sicil],$K66),"")</f>
        <v/>
      </c>
      <c r="B66" s="29" t="str">
        <f>IFERROR(INDEX(Personnel[Adi Soyadi],$K66),"")</f>
        <v/>
      </c>
      <c r="C66" s="28" t="str">
        <f>IFERROR(INDEX(Personnel[Vatandaslik],$K66),"")</f>
        <v/>
      </c>
      <c r="D66" s="28" t="str">
        <f>IFERROR(INDEX(Personnel[Santiye],$K66),"")</f>
        <v/>
      </c>
      <c r="E66" s="28" t="str">
        <f>IFERROR(INDEX(Personnel[Ogretmen],$K66),"")</f>
        <v/>
      </c>
      <c r="F66" s="29" t="str">
        <f>IFERROR(INDEX(Personnel[[Sinav ]],$K66),"")</f>
        <v/>
      </c>
      <c r="G66" s="29" t="str">
        <f>IFERROR(INDEX(Personnel[Egtim durumu],$K66),"")</f>
        <v/>
      </c>
      <c r="H66" s="29" t="str">
        <f>IFERROR(INDEX(Personnel[Shohruh Not],$K66),"")</f>
        <v/>
      </c>
      <c r="I66" s="28" t="str">
        <f>IFERROR(INDEX(Personnel[Дней в РФ],$K66),"")</f>
        <v/>
      </c>
      <c r="K66" s="23" t="str">
        <f t="array" ref="K66">IFERROR(_xlfn.AGGREGATE(15,6,(ROW(Personnel[Egtim durumu])-MIN(ROW(Personnel[Egtim durumu]))+1)/((Personnel[Egtim durumu]="Egitime  devem eden")+(Personnel[Egtim durumu]="Egitime alinacak")+(Personnel[Egtim durumu]="sinavi hazir")),ROWS($K$7:K66)),"")</f>
        <v/>
      </c>
    </row>
    <row r="67" spans="1:11" x14ac:dyDescent="0.25">
      <c r="A67" s="18" t="str">
        <f>IFERROR(INDEX(Personnel[Sicil],$K67),"")</f>
        <v/>
      </c>
      <c r="B67" s="17" t="str">
        <f>IFERROR(INDEX(Personnel[Adi Soyadi],$K67),"")</f>
        <v/>
      </c>
      <c r="C67" s="18" t="str">
        <f>IFERROR(INDEX(Personnel[Vatandaslik],$K67),"")</f>
        <v/>
      </c>
      <c r="D67" s="18" t="str">
        <f>IFERROR(INDEX(Personnel[Santiye],$K67),"")</f>
        <v/>
      </c>
      <c r="E67" s="18" t="str">
        <f>IFERROR(INDEX(Personnel[Ogretmen],$K67),"")</f>
        <v/>
      </c>
      <c r="F67" s="17" t="str">
        <f>IFERROR(INDEX(Personnel[[Sinav ]],$K67),"")</f>
        <v/>
      </c>
      <c r="G67" s="17" t="str">
        <f>IFERROR(INDEX(Personnel[Egtim durumu],$K67),"")</f>
        <v/>
      </c>
      <c r="H67" s="17" t="str">
        <f>IFERROR(INDEX(Personnel[Shohruh Not],$K67),"")</f>
        <v/>
      </c>
      <c r="I67" s="18" t="str">
        <f>IFERROR(INDEX(Personnel[Дней в РФ],$K67),"")</f>
        <v/>
      </c>
      <c r="K67" s="23" t="str">
        <f t="array" ref="K67">IFERROR(_xlfn.AGGREGATE(15,6,(ROW(Personnel[Egtim durumu])-MIN(ROW(Personnel[Egtim durumu]))+1)/((Personnel[Egtim durumu]="Egitime  devem eden")+(Personnel[Egtim durumu]="Egitime alinacak")+(Personnel[Egtim durumu]="sinavi hazir")),ROWS($K$7:K67)),"")</f>
        <v/>
      </c>
    </row>
    <row r="68" spans="1:11" x14ac:dyDescent="0.25">
      <c r="A68" s="28" t="str">
        <f>IFERROR(INDEX(Personnel[Sicil],$K68),"")</f>
        <v/>
      </c>
      <c r="B68" s="29" t="str">
        <f>IFERROR(INDEX(Personnel[Adi Soyadi],$K68),"")</f>
        <v/>
      </c>
      <c r="C68" s="28" t="str">
        <f>IFERROR(INDEX(Personnel[Vatandaslik],$K68),"")</f>
        <v/>
      </c>
      <c r="D68" s="28" t="str">
        <f>IFERROR(INDEX(Personnel[Santiye],$K68),"")</f>
        <v/>
      </c>
      <c r="E68" s="28" t="str">
        <f>IFERROR(INDEX(Personnel[Ogretmen],$K68),"")</f>
        <v/>
      </c>
      <c r="F68" s="29" t="str">
        <f>IFERROR(INDEX(Personnel[[Sinav ]],$K68),"")</f>
        <v/>
      </c>
      <c r="G68" s="29" t="str">
        <f>IFERROR(INDEX(Personnel[Egtim durumu],$K68),"")</f>
        <v/>
      </c>
      <c r="H68" s="29" t="str">
        <f>IFERROR(INDEX(Personnel[Shohruh Not],$K68),"")</f>
        <v/>
      </c>
      <c r="I68" s="28" t="str">
        <f>IFERROR(INDEX(Personnel[Дней в РФ],$K68),"")</f>
        <v/>
      </c>
      <c r="K68" s="23" t="str">
        <f t="array" ref="K68">IFERROR(_xlfn.AGGREGATE(15,6,(ROW(Personnel[Egtim durumu])-MIN(ROW(Personnel[Egtim durumu]))+1)/((Personnel[Egtim durumu]="Egitime  devem eden")+(Personnel[Egtim durumu]="Egitime alinacak")+(Personnel[Egtim durumu]="sinavi hazir")),ROWS($K$7:K68)),"")</f>
        <v/>
      </c>
    </row>
    <row r="69" spans="1:11" x14ac:dyDescent="0.25">
      <c r="A69" s="18" t="str">
        <f>IFERROR(INDEX(Personnel[Sicil],$K69),"")</f>
        <v/>
      </c>
      <c r="B69" s="17" t="str">
        <f>IFERROR(INDEX(Personnel[Adi Soyadi],$K69),"")</f>
        <v/>
      </c>
      <c r="C69" s="18" t="str">
        <f>IFERROR(INDEX(Personnel[Vatandaslik],$K69),"")</f>
        <v/>
      </c>
      <c r="D69" s="18" t="str">
        <f>IFERROR(INDEX(Personnel[Santiye],$K69),"")</f>
        <v/>
      </c>
      <c r="E69" s="18" t="str">
        <f>IFERROR(INDEX(Personnel[Ogretmen],$K69),"")</f>
        <v/>
      </c>
      <c r="F69" s="17" t="str">
        <f>IFERROR(INDEX(Personnel[[Sinav ]],$K69),"")</f>
        <v/>
      </c>
      <c r="G69" s="17" t="str">
        <f>IFERROR(INDEX(Personnel[Egtim durumu],$K69),"")</f>
        <v/>
      </c>
      <c r="H69" s="17" t="str">
        <f>IFERROR(INDEX(Personnel[Shohruh Not],$K69),"")</f>
        <v/>
      </c>
      <c r="I69" s="18" t="str">
        <f>IFERROR(INDEX(Personnel[Дней в РФ],$K69),"")</f>
        <v/>
      </c>
      <c r="K69" s="23" t="str">
        <f t="array" ref="K69">IFERROR(_xlfn.AGGREGATE(15,6,(ROW(Personnel[Egtim durumu])-MIN(ROW(Personnel[Egtim durumu]))+1)/((Personnel[Egtim durumu]="Egitime  devem eden")+(Personnel[Egtim durumu]="Egitime alinacak")+(Personnel[Egtim durumu]="sinavi hazir")),ROWS($K$7:K69)),"")</f>
        <v/>
      </c>
    </row>
    <row r="70" spans="1:11" x14ac:dyDescent="0.25">
      <c r="A70" s="28" t="str">
        <f>IFERROR(INDEX(Personnel[Sicil],$K70),"")</f>
        <v/>
      </c>
      <c r="B70" s="29" t="str">
        <f>IFERROR(INDEX(Personnel[Adi Soyadi],$K70),"")</f>
        <v/>
      </c>
      <c r="C70" s="28" t="str">
        <f>IFERROR(INDEX(Personnel[Vatandaslik],$K70),"")</f>
        <v/>
      </c>
      <c r="D70" s="28" t="str">
        <f>IFERROR(INDEX(Personnel[Santiye],$K70),"")</f>
        <v/>
      </c>
      <c r="E70" s="28" t="str">
        <f>IFERROR(INDEX(Personnel[Ogretmen],$K70),"")</f>
        <v/>
      </c>
      <c r="F70" s="29" t="str">
        <f>IFERROR(INDEX(Personnel[[Sinav ]],$K70),"")</f>
        <v/>
      </c>
      <c r="G70" s="29" t="str">
        <f>IFERROR(INDEX(Personnel[Egtim durumu],$K70),"")</f>
        <v/>
      </c>
      <c r="H70" s="29" t="str">
        <f>IFERROR(INDEX(Personnel[Shohruh Not],$K70),"")</f>
        <v/>
      </c>
      <c r="I70" s="28" t="str">
        <f>IFERROR(INDEX(Personnel[Дней в РФ],$K70),"")</f>
        <v/>
      </c>
      <c r="K70" s="23" t="str">
        <f t="array" ref="K70">IFERROR(_xlfn.AGGREGATE(15,6,(ROW(Personnel[Egtim durumu])-MIN(ROW(Personnel[Egtim durumu]))+1)/((Personnel[Egtim durumu]="Egitime  devem eden")+(Personnel[Egtim durumu]="Egitime alinacak")+(Personnel[Egtim durumu]="sinavi hazir")),ROWS($K$7:K70)),"")</f>
        <v/>
      </c>
    </row>
    <row r="71" spans="1:11" x14ac:dyDescent="0.25">
      <c r="A71" s="18" t="str">
        <f>IFERROR(INDEX(Personnel[Sicil],$K71),"")</f>
        <v/>
      </c>
      <c r="B71" s="17" t="str">
        <f>IFERROR(INDEX(Personnel[Adi Soyadi],$K71),"")</f>
        <v/>
      </c>
      <c r="C71" s="18" t="str">
        <f>IFERROR(INDEX(Personnel[Vatandaslik],$K71),"")</f>
        <v/>
      </c>
      <c r="D71" s="18" t="str">
        <f>IFERROR(INDEX(Personnel[Santiye],$K71),"")</f>
        <v/>
      </c>
      <c r="E71" s="18" t="str">
        <f>IFERROR(INDEX(Personnel[Ogretmen],$K71),"")</f>
        <v/>
      </c>
      <c r="F71" s="17" t="str">
        <f>IFERROR(INDEX(Personnel[[Sinav ]],$K71),"")</f>
        <v/>
      </c>
      <c r="G71" s="17" t="str">
        <f>IFERROR(INDEX(Personnel[Egtim durumu],$K71),"")</f>
        <v/>
      </c>
      <c r="H71" s="17" t="str">
        <f>IFERROR(INDEX(Personnel[Shohruh Not],$K71),"")</f>
        <v/>
      </c>
      <c r="I71" s="18" t="str">
        <f>IFERROR(INDEX(Personnel[Дней в РФ],$K71),"")</f>
        <v/>
      </c>
      <c r="K71" s="23" t="str">
        <f t="array" ref="K71">IFERROR(_xlfn.AGGREGATE(15,6,(ROW(Personnel[Egtim durumu])-MIN(ROW(Personnel[Egtim durumu]))+1)/((Personnel[Egtim durumu]="Egitime  devem eden")+(Personnel[Egtim durumu]="Egitime alinacak")+(Personnel[Egtim durumu]="sinavi hazir")),ROWS($K$7:K71)),"")</f>
        <v/>
      </c>
    </row>
    <row r="72" spans="1:11" x14ac:dyDescent="0.25">
      <c r="A72" s="28" t="str">
        <f>IFERROR(INDEX(Personnel[Sicil],$K72),"")</f>
        <v/>
      </c>
      <c r="B72" s="29" t="str">
        <f>IFERROR(INDEX(Personnel[Adi Soyadi],$K72),"")</f>
        <v/>
      </c>
      <c r="C72" s="28" t="str">
        <f>IFERROR(INDEX(Personnel[Vatandaslik],$K72),"")</f>
        <v/>
      </c>
      <c r="D72" s="28" t="str">
        <f>IFERROR(INDEX(Personnel[Santiye],$K72),"")</f>
        <v/>
      </c>
      <c r="E72" s="28" t="str">
        <f>IFERROR(INDEX(Personnel[Ogretmen],$K72),"")</f>
        <v/>
      </c>
      <c r="F72" s="29" t="str">
        <f>IFERROR(INDEX(Personnel[[Sinav ]],$K72),"")</f>
        <v/>
      </c>
      <c r="G72" s="29" t="str">
        <f>IFERROR(INDEX(Personnel[Egtim durumu],$K72),"")</f>
        <v/>
      </c>
      <c r="H72" s="29" t="str">
        <f>IFERROR(INDEX(Personnel[Shohruh Not],$K72),"")</f>
        <v/>
      </c>
      <c r="I72" s="28" t="str">
        <f>IFERROR(INDEX(Personnel[Дней в РФ],$K72),"")</f>
        <v/>
      </c>
      <c r="K72" s="23" t="str">
        <f t="array" ref="K72">IFERROR(_xlfn.AGGREGATE(15,6,(ROW(Personnel[Egtim durumu])-MIN(ROW(Personnel[Egtim durumu]))+1)/((Personnel[Egtim durumu]="Egitime  devem eden")+(Personnel[Egtim durumu]="Egitime alinacak")+(Personnel[Egtim durumu]="sinavi hazir")),ROWS($K$7:K72)),"")</f>
        <v/>
      </c>
    </row>
    <row r="73" spans="1:11" x14ac:dyDescent="0.25">
      <c r="A73" s="18" t="str">
        <f>IFERROR(INDEX(Personnel[Sicil],$K73),"")</f>
        <v/>
      </c>
      <c r="B73" s="17" t="str">
        <f>IFERROR(INDEX(Personnel[Adi Soyadi],$K73),"")</f>
        <v/>
      </c>
      <c r="C73" s="18" t="str">
        <f>IFERROR(INDEX(Personnel[Vatandaslik],$K73),"")</f>
        <v/>
      </c>
      <c r="D73" s="18" t="str">
        <f>IFERROR(INDEX(Personnel[Santiye],$K73),"")</f>
        <v/>
      </c>
      <c r="E73" s="18" t="str">
        <f>IFERROR(INDEX(Personnel[Ogretmen],$K73),"")</f>
        <v/>
      </c>
      <c r="F73" s="17" t="str">
        <f>IFERROR(INDEX(Personnel[[Sinav ]],$K73),"")</f>
        <v/>
      </c>
      <c r="G73" s="17" t="str">
        <f>IFERROR(INDEX(Personnel[Egtim durumu],$K73),"")</f>
        <v/>
      </c>
      <c r="H73" s="17" t="str">
        <f>IFERROR(INDEX(Personnel[Shohruh Not],$K73),"")</f>
        <v/>
      </c>
      <c r="I73" s="18" t="str">
        <f>IFERROR(INDEX(Personnel[Дней в РФ],$K73),"")</f>
        <v/>
      </c>
      <c r="K73" s="23" t="str">
        <f t="array" ref="K73">IFERROR(_xlfn.AGGREGATE(15,6,(ROW(Personnel[Egtim durumu])-MIN(ROW(Personnel[Egtim durumu]))+1)/((Personnel[Egtim durumu]="Egitime  devem eden")+(Personnel[Egtim durumu]="Egitime alinacak")+(Personnel[Egtim durumu]="sinavi hazir")),ROWS($K$7:K73)),"")</f>
        <v/>
      </c>
    </row>
    <row r="74" spans="1:11" x14ac:dyDescent="0.25">
      <c r="A74" s="28" t="str">
        <f>IFERROR(INDEX(Personnel[Sicil],$K74),"")</f>
        <v/>
      </c>
      <c r="B74" s="29" t="str">
        <f>IFERROR(INDEX(Personnel[Adi Soyadi],$K74),"")</f>
        <v/>
      </c>
      <c r="C74" s="28" t="str">
        <f>IFERROR(INDEX(Personnel[Vatandaslik],$K74),"")</f>
        <v/>
      </c>
      <c r="D74" s="28" t="str">
        <f>IFERROR(INDEX(Personnel[Santiye],$K74),"")</f>
        <v/>
      </c>
      <c r="E74" s="28" t="str">
        <f>IFERROR(INDEX(Personnel[Ogretmen],$K74),"")</f>
        <v/>
      </c>
      <c r="F74" s="29" t="str">
        <f>IFERROR(INDEX(Personnel[[Sinav ]],$K74),"")</f>
        <v/>
      </c>
      <c r="G74" s="29" t="str">
        <f>IFERROR(INDEX(Personnel[Egtim durumu],$K74),"")</f>
        <v/>
      </c>
      <c r="H74" s="29" t="str">
        <f>IFERROR(INDEX(Personnel[Shohruh Not],$K74),"")</f>
        <v/>
      </c>
      <c r="I74" s="28" t="str">
        <f>IFERROR(INDEX(Personnel[Дней в РФ],$K74),"")</f>
        <v/>
      </c>
      <c r="K74" s="23" t="str">
        <f t="array" ref="K74">IFERROR(_xlfn.AGGREGATE(15,6,(ROW(Personnel[Egtim durumu])-MIN(ROW(Personnel[Egtim durumu]))+1)/((Personnel[Egtim durumu]="Egitime  devem eden")+(Personnel[Egtim durumu]="Egitime alinacak")+(Personnel[Egtim durumu]="sinavi hazir")),ROWS($K$7:K74)),"")</f>
        <v/>
      </c>
    </row>
    <row r="75" spans="1:11" x14ac:dyDescent="0.25">
      <c r="A75" s="18" t="str">
        <f>IFERROR(INDEX(Personnel[Sicil],$K75),"")</f>
        <v/>
      </c>
      <c r="B75" s="17" t="str">
        <f>IFERROR(INDEX(Personnel[Adi Soyadi],$K75),"")</f>
        <v/>
      </c>
      <c r="C75" s="18" t="str">
        <f>IFERROR(INDEX(Personnel[Vatandaslik],$K75),"")</f>
        <v/>
      </c>
      <c r="D75" s="18" t="str">
        <f>IFERROR(INDEX(Personnel[Santiye],$K75),"")</f>
        <v/>
      </c>
      <c r="E75" s="18" t="str">
        <f>IFERROR(INDEX(Personnel[Ogretmen],$K75),"")</f>
        <v/>
      </c>
      <c r="F75" s="17" t="str">
        <f>IFERROR(INDEX(Personnel[[Sinav ]],$K75),"")</f>
        <v/>
      </c>
      <c r="G75" s="17" t="str">
        <f>IFERROR(INDEX(Personnel[Egtim durumu],$K75),"")</f>
        <v/>
      </c>
      <c r="H75" s="17" t="str">
        <f>IFERROR(INDEX(Personnel[Shohruh Not],$K75),"")</f>
        <v/>
      </c>
      <c r="I75" s="18" t="str">
        <f>IFERROR(INDEX(Personnel[Дней в РФ],$K75),"")</f>
        <v/>
      </c>
      <c r="K75" s="23" t="str">
        <f t="array" ref="K75">IFERROR(_xlfn.AGGREGATE(15,6,(ROW(Personnel[Egtim durumu])-MIN(ROW(Personnel[Egtim durumu]))+1)/((Personnel[Egtim durumu]="Egitime  devem eden")+(Personnel[Egtim durumu]="Egitime alinacak")+(Personnel[Egtim durumu]="sinavi hazir")),ROWS($K$7:K75)),"")</f>
        <v/>
      </c>
    </row>
    <row r="76" spans="1:11" x14ac:dyDescent="0.25">
      <c r="A76" s="28" t="str">
        <f>IFERROR(INDEX(Personnel[Sicil],$K76),"")</f>
        <v/>
      </c>
      <c r="B76" s="29" t="str">
        <f>IFERROR(INDEX(Personnel[Adi Soyadi],$K76),"")</f>
        <v/>
      </c>
      <c r="C76" s="28" t="str">
        <f>IFERROR(INDEX(Personnel[Vatandaslik],$K76),"")</f>
        <v/>
      </c>
      <c r="D76" s="28" t="str">
        <f>IFERROR(INDEX(Personnel[Santiye],$K76),"")</f>
        <v/>
      </c>
      <c r="E76" s="28" t="str">
        <f>IFERROR(INDEX(Personnel[Ogretmen],$K76),"")</f>
        <v/>
      </c>
      <c r="F76" s="29" t="str">
        <f>IFERROR(INDEX(Personnel[[Sinav ]],$K76),"")</f>
        <v/>
      </c>
      <c r="G76" s="29" t="str">
        <f>IFERROR(INDEX(Personnel[Egtim durumu],$K76),"")</f>
        <v/>
      </c>
      <c r="H76" s="29" t="str">
        <f>IFERROR(INDEX(Personnel[Shohruh Not],$K76),"")</f>
        <v/>
      </c>
      <c r="I76" s="28" t="str">
        <f>IFERROR(INDEX(Personnel[Дней в РФ],$K76),"")</f>
        <v/>
      </c>
      <c r="K76" s="23" t="str">
        <f t="array" ref="K76">IFERROR(_xlfn.AGGREGATE(15,6,(ROW(Personnel[Egtim durumu])-MIN(ROW(Personnel[Egtim durumu]))+1)/((Personnel[Egtim durumu]="Egitime  devem eden")+(Personnel[Egtim durumu]="Egitime alinacak")+(Personnel[Egtim durumu]="sinavi hazir")),ROWS($K$7:K76)),"")</f>
        <v/>
      </c>
    </row>
    <row r="77" spans="1:11" x14ac:dyDescent="0.25">
      <c r="A77" s="18" t="str">
        <f>IFERROR(INDEX(Personnel[Sicil],$K77),"")</f>
        <v/>
      </c>
      <c r="B77" s="17" t="str">
        <f>IFERROR(INDEX(Personnel[Adi Soyadi],$K77),"")</f>
        <v/>
      </c>
      <c r="C77" s="18" t="str">
        <f>IFERROR(INDEX(Personnel[Vatandaslik],$K77),"")</f>
        <v/>
      </c>
      <c r="D77" s="18" t="str">
        <f>IFERROR(INDEX(Personnel[Santiye],$K77),"")</f>
        <v/>
      </c>
      <c r="E77" s="18" t="str">
        <f>IFERROR(INDEX(Personnel[Ogretmen],$K77),"")</f>
        <v/>
      </c>
      <c r="F77" s="17" t="str">
        <f>IFERROR(INDEX(Personnel[[Sinav ]],$K77),"")</f>
        <v/>
      </c>
      <c r="G77" s="17" t="str">
        <f>IFERROR(INDEX(Personnel[Egtim durumu],$K77),"")</f>
        <v/>
      </c>
      <c r="H77" s="17" t="str">
        <f>IFERROR(INDEX(Personnel[Shohruh Not],$K77),"")</f>
        <v/>
      </c>
      <c r="I77" s="18" t="str">
        <f>IFERROR(INDEX(Personnel[Дней в РФ],$K77),"")</f>
        <v/>
      </c>
      <c r="K77" s="23" t="str">
        <f t="array" ref="K77">IFERROR(_xlfn.AGGREGATE(15,6,(ROW(Personnel[Egtim durumu])-MIN(ROW(Personnel[Egtim durumu]))+1)/((Personnel[Egtim durumu]="Egitime  devem eden")+(Personnel[Egtim durumu]="Egitime alinacak")+(Personnel[Egtim durumu]="sinavi hazir")),ROWS($K$7:K77)),"")</f>
        <v/>
      </c>
    </row>
    <row r="78" spans="1:11" x14ac:dyDescent="0.25">
      <c r="A78" s="28" t="str">
        <f>IFERROR(INDEX(Personnel[Sicil],$K78),"")</f>
        <v/>
      </c>
      <c r="B78" s="29" t="str">
        <f>IFERROR(INDEX(Personnel[Adi Soyadi],$K78),"")</f>
        <v/>
      </c>
      <c r="C78" s="28" t="str">
        <f>IFERROR(INDEX(Personnel[Vatandaslik],$K78),"")</f>
        <v/>
      </c>
      <c r="D78" s="28" t="str">
        <f>IFERROR(INDEX(Personnel[Santiye],$K78),"")</f>
        <v/>
      </c>
      <c r="E78" s="28" t="str">
        <f>IFERROR(INDEX(Personnel[Ogretmen],$K78),"")</f>
        <v/>
      </c>
      <c r="F78" s="29" t="str">
        <f>IFERROR(INDEX(Personnel[[Sinav ]],$K78),"")</f>
        <v/>
      </c>
      <c r="G78" s="29" t="str">
        <f>IFERROR(INDEX(Personnel[Egtim durumu],$K78),"")</f>
        <v/>
      </c>
      <c r="H78" s="29" t="str">
        <f>IFERROR(INDEX(Personnel[Shohruh Not],$K78),"")</f>
        <v/>
      </c>
      <c r="I78" s="28" t="str">
        <f>IFERROR(INDEX(Personnel[Дней в РФ],$K78),"")</f>
        <v/>
      </c>
      <c r="K78" s="23" t="str">
        <f t="array" ref="K78">IFERROR(_xlfn.AGGREGATE(15,6,(ROW(Personnel[Egtim durumu])-MIN(ROW(Personnel[Egtim durumu]))+1)/((Personnel[Egtim durumu]="Egitime  devem eden")+(Personnel[Egtim durumu]="Egitime alinacak")+(Personnel[Egtim durumu]="sinavi hazir")),ROWS($K$7:K78)),"")</f>
        <v/>
      </c>
    </row>
    <row r="79" spans="1:11" x14ac:dyDescent="0.25">
      <c r="A79" s="18" t="str">
        <f>IFERROR(INDEX(Personnel[Sicil],$K79),"")</f>
        <v/>
      </c>
      <c r="B79" s="17" t="str">
        <f>IFERROR(INDEX(Personnel[Adi Soyadi],$K79),"")</f>
        <v/>
      </c>
      <c r="C79" s="18" t="str">
        <f>IFERROR(INDEX(Personnel[Vatandaslik],$K79),"")</f>
        <v/>
      </c>
      <c r="D79" s="18" t="str">
        <f>IFERROR(INDEX(Personnel[Santiye],$K79),"")</f>
        <v/>
      </c>
      <c r="E79" s="18" t="str">
        <f>IFERROR(INDEX(Personnel[Ogretmen],$K79),"")</f>
        <v/>
      </c>
      <c r="F79" s="17" t="str">
        <f>IFERROR(INDEX(Personnel[[Sinav ]],$K79),"")</f>
        <v/>
      </c>
      <c r="G79" s="17" t="str">
        <f>IFERROR(INDEX(Personnel[Egtim durumu],$K79),"")</f>
        <v/>
      </c>
      <c r="H79" s="17" t="str">
        <f>IFERROR(INDEX(Personnel[Shohruh Not],$K79),"")</f>
        <v/>
      </c>
      <c r="I79" s="18" t="str">
        <f>IFERROR(INDEX(Personnel[Дней в РФ],$K79),"")</f>
        <v/>
      </c>
      <c r="K79" s="23" t="str">
        <f t="array" ref="K79">IFERROR(_xlfn.AGGREGATE(15,6,(ROW(Personnel[Egtim durumu])-MIN(ROW(Personnel[Egtim durumu]))+1)/((Personnel[Egtim durumu]="Egitime  devem eden")+(Personnel[Egtim durumu]="Egitime alinacak")+(Personnel[Egtim durumu]="sinavi hazir")),ROWS($K$7:K79)),"")</f>
        <v/>
      </c>
    </row>
    <row r="80" spans="1:11" x14ac:dyDescent="0.25">
      <c r="A80" s="28" t="str">
        <f>IFERROR(INDEX(Personnel[Sicil],$K80),"")</f>
        <v/>
      </c>
      <c r="B80" s="29" t="str">
        <f>IFERROR(INDEX(Personnel[Adi Soyadi],$K80),"")</f>
        <v/>
      </c>
      <c r="C80" s="28" t="str">
        <f>IFERROR(INDEX(Personnel[Vatandaslik],$K80),"")</f>
        <v/>
      </c>
      <c r="D80" s="28" t="str">
        <f>IFERROR(INDEX(Personnel[Santiye],$K80),"")</f>
        <v/>
      </c>
      <c r="E80" s="28" t="str">
        <f>IFERROR(INDEX(Personnel[Ogretmen],$K80),"")</f>
        <v/>
      </c>
      <c r="F80" s="29" t="str">
        <f>IFERROR(INDEX(Personnel[[Sinav ]],$K80),"")</f>
        <v/>
      </c>
      <c r="G80" s="29" t="str">
        <f>IFERROR(INDEX(Personnel[Egtim durumu],$K80),"")</f>
        <v/>
      </c>
      <c r="H80" s="29" t="str">
        <f>IFERROR(INDEX(Personnel[Shohruh Not],$K80),"")</f>
        <v/>
      </c>
      <c r="I80" s="28" t="str">
        <f>IFERROR(INDEX(Personnel[Дней в РФ],$K80),"")</f>
        <v/>
      </c>
      <c r="K80" s="23" t="str">
        <f t="array" ref="K80">IFERROR(_xlfn.AGGREGATE(15,6,(ROW(Personnel[Egtim durumu])-MIN(ROW(Personnel[Egtim durumu]))+1)/((Personnel[Egtim durumu]="Egitime  devem eden")+(Personnel[Egtim durumu]="Egitime alinacak")+(Personnel[Egtim durumu]="sinavi hazir")),ROWS($K$7:K80)),"")</f>
        <v/>
      </c>
    </row>
    <row r="81" spans="1:11" x14ac:dyDescent="0.25">
      <c r="A81" s="18" t="str">
        <f>IFERROR(INDEX(Personnel[Sicil],$K81),"")</f>
        <v/>
      </c>
      <c r="B81" s="17" t="str">
        <f>IFERROR(INDEX(Personnel[Adi Soyadi],$K81),"")</f>
        <v/>
      </c>
      <c r="C81" s="18" t="str">
        <f>IFERROR(INDEX(Personnel[Vatandaslik],$K81),"")</f>
        <v/>
      </c>
      <c r="D81" s="18" t="str">
        <f>IFERROR(INDEX(Personnel[Santiye],$K81),"")</f>
        <v/>
      </c>
      <c r="E81" s="18" t="str">
        <f>IFERROR(INDEX(Personnel[Ogretmen],$K81),"")</f>
        <v/>
      </c>
      <c r="F81" s="17" t="str">
        <f>IFERROR(INDEX(Personnel[[Sinav ]],$K81),"")</f>
        <v/>
      </c>
      <c r="G81" s="17" t="str">
        <f>IFERROR(INDEX(Personnel[Egtim durumu],$K81),"")</f>
        <v/>
      </c>
      <c r="H81" s="17" t="str">
        <f>IFERROR(INDEX(Personnel[Shohruh Not],$K81),"")</f>
        <v/>
      </c>
      <c r="I81" s="18" t="str">
        <f>IFERROR(INDEX(Personnel[Дней в РФ],$K81),"")</f>
        <v/>
      </c>
      <c r="K81" s="23" t="str">
        <f t="array" ref="K81">IFERROR(_xlfn.AGGREGATE(15,6,(ROW(Personnel[Egtim durumu])-MIN(ROW(Personnel[Egtim durumu]))+1)/((Personnel[Egtim durumu]="Egitime  devem eden")+(Personnel[Egtim durumu]="Egitime alinacak")+(Personnel[Egtim durumu]="sinavi hazir")),ROWS($K$7:K81)),"")</f>
        <v/>
      </c>
    </row>
    <row r="82" spans="1:11" x14ac:dyDescent="0.25">
      <c r="A82" s="28" t="str">
        <f>IFERROR(INDEX(Personnel[Sicil],$K82),"")</f>
        <v/>
      </c>
      <c r="B82" s="29" t="str">
        <f>IFERROR(INDEX(Personnel[Adi Soyadi],$K82),"")</f>
        <v/>
      </c>
      <c r="C82" s="28" t="str">
        <f>IFERROR(INDEX(Personnel[Vatandaslik],$K82),"")</f>
        <v/>
      </c>
      <c r="D82" s="28" t="str">
        <f>IFERROR(INDEX(Personnel[Santiye],$K82),"")</f>
        <v/>
      </c>
      <c r="E82" s="28" t="str">
        <f>IFERROR(INDEX(Personnel[Ogretmen],$K82),"")</f>
        <v/>
      </c>
      <c r="F82" s="29" t="str">
        <f>IFERROR(INDEX(Personnel[[Sinav ]],$K82),"")</f>
        <v/>
      </c>
      <c r="G82" s="29" t="str">
        <f>IFERROR(INDEX(Personnel[Egtim durumu],$K82),"")</f>
        <v/>
      </c>
      <c r="H82" s="29" t="str">
        <f>IFERROR(INDEX(Personnel[Shohruh Not],$K82),"")</f>
        <v/>
      </c>
      <c r="I82" s="28" t="str">
        <f>IFERROR(INDEX(Personnel[Дней в РФ],$K82),"")</f>
        <v/>
      </c>
      <c r="K82" s="23" t="str">
        <f t="array" ref="K82">IFERROR(_xlfn.AGGREGATE(15,6,(ROW(Personnel[Egtim durumu])-MIN(ROW(Personnel[Egtim durumu]))+1)/((Personnel[Egtim durumu]="Egitime  devem eden")+(Personnel[Egtim durumu]="Egitime alinacak")+(Personnel[Egtim durumu]="sinavi hazir")),ROWS($K$7:K82)),"")</f>
        <v/>
      </c>
    </row>
    <row r="83" spans="1:11" x14ac:dyDescent="0.25">
      <c r="A83" s="18" t="str">
        <f>IFERROR(INDEX(Personnel[Sicil],$K83),"")</f>
        <v/>
      </c>
      <c r="B83" s="17" t="str">
        <f>IFERROR(INDEX(Personnel[Adi Soyadi],$K83),"")</f>
        <v/>
      </c>
      <c r="C83" s="18" t="str">
        <f>IFERROR(INDEX(Personnel[Vatandaslik],$K83),"")</f>
        <v/>
      </c>
      <c r="D83" s="18" t="str">
        <f>IFERROR(INDEX(Personnel[Santiye],$K83),"")</f>
        <v/>
      </c>
      <c r="E83" s="18" t="str">
        <f>IFERROR(INDEX(Personnel[Ogretmen],$K83),"")</f>
        <v/>
      </c>
      <c r="F83" s="17" t="str">
        <f>IFERROR(INDEX(Personnel[[Sinav ]],$K83),"")</f>
        <v/>
      </c>
      <c r="G83" s="17" t="str">
        <f>IFERROR(INDEX(Personnel[Egtim durumu],$K83),"")</f>
        <v/>
      </c>
      <c r="H83" s="17" t="str">
        <f>IFERROR(INDEX(Personnel[Shohruh Not],$K83),"")</f>
        <v/>
      </c>
      <c r="I83" s="18" t="str">
        <f>IFERROR(INDEX(Personnel[Дней в РФ],$K83),"")</f>
        <v/>
      </c>
      <c r="K83" s="23" t="str">
        <f t="array" ref="K83">IFERROR(_xlfn.AGGREGATE(15,6,(ROW(Personnel[Egtim durumu])-MIN(ROW(Personnel[Egtim durumu]))+1)/((Personnel[Egtim durumu]="Egitime  devem eden")+(Personnel[Egtim durumu]="Egitime alinacak")+(Personnel[Egtim durumu]="sinavi hazir")),ROWS($K$7:K83)),"")</f>
        <v/>
      </c>
    </row>
    <row r="84" spans="1:11" x14ac:dyDescent="0.25">
      <c r="A84" s="28" t="str">
        <f>IFERROR(INDEX(Personnel[Sicil],$K84),"")</f>
        <v/>
      </c>
      <c r="B84" s="29" t="str">
        <f>IFERROR(INDEX(Personnel[Adi Soyadi],$K84),"")</f>
        <v/>
      </c>
      <c r="C84" s="28" t="str">
        <f>IFERROR(INDEX(Personnel[Vatandaslik],$K84),"")</f>
        <v/>
      </c>
      <c r="D84" s="28" t="str">
        <f>IFERROR(INDEX(Personnel[Santiye],$K84),"")</f>
        <v/>
      </c>
      <c r="E84" s="28" t="str">
        <f>IFERROR(INDEX(Personnel[Ogretmen],$K84),"")</f>
        <v/>
      </c>
      <c r="F84" s="29" t="str">
        <f>IFERROR(INDEX(Personnel[[Sinav ]],$K84),"")</f>
        <v/>
      </c>
      <c r="G84" s="29" t="str">
        <f>IFERROR(INDEX(Personnel[Egtim durumu],$K84),"")</f>
        <v/>
      </c>
      <c r="H84" s="29" t="str">
        <f>IFERROR(INDEX(Personnel[Shohruh Not],$K84),"")</f>
        <v/>
      </c>
      <c r="I84" s="28" t="str">
        <f>IFERROR(INDEX(Personnel[Дней в РФ],$K84),"")</f>
        <v/>
      </c>
      <c r="K84" s="23" t="str">
        <f t="array" ref="K84">IFERROR(_xlfn.AGGREGATE(15,6,(ROW(Personnel[Egtim durumu])-MIN(ROW(Personnel[Egtim durumu]))+1)/((Personnel[Egtim durumu]="Egitime  devem eden")+(Personnel[Egtim durumu]="Egitime alinacak")+(Personnel[Egtim durumu]="sinavi hazir")),ROWS($K$7:K84)),"")</f>
        <v/>
      </c>
    </row>
    <row r="85" spans="1:11" x14ac:dyDescent="0.25">
      <c r="A85" s="18" t="str">
        <f>IFERROR(INDEX(Personnel[Sicil],$K85),"")</f>
        <v/>
      </c>
      <c r="B85" s="17" t="str">
        <f>IFERROR(INDEX(Personnel[Adi Soyadi],$K85),"")</f>
        <v/>
      </c>
      <c r="C85" s="18" t="str">
        <f>IFERROR(INDEX(Personnel[Vatandaslik],$K85),"")</f>
        <v/>
      </c>
      <c r="D85" s="18" t="str">
        <f>IFERROR(INDEX(Personnel[Santiye],$K85),"")</f>
        <v/>
      </c>
      <c r="E85" s="18" t="str">
        <f>IFERROR(INDEX(Personnel[Ogretmen],$K85),"")</f>
        <v/>
      </c>
      <c r="F85" s="17" t="str">
        <f>IFERROR(INDEX(Personnel[[Sinav ]],$K85),"")</f>
        <v/>
      </c>
      <c r="G85" s="17" t="str">
        <f>IFERROR(INDEX(Personnel[Egtim durumu],$K85),"")</f>
        <v/>
      </c>
      <c r="H85" s="17" t="str">
        <f>IFERROR(INDEX(Personnel[Shohruh Not],$K85),"")</f>
        <v/>
      </c>
      <c r="I85" s="18" t="str">
        <f>IFERROR(INDEX(Personnel[Дней в РФ],$K85),"")</f>
        <v/>
      </c>
      <c r="K85" s="23" t="str">
        <f t="array" ref="K85">IFERROR(_xlfn.AGGREGATE(15,6,(ROW(Personnel[Egtim durumu])-MIN(ROW(Personnel[Egtim durumu]))+1)/((Personnel[Egtim durumu]="Egitime  devem eden")+(Personnel[Egtim durumu]="Egitime alinacak")+(Personnel[Egtim durumu]="sinavi hazir")),ROWS($K$7:K85)),"")</f>
        <v/>
      </c>
    </row>
    <row r="86" spans="1:11" x14ac:dyDescent="0.25">
      <c r="A86" s="28" t="str">
        <f>IFERROR(INDEX(Personnel[Sicil],$K86),"")</f>
        <v/>
      </c>
      <c r="B86" s="29" t="str">
        <f>IFERROR(INDEX(Personnel[Adi Soyadi],$K86),"")</f>
        <v/>
      </c>
      <c r="C86" s="28" t="str">
        <f>IFERROR(INDEX(Personnel[Vatandaslik],$K86),"")</f>
        <v/>
      </c>
      <c r="D86" s="28" t="str">
        <f>IFERROR(INDEX(Personnel[Santiye],$K86),"")</f>
        <v/>
      </c>
      <c r="E86" s="28" t="str">
        <f>IFERROR(INDEX(Personnel[Ogretmen],$K86),"")</f>
        <v/>
      </c>
      <c r="F86" s="29" t="str">
        <f>IFERROR(INDEX(Personnel[[Sinav ]],$K86),"")</f>
        <v/>
      </c>
      <c r="G86" s="29" t="str">
        <f>IFERROR(INDEX(Personnel[Egtim durumu],$K86),"")</f>
        <v/>
      </c>
      <c r="H86" s="29" t="str">
        <f>IFERROR(INDEX(Personnel[Shohruh Not],$K86),"")</f>
        <v/>
      </c>
      <c r="I86" s="28" t="str">
        <f>IFERROR(INDEX(Personnel[Дней в РФ],$K86),"")</f>
        <v/>
      </c>
      <c r="K86" s="23" t="str">
        <f t="array" ref="K86">IFERROR(_xlfn.AGGREGATE(15,6,(ROW(Personnel[Egtim durumu])-MIN(ROW(Personnel[Egtim durumu]))+1)/((Personnel[Egtim durumu]="Egitime  devem eden")+(Personnel[Egtim durumu]="Egitime alinacak")+(Personnel[Egtim durumu]="sinavi hazir")),ROWS($K$7:K86)),"")</f>
        <v/>
      </c>
    </row>
    <row r="87" spans="1:11" x14ac:dyDescent="0.25">
      <c r="A87" s="18" t="str">
        <f>IFERROR(INDEX(Personnel[Sicil],$K87),"")</f>
        <v/>
      </c>
      <c r="B87" s="17" t="str">
        <f>IFERROR(INDEX(Personnel[Adi Soyadi],$K87),"")</f>
        <v/>
      </c>
      <c r="C87" s="18" t="str">
        <f>IFERROR(INDEX(Personnel[Vatandaslik],$K87),"")</f>
        <v/>
      </c>
      <c r="D87" s="18" t="str">
        <f>IFERROR(INDEX(Personnel[Santiye],$K87),"")</f>
        <v/>
      </c>
      <c r="E87" s="18" t="str">
        <f>IFERROR(INDEX(Personnel[Ogretmen],$K87),"")</f>
        <v/>
      </c>
      <c r="F87" s="17" t="str">
        <f>IFERROR(INDEX(Personnel[[Sinav ]],$K87),"")</f>
        <v/>
      </c>
      <c r="G87" s="17" t="str">
        <f>IFERROR(INDEX(Personnel[Egtim durumu],$K87),"")</f>
        <v/>
      </c>
      <c r="H87" s="17" t="str">
        <f>IFERROR(INDEX(Personnel[Shohruh Not],$K87),"")</f>
        <v/>
      </c>
      <c r="I87" s="18" t="str">
        <f>IFERROR(INDEX(Personnel[Дней в РФ],$K87),"")</f>
        <v/>
      </c>
      <c r="K87" s="23" t="str">
        <f t="array" ref="K87">IFERROR(_xlfn.AGGREGATE(15,6,(ROW(Personnel[Egtim durumu])-MIN(ROW(Personnel[Egtim durumu]))+1)/((Personnel[Egtim durumu]="Egitime  devem eden")+(Personnel[Egtim durumu]="Egitime alinacak")+(Personnel[Egtim durumu]="sinavi hazir")),ROWS($K$7:K87)),"")</f>
        <v/>
      </c>
    </row>
    <row r="88" spans="1:11" x14ac:dyDescent="0.25">
      <c r="A88" s="28" t="str">
        <f>IFERROR(INDEX(Personnel[Sicil],$K88),"")</f>
        <v/>
      </c>
      <c r="B88" s="29" t="str">
        <f>IFERROR(INDEX(Personnel[Adi Soyadi],$K88),"")</f>
        <v/>
      </c>
      <c r="C88" s="28" t="str">
        <f>IFERROR(INDEX(Personnel[Vatandaslik],$K88),"")</f>
        <v/>
      </c>
      <c r="D88" s="28" t="str">
        <f>IFERROR(INDEX(Personnel[Santiye],$K88),"")</f>
        <v/>
      </c>
      <c r="E88" s="28" t="str">
        <f>IFERROR(INDEX(Personnel[Ogretmen],$K88),"")</f>
        <v/>
      </c>
      <c r="F88" s="29" t="str">
        <f>IFERROR(INDEX(Personnel[[Sinav ]],$K88),"")</f>
        <v/>
      </c>
      <c r="G88" s="29" t="str">
        <f>IFERROR(INDEX(Personnel[Egtim durumu],$K88),"")</f>
        <v/>
      </c>
      <c r="H88" s="29" t="str">
        <f>IFERROR(INDEX(Personnel[Shohruh Not],$K88),"")</f>
        <v/>
      </c>
      <c r="I88" s="28" t="str">
        <f>IFERROR(INDEX(Personnel[Дней в РФ],$K88),"")</f>
        <v/>
      </c>
      <c r="K88" s="23" t="str">
        <f t="array" ref="K88">IFERROR(_xlfn.AGGREGATE(15,6,(ROW(Personnel[Egtim durumu])-MIN(ROW(Personnel[Egtim durumu]))+1)/((Personnel[Egtim durumu]="Egitime  devem eden")+(Personnel[Egtim durumu]="Egitime alinacak")+(Personnel[Egtim durumu]="sinavi hazir")),ROWS($K$7:K88)),"")</f>
        <v/>
      </c>
    </row>
    <row r="89" spans="1:11" x14ac:dyDescent="0.25">
      <c r="A89" s="18" t="str">
        <f>IFERROR(INDEX(Personnel[Sicil],$K89),"")</f>
        <v/>
      </c>
      <c r="B89" s="17" t="str">
        <f>IFERROR(INDEX(Personnel[Adi Soyadi],$K89),"")</f>
        <v/>
      </c>
      <c r="C89" s="18" t="str">
        <f>IFERROR(INDEX(Personnel[Vatandaslik],$K89),"")</f>
        <v/>
      </c>
      <c r="D89" s="18" t="str">
        <f>IFERROR(INDEX(Personnel[Santiye],$K89),"")</f>
        <v/>
      </c>
      <c r="E89" s="18" t="str">
        <f>IFERROR(INDEX(Personnel[Ogretmen],$K89),"")</f>
        <v/>
      </c>
      <c r="F89" s="17" t="str">
        <f>IFERROR(INDEX(Personnel[[Sinav ]],$K89),"")</f>
        <v/>
      </c>
      <c r="G89" s="17" t="str">
        <f>IFERROR(INDEX(Personnel[Egtim durumu],$K89),"")</f>
        <v/>
      </c>
      <c r="H89" s="17" t="str">
        <f>IFERROR(INDEX(Personnel[Shohruh Not],$K89),"")</f>
        <v/>
      </c>
      <c r="I89" s="18" t="str">
        <f>IFERROR(INDEX(Personnel[Дней в РФ],$K89),"")</f>
        <v/>
      </c>
      <c r="K89" s="23" t="str">
        <f t="array" ref="K89">IFERROR(_xlfn.AGGREGATE(15,6,(ROW(Personnel[Egtim durumu])-MIN(ROW(Personnel[Egtim durumu]))+1)/((Personnel[Egtim durumu]="Egitime  devem eden")+(Personnel[Egtim durumu]="Egitime alinacak")+(Personnel[Egtim durumu]="sinavi hazir")),ROWS($K$7:K89)),"")</f>
        <v/>
      </c>
    </row>
    <row r="90" spans="1:11" x14ac:dyDescent="0.25">
      <c r="A90" s="28" t="str">
        <f>IFERROR(INDEX(Personnel[Sicil],$K90),"")</f>
        <v/>
      </c>
      <c r="B90" s="29" t="str">
        <f>IFERROR(INDEX(Personnel[Adi Soyadi],$K90),"")</f>
        <v/>
      </c>
      <c r="C90" s="28" t="str">
        <f>IFERROR(INDEX(Personnel[Vatandaslik],$K90),"")</f>
        <v/>
      </c>
      <c r="D90" s="28" t="str">
        <f>IFERROR(INDEX(Personnel[Santiye],$K90),"")</f>
        <v/>
      </c>
      <c r="E90" s="28" t="str">
        <f>IFERROR(INDEX(Personnel[Ogretmen],$K90),"")</f>
        <v/>
      </c>
      <c r="F90" s="29" t="str">
        <f>IFERROR(INDEX(Personnel[[Sinav ]],$K90),"")</f>
        <v/>
      </c>
      <c r="G90" s="29" t="str">
        <f>IFERROR(INDEX(Personnel[Egtim durumu],$K90),"")</f>
        <v/>
      </c>
      <c r="H90" s="29" t="str">
        <f>IFERROR(INDEX(Personnel[Shohruh Not],$K90),"")</f>
        <v/>
      </c>
      <c r="I90" s="28" t="str">
        <f>IFERROR(INDEX(Personnel[Дней в РФ],$K90),"")</f>
        <v/>
      </c>
      <c r="K90" s="23" t="str">
        <f t="array" ref="K90">IFERROR(_xlfn.AGGREGATE(15,6,(ROW(Personnel[Egtim durumu])-MIN(ROW(Personnel[Egtim durumu]))+1)/((Personnel[Egtim durumu]="Egitime  devem eden")+(Personnel[Egtim durumu]="Egitime alinacak")+(Personnel[Egtim durumu]="sinavi hazir")),ROWS($K$7:K90)),"")</f>
        <v/>
      </c>
    </row>
    <row r="91" spans="1:11" x14ac:dyDescent="0.25">
      <c r="A91" s="18" t="str">
        <f>IFERROR(INDEX(Personnel[Sicil],$K91),"")</f>
        <v/>
      </c>
      <c r="B91" s="17" t="str">
        <f>IFERROR(INDEX(Personnel[Adi Soyadi],$K91),"")</f>
        <v/>
      </c>
      <c r="C91" s="18" t="str">
        <f>IFERROR(INDEX(Personnel[Vatandaslik],$K91),"")</f>
        <v/>
      </c>
      <c r="D91" s="18" t="str">
        <f>IFERROR(INDEX(Personnel[Santiye],$K91),"")</f>
        <v/>
      </c>
      <c r="E91" s="18" t="str">
        <f>IFERROR(INDEX(Personnel[Ogretmen],$K91),"")</f>
        <v/>
      </c>
      <c r="F91" s="17" t="str">
        <f>IFERROR(INDEX(Personnel[[Sinav ]],$K91),"")</f>
        <v/>
      </c>
      <c r="G91" s="17" t="str">
        <f>IFERROR(INDEX(Personnel[Egtim durumu],$K91),"")</f>
        <v/>
      </c>
      <c r="H91" s="17" t="str">
        <f>IFERROR(INDEX(Personnel[Shohruh Not],$K91),"")</f>
        <v/>
      </c>
      <c r="I91" s="18" t="str">
        <f>IFERROR(INDEX(Personnel[Дней в РФ],$K91),"")</f>
        <v/>
      </c>
      <c r="K91" s="23" t="str">
        <f t="array" ref="K91">IFERROR(_xlfn.AGGREGATE(15,6,(ROW(Personnel[Egtim durumu])-MIN(ROW(Personnel[Egtim durumu]))+1)/((Personnel[Egtim durumu]="Egitime  devem eden")+(Personnel[Egtim durumu]="Egitime alinacak")+(Personnel[Egtim durumu]="sinavi hazir")),ROWS($K$7:K91)),"")</f>
        <v/>
      </c>
    </row>
    <row r="92" spans="1:11" x14ac:dyDescent="0.25">
      <c r="A92" s="28" t="str">
        <f>IFERROR(INDEX(Personnel[Sicil],$K92),"")</f>
        <v/>
      </c>
      <c r="B92" s="29" t="str">
        <f>IFERROR(INDEX(Personnel[Adi Soyadi],$K92),"")</f>
        <v/>
      </c>
      <c r="C92" s="28" t="str">
        <f>IFERROR(INDEX(Personnel[Vatandaslik],$K92),"")</f>
        <v/>
      </c>
      <c r="D92" s="28" t="str">
        <f>IFERROR(INDEX(Personnel[Santiye],$K92),"")</f>
        <v/>
      </c>
      <c r="E92" s="28" t="str">
        <f>IFERROR(INDEX(Personnel[Ogretmen],$K92),"")</f>
        <v/>
      </c>
      <c r="F92" s="29" t="str">
        <f>IFERROR(INDEX(Personnel[[Sinav ]],$K92),"")</f>
        <v/>
      </c>
      <c r="G92" s="29" t="str">
        <f>IFERROR(INDEX(Personnel[Egtim durumu],$K92),"")</f>
        <v/>
      </c>
      <c r="H92" s="29" t="str">
        <f>IFERROR(INDEX(Personnel[Shohruh Not],$K92),"")</f>
        <v/>
      </c>
      <c r="I92" s="28" t="str">
        <f>IFERROR(INDEX(Personnel[Дней в РФ],$K92),"")</f>
        <v/>
      </c>
      <c r="K92" s="23" t="str">
        <f t="array" ref="K92">IFERROR(_xlfn.AGGREGATE(15,6,(ROW(Personnel[Egtim durumu])-MIN(ROW(Personnel[Egtim durumu]))+1)/((Personnel[Egtim durumu]="Egitime  devem eden")+(Personnel[Egtim durumu]="Egitime alinacak")+(Personnel[Egtim durumu]="sinavi hazir")),ROWS($K$7:K92)),"")</f>
        <v/>
      </c>
    </row>
    <row r="93" spans="1:11" x14ac:dyDescent="0.25">
      <c r="A93" s="18" t="str">
        <f>IFERROR(INDEX(Personnel[Sicil],$K93),"")</f>
        <v/>
      </c>
      <c r="B93" s="17" t="str">
        <f>IFERROR(INDEX(Personnel[Adi Soyadi],$K93),"")</f>
        <v/>
      </c>
      <c r="C93" s="18" t="str">
        <f>IFERROR(INDEX(Personnel[Vatandaslik],$K93),"")</f>
        <v/>
      </c>
      <c r="D93" s="18" t="str">
        <f>IFERROR(INDEX(Personnel[Santiye],$K93),"")</f>
        <v/>
      </c>
      <c r="E93" s="18" t="str">
        <f>IFERROR(INDEX(Personnel[Ogretmen],$K93),"")</f>
        <v/>
      </c>
      <c r="F93" s="17" t="str">
        <f>IFERROR(INDEX(Personnel[[Sinav ]],$K93),"")</f>
        <v/>
      </c>
      <c r="G93" s="17" t="str">
        <f>IFERROR(INDEX(Personnel[Egtim durumu],$K93),"")</f>
        <v/>
      </c>
      <c r="H93" s="17" t="str">
        <f>IFERROR(INDEX(Personnel[Shohruh Not],$K93),"")</f>
        <v/>
      </c>
      <c r="I93" s="18" t="str">
        <f>IFERROR(INDEX(Personnel[Дней в РФ],$K93),"")</f>
        <v/>
      </c>
      <c r="K93" s="23" t="str">
        <f t="array" ref="K93">IFERROR(_xlfn.AGGREGATE(15,6,(ROW(Personnel[Egtim durumu])-MIN(ROW(Personnel[Egtim durumu]))+1)/((Personnel[Egtim durumu]="Egitime  devem eden")+(Personnel[Egtim durumu]="Egitime alinacak")+(Personnel[Egtim durumu]="sinavi hazir")),ROWS($K$7:K93)),"")</f>
        <v/>
      </c>
    </row>
    <row r="94" spans="1:11" x14ac:dyDescent="0.25">
      <c r="A94" s="28" t="str">
        <f>IFERROR(INDEX(Personnel[Sicil],$K94),"")</f>
        <v/>
      </c>
      <c r="B94" s="29" t="str">
        <f>IFERROR(INDEX(Personnel[Adi Soyadi],$K94),"")</f>
        <v/>
      </c>
      <c r="C94" s="28" t="str">
        <f>IFERROR(INDEX(Personnel[Vatandaslik],$K94),"")</f>
        <v/>
      </c>
      <c r="D94" s="28" t="str">
        <f>IFERROR(INDEX(Personnel[Santiye],$K94),"")</f>
        <v/>
      </c>
      <c r="E94" s="28" t="str">
        <f>IFERROR(INDEX(Personnel[Ogretmen],$K94),"")</f>
        <v/>
      </c>
      <c r="F94" s="29" t="str">
        <f>IFERROR(INDEX(Personnel[[Sinav ]],$K94),"")</f>
        <v/>
      </c>
      <c r="G94" s="29" t="str">
        <f>IFERROR(INDEX(Personnel[Egtim durumu],$K94),"")</f>
        <v/>
      </c>
      <c r="H94" s="29" t="str">
        <f>IFERROR(INDEX(Personnel[Shohruh Not],$K94),"")</f>
        <v/>
      </c>
      <c r="I94" s="28" t="str">
        <f>IFERROR(INDEX(Personnel[Дней в РФ],$K94),"")</f>
        <v/>
      </c>
      <c r="K94" s="23" t="str">
        <f t="array" ref="K94">IFERROR(_xlfn.AGGREGATE(15,6,(ROW(Personnel[Egtim durumu])-MIN(ROW(Personnel[Egtim durumu]))+1)/((Personnel[Egtim durumu]="Egitime  devem eden")+(Personnel[Egtim durumu]="Egitime alinacak")+(Personnel[Egtim durumu]="sinavi hazir")),ROWS($K$7:K94)),"")</f>
        <v/>
      </c>
    </row>
    <row r="95" spans="1:11" x14ac:dyDescent="0.25">
      <c r="A95" s="18" t="str">
        <f>IFERROR(INDEX(Personnel[Sicil],$K95),"")</f>
        <v/>
      </c>
      <c r="B95" s="17" t="str">
        <f>IFERROR(INDEX(Personnel[Adi Soyadi],$K95),"")</f>
        <v/>
      </c>
      <c r="C95" s="18" t="str">
        <f>IFERROR(INDEX(Personnel[Vatandaslik],$K95),"")</f>
        <v/>
      </c>
      <c r="D95" s="18" t="str">
        <f>IFERROR(INDEX(Personnel[Santiye],$K95),"")</f>
        <v/>
      </c>
      <c r="E95" s="18" t="str">
        <f>IFERROR(INDEX(Personnel[Ogretmen],$K95),"")</f>
        <v/>
      </c>
      <c r="F95" s="17" t="str">
        <f>IFERROR(INDEX(Personnel[[Sinav ]],$K95),"")</f>
        <v/>
      </c>
      <c r="G95" s="17" t="str">
        <f>IFERROR(INDEX(Personnel[Egtim durumu],$K95),"")</f>
        <v/>
      </c>
      <c r="H95" s="17" t="str">
        <f>IFERROR(INDEX(Personnel[Shohruh Not],$K95),"")</f>
        <v/>
      </c>
      <c r="I95" s="18" t="str">
        <f>IFERROR(INDEX(Personnel[Дней в РФ],$K95),"")</f>
        <v/>
      </c>
      <c r="K95" s="23" t="str">
        <f t="array" ref="K95">IFERROR(_xlfn.AGGREGATE(15,6,(ROW(Personnel[Egtim durumu])-MIN(ROW(Personnel[Egtim durumu]))+1)/((Personnel[Egtim durumu]="Egitime  devem eden")+(Personnel[Egtim durumu]="Egitime alinacak")+(Personnel[Egtim durumu]="sinavi hazir")),ROWS($K$7:K95)),"")</f>
        <v/>
      </c>
    </row>
    <row r="96" spans="1:11" x14ac:dyDescent="0.25">
      <c r="A96" s="28" t="str">
        <f>IFERROR(INDEX(Personnel[Sicil],$K96),"")</f>
        <v/>
      </c>
      <c r="B96" s="29" t="str">
        <f>IFERROR(INDEX(Personnel[Adi Soyadi],$K96),"")</f>
        <v/>
      </c>
      <c r="C96" s="28" t="str">
        <f>IFERROR(INDEX(Personnel[Vatandaslik],$K96),"")</f>
        <v/>
      </c>
      <c r="D96" s="28" t="str">
        <f>IFERROR(INDEX(Personnel[Santiye],$K96),"")</f>
        <v/>
      </c>
      <c r="E96" s="28" t="str">
        <f>IFERROR(INDEX(Personnel[Ogretmen],$K96),"")</f>
        <v/>
      </c>
      <c r="F96" s="29" t="str">
        <f>IFERROR(INDEX(Personnel[[Sinav ]],$K96),"")</f>
        <v/>
      </c>
      <c r="G96" s="29" t="str">
        <f>IFERROR(INDEX(Personnel[Egtim durumu],$K96),"")</f>
        <v/>
      </c>
      <c r="H96" s="29" t="str">
        <f>IFERROR(INDEX(Personnel[Shohruh Not],$K96),"")</f>
        <v/>
      </c>
      <c r="I96" s="28" t="str">
        <f>IFERROR(INDEX(Personnel[Дней в РФ],$K96),"")</f>
        <v/>
      </c>
      <c r="K96" s="23" t="str">
        <f t="array" ref="K96">IFERROR(_xlfn.AGGREGATE(15,6,(ROW(Personnel[Egtim durumu])-MIN(ROW(Personnel[Egtim durumu]))+1)/((Personnel[Egtim durumu]="Egitime  devem eden")+(Personnel[Egtim durumu]="Egitime alinacak")+(Personnel[Egtim durumu]="sinavi hazir")),ROWS($K$7:K96)),"")</f>
        <v/>
      </c>
    </row>
    <row r="97" spans="1:11" x14ac:dyDescent="0.25">
      <c r="A97" s="18" t="str">
        <f>IFERROR(INDEX(Personnel[Sicil],$K97),"")</f>
        <v/>
      </c>
      <c r="B97" s="17" t="str">
        <f>IFERROR(INDEX(Personnel[Adi Soyadi],$K97),"")</f>
        <v/>
      </c>
      <c r="C97" s="18" t="str">
        <f>IFERROR(INDEX(Personnel[Vatandaslik],$K97),"")</f>
        <v/>
      </c>
      <c r="D97" s="18" t="str">
        <f>IFERROR(INDEX(Personnel[Santiye],$K97),"")</f>
        <v/>
      </c>
      <c r="E97" s="18" t="str">
        <f>IFERROR(INDEX(Personnel[Ogretmen],$K97),"")</f>
        <v/>
      </c>
      <c r="F97" s="17" t="str">
        <f>IFERROR(INDEX(Personnel[[Sinav ]],$K97),"")</f>
        <v/>
      </c>
      <c r="G97" s="17" t="str">
        <f>IFERROR(INDEX(Personnel[Egtim durumu],$K97),"")</f>
        <v/>
      </c>
      <c r="H97" s="17" t="str">
        <f>IFERROR(INDEX(Personnel[Shohruh Not],$K97),"")</f>
        <v/>
      </c>
      <c r="I97" s="18" t="str">
        <f>IFERROR(INDEX(Personnel[Дней в РФ],$K97),"")</f>
        <v/>
      </c>
      <c r="K97" s="23" t="str">
        <f t="array" ref="K97">IFERROR(_xlfn.AGGREGATE(15,6,(ROW(Personnel[Egtim durumu])-MIN(ROW(Personnel[Egtim durumu]))+1)/((Personnel[Egtim durumu]="Egitime  devem eden")+(Personnel[Egtim durumu]="Egitime alinacak")+(Personnel[Egtim durumu]="sinavi hazir")),ROWS($K$7:K97)),"")</f>
        <v/>
      </c>
    </row>
    <row r="98" spans="1:11" x14ac:dyDescent="0.25">
      <c r="A98" s="28" t="str">
        <f>IFERROR(INDEX(Personnel[Sicil],$K98),"")</f>
        <v/>
      </c>
      <c r="B98" s="29" t="str">
        <f>IFERROR(INDEX(Personnel[Adi Soyadi],$K98),"")</f>
        <v/>
      </c>
      <c r="C98" s="28" t="str">
        <f>IFERROR(INDEX(Personnel[Vatandaslik],$K98),"")</f>
        <v/>
      </c>
      <c r="D98" s="28" t="str">
        <f>IFERROR(INDEX(Personnel[Santiye],$K98),"")</f>
        <v/>
      </c>
      <c r="E98" s="28" t="str">
        <f>IFERROR(INDEX(Personnel[Ogretmen],$K98),"")</f>
        <v/>
      </c>
      <c r="F98" s="29" t="str">
        <f>IFERROR(INDEX(Personnel[[Sinav ]],$K98),"")</f>
        <v/>
      </c>
      <c r="G98" s="29" t="str">
        <f>IFERROR(INDEX(Personnel[Egtim durumu],$K98),"")</f>
        <v/>
      </c>
      <c r="H98" s="29" t="str">
        <f>IFERROR(INDEX(Personnel[Shohruh Not],$K98),"")</f>
        <v/>
      </c>
      <c r="I98" s="28" t="str">
        <f>IFERROR(INDEX(Personnel[Дней в РФ],$K98),"")</f>
        <v/>
      </c>
      <c r="K98" s="23" t="str">
        <f t="array" ref="K98">IFERROR(_xlfn.AGGREGATE(15,6,(ROW(Personnel[Egtim durumu])-MIN(ROW(Personnel[Egtim durumu]))+1)/((Personnel[Egtim durumu]="Egitime  devem eden")+(Personnel[Egtim durumu]="Egitime alinacak")+(Personnel[Egtim durumu]="sinavi hazir")),ROWS($K$7:K98)),"")</f>
        <v/>
      </c>
    </row>
    <row r="99" spans="1:11" x14ac:dyDescent="0.25">
      <c r="A99" s="18" t="str">
        <f>IFERROR(INDEX(Personnel[Sicil],$K99),"")</f>
        <v/>
      </c>
      <c r="B99" s="17" t="str">
        <f>IFERROR(INDEX(Personnel[Adi Soyadi],$K99),"")</f>
        <v/>
      </c>
      <c r="C99" s="18" t="str">
        <f>IFERROR(INDEX(Personnel[Vatandaslik],$K99),"")</f>
        <v/>
      </c>
      <c r="D99" s="18" t="str">
        <f>IFERROR(INDEX(Personnel[Santiye],$K99),"")</f>
        <v/>
      </c>
      <c r="E99" s="18" t="str">
        <f>IFERROR(INDEX(Personnel[Ogretmen],$K99),"")</f>
        <v/>
      </c>
      <c r="F99" s="17" t="str">
        <f>IFERROR(INDEX(Personnel[[Sinav ]],$K99),"")</f>
        <v/>
      </c>
      <c r="G99" s="17" t="str">
        <f>IFERROR(INDEX(Personnel[Egtim durumu],$K99),"")</f>
        <v/>
      </c>
      <c r="H99" s="17" t="str">
        <f>IFERROR(INDEX(Personnel[Shohruh Not],$K99),"")</f>
        <v/>
      </c>
      <c r="I99" s="18" t="str">
        <f>IFERROR(INDEX(Personnel[Дней в РФ],$K99),"")</f>
        <v/>
      </c>
      <c r="K99" s="23" t="str">
        <f t="array" ref="K99">IFERROR(_xlfn.AGGREGATE(15,6,(ROW(Personnel[Egtim durumu])-MIN(ROW(Personnel[Egtim durumu]))+1)/((Personnel[Egtim durumu]="Egitime  devem eden")+(Personnel[Egtim durumu]="Egitime alinacak")+(Personnel[Egtim durumu]="sinavi hazir")),ROWS($K$7:K99)),"")</f>
        <v/>
      </c>
    </row>
    <row r="100" spans="1:11" x14ac:dyDescent="0.25">
      <c r="A100" s="28" t="str">
        <f>IFERROR(INDEX(Personnel[Sicil],$K100),"")</f>
        <v/>
      </c>
      <c r="B100" s="29" t="str">
        <f>IFERROR(INDEX(Personnel[Adi Soyadi],$K100),"")</f>
        <v/>
      </c>
      <c r="C100" s="28" t="str">
        <f>IFERROR(INDEX(Personnel[Vatandaslik],$K100),"")</f>
        <v/>
      </c>
      <c r="D100" s="28" t="str">
        <f>IFERROR(INDEX(Personnel[Santiye],$K100),"")</f>
        <v/>
      </c>
      <c r="E100" s="28" t="str">
        <f>IFERROR(INDEX(Personnel[Ogretmen],$K100),"")</f>
        <v/>
      </c>
      <c r="F100" s="29" t="str">
        <f>IFERROR(INDEX(Personnel[[Sinav ]],$K100),"")</f>
        <v/>
      </c>
      <c r="G100" s="29" t="str">
        <f>IFERROR(INDEX(Personnel[Egtim durumu],$K100),"")</f>
        <v/>
      </c>
      <c r="H100" s="29" t="str">
        <f>IFERROR(INDEX(Personnel[Shohruh Not],$K100),"")</f>
        <v/>
      </c>
      <c r="I100" s="28" t="str">
        <f>IFERROR(INDEX(Personnel[Дней в РФ],$K100),"")</f>
        <v/>
      </c>
      <c r="K100" s="23" t="str">
        <f t="array" ref="K100">IFERROR(_xlfn.AGGREGATE(15,6,(ROW(Personnel[Egtim durumu])-MIN(ROW(Personnel[Egtim durumu]))+1)/((Personnel[Egtim durumu]="Egitime  devem eden")+(Personnel[Egtim durumu]="Egitime alinacak")+(Personnel[Egtim durumu]="sinavi hazir")),ROWS($K$7:K100)),"")</f>
        <v/>
      </c>
    </row>
    <row r="101" spans="1:11" x14ac:dyDescent="0.25">
      <c r="A101" s="18" t="str">
        <f>IFERROR(INDEX(Personnel[Sicil],$K101),"")</f>
        <v/>
      </c>
      <c r="B101" s="17" t="str">
        <f>IFERROR(INDEX(Personnel[Adi Soyadi],$K101),"")</f>
        <v/>
      </c>
      <c r="C101" s="18" t="str">
        <f>IFERROR(INDEX(Personnel[Vatandaslik],$K101),"")</f>
        <v/>
      </c>
      <c r="D101" s="18" t="str">
        <f>IFERROR(INDEX(Personnel[Santiye],$K101),"")</f>
        <v/>
      </c>
      <c r="E101" s="18" t="str">
        <f>IFERROR(INDEX(Personnel[Ogretmen],$K101),"")</f>
        <v/>
      </c>
      <c r="F101" s="17" t="str">
        <f>IFERROR(INDEX(Personnel[[Sinav ]],$K101),"")</f>
        <v/>
      </c>
      <c r="G101" s="17" t="str">
        <f>IFERROR(INDEX(Personnel[Egtim durumu],$K101),"")</f>
        <v/>
      </c>
      <c r="H101" s="17" t="str">
        <f>IFERROR(INDEX(Personnel[Shohruh Not],$K101),"")</f>
        <v/>
      </c>
      <c r="I101" s="18" t="str">
        <f>IFERROR(INDEX(Personnel[Дней в РФ],$K101),"")</f>
        <v/>
      </c>
      <c r="K101" s="23" t="str">
        <f t="array" ref="K101">IFERROR(_xlfn.AGGREGATE(15,6,(ROW(Personnel[Egtim durumu])-MIN(ROW(Personnel[Egtim durumu]))+1)/((Personnel[Egtim durumu]="Egitime  devem eden")+(Personnel[Egtim durumu]="Egitime alinacak")+(Personnel[Egtim durumu]="sinavi hazir")),ROWS($K$7:K101)),"")</f>
        <v/>
      </c>
    </row>
    <row r="102" spans="1:11" x14ac:dyDescent="0.25">
      <c r="A102" s="28" t="str">
        <f>IFERROR(INDEX(Personnel[Sicil],$K102),"")</f>
        <v/>
      </c>
      <c r="B102" s="29" t="str">
        <f>IFERROR(INDEX(Personnel[Adi Soyadi],$K102),"")</f>
        <v/>
      </c>
      <c r="C102" s="28" t="str">
        <f>IFERROR(INDEX(Personnel[Vatandaslik],$K102),"")</f>
        <v/>
      </c>
      <c r="D102" s="28" t="str">
        <f>IFERROR(INDEX(Personnel[Santiye],$K102),"")</f>
        <v/>
      </c>
      <c r="E102" s="28" t="str">
        <f>IFERROR(INDEX(Personnel[Ogretmen],$K102),"")</f>
        <v/>
      </c>
      <c r="F102" s="29" t="str">
        <f>IFERROR(INDEX(Personnel[[Sinav ]],$K102),"")</f>
        <v/>
      </c>
      <c r="G102" s="29" t="str">
        <f>IFERROR(INDEX(Personnel[Egtim durumu],$K102),"")</f>
        <v/>
      </c>
      <c r="H102" s="29" t="str">
        <f>IFERROR(INDEX(Personnel[Shohruh Not],$K102),"")</f>
        <v/>
      </c>
      <c r="I102" s="28" t="str">
        <f>IFERROR(INDEX(Personnel[Дней в РФ],$K102),"")</f>
        <v/>
      </c>
      <c r="K102" s="23" t="str">
        <f t="array" ref="K102">IFERROR(_xlfn.AGGREGATE(15,6,(ROW(Personnel[Egtim durumu])-MIN(ROW(Personnel[Egtim durumu]))+1)/((Personnel[Egtim durumu]="Egitime  devem eden")+(Personnel[Egtim durumu]="Egitime alinacak")+(Personnel[Egtim durumu]="sinavi hazir")),ROWS($K$7:K102)),"")</f>
        <v/>
      </c>
    </row>
    <row r="103" spans="1:11" x14ac:dyDescent="0.25">
      <c r="A103" s="18" t="str">
        <f>IFERROR(INDEX(Personnel[Sicil],$K103),"")</f>
        <v/>
      </c>
      <c r="B103" s="17" t="str">
        <f>IFERROR(INDEX(Personnel[Adi Soyadi],$K103),"")</f>
        <v/>
      </c>
      <c r="C103" s="18" t="str">
        <f>IFERROR(INDEX(Personnel[Vatandaslik],$K103),"")</f>
        <v/>
      </c>
      <c r="D103" s="18" t="str">
        <f>IFERROR(INDEX(Personnel[Santiye],$K103),"")</f>
        <v/>
      </c>
      <c r="E103" s="18" t="str">
        <f>IFERROR(INDEX(Personnel[Ogretmen],$K103),"")</f>
        <v/>
      </c>
      <c r="F103" s="17" t="str">
        <f>IFERROR(INDEX(Personnel[[Sinav ]],$K103),"")</f>
        <v/>
      </c>
      <c r="G103" s="17" t="str">
        <f>IFERROR(INDEX(Personnel[Egtim durumu],$K103),"")</f>
        <v/>
      </c>
      <c r="H103" s="17" t="str">
        <f>IFERROR(INDEX(Personnel[Shohruh Not],$K103),"")</f>
        <v/>
      </c>
      <c r="I103" s="18" t="str">
        <f>IFERROR(INDEX(Personnel[Дней в РФ],$K103),"")</f>
        <v/>
      </c>
      <c r="K103" s="23" t="str">
        <f t="array" ref="K103">IFERROR(_xlfn.AGGREGATE(15,6,(ROW(Personnel[Egtim durumu])-MIN(ROW(Personnel[Egtim durumu]))+1)/((Personnel[Egtim durumu]="Egitime  devem eden")+(Personnel[Egtim durumu]="Egitime alinacak")+(Personnel[Egtim durumu]="sinavi hazir")),ROWS($K$7:K103)),"")</f>
        <v/>
      </c>
    </row>
    <row r="104" spans="1:11" x14ac:dyDescent="0.25">
      <c r="A104" s="28" t="str">
        <f>IFERROR(INDEX(Personnel[Sicil],$K104),"")</f>
        <v/>
      </c>
      <c r="B104" s="29" t="str">
        <f>IFERROR(INDEX(Personnel[Adi Soyadi],$K104),"")</f>
        <v/>
      </c>
      <c r="C104" s="28" t="str">
        <f>IFERROR(INDEX(Personnel[Vatandaslik],$K104),"")</f>
        <v/>
      </c>
      <c r="D104" s="28" t="str">
        <f>IFERROR(INDEX(Personnel[Santiye],$K104),"")</f>
        <v/>
      </c>
      <c r="E104" s="28" t="str">
        <f>IFERROR(INDEX(Personnel[Ogretmen],$K104),"")</f>
        <v/>
      </c>
      <c r="F104" s="29" t="str">
        <f>IFERROR(INDEX(Personnel[[Sinav ]],$K104),"")</f>
        <v/>
      </c>
      <c r="G104" s="29" t="str">
        <f>IFERROR(INDEX(Personnel[Egtim durumu],$K104),"")</f>
        <v/>
      </c>
      <c r="H104" s="29" t="str">
        <f>IFERROR(INDEX(Personnel[Shohruh Not],$K104),"")</f>
        <v/>
      </c>
      <c r="I104" s="28" t="str">
        <f>IFERROR(INDEX(Personnel[Дней в РФ],$K104),"")</f>
        <v/>
      </c>
      <c r="K104" s="23" t="str">
        <f t="array" ref="K104">IFERROR(_xlfn.AGGREGATE(15,6,(ROW(Personnel[Egtim durumu])-MIN(ROW(Personnel[Egtim durumu]))+1)/((Personnel[Egtim durumu]="Egitime  devem eden")+(Personnel[Egtim durumu]="Egitime alinacak")+(Personnel[Egtim durumu]="sinavi hazir")),ROWS($K$7:K104)),"")</f>
        <v/>
      </c>
    </row>
    <row r="105" spans="1:11" x14ac:dyDescent="0.25">
      <c r="A105" s="18" t="str">
        <f>IFERROR(INDEX(Personnel[Sicil],$K105),"")</f>
        <v/>
      </c>
      <c r="B105" s="17" t="str">
        <f>IFERROR(INDEX(Personnel[Adi Soyadi],$K105),"")</f>
        <v/>
      </c>
      <c r="C105" s="18" t="str">
        <f>IFERROR(INDEX(Personnel[Vatandaslik],$K105),"")</f>
        <v/>
      </c>
      <c r="D105" s="18" t="str">
        <f>IFERROR(INDEX(Personnel[Santiye],$K105),"")</f>
        <v/>
      </c>
      <c r="E105" s="18" t="str">
        <f>IFERROR(INDEX(Personnel[Ogretmen],$K105),"")</f>
        <v/>
      </c>
      <c r="F105" s="17" t="str">
        <f>IFERROR(INDEX(Personnel[[Sinav ]],$K105),"")</f>
        <v/>
      </c>
      <c r="G105" s="17" t="str">
        <f>IFERROR(INDEX(Personnel[Egtim durumu],$K105),"")</f>
        <v/>
      </c>
      <c r="H105" s="17" t="str">
        <f>IFERROR(INDEX(Personnel[Shohruh Not],$K105),"")</f>
        <v/>
      </c>
      <c r="I105" s="18" t="str">
        <f>IFERROR(INDEX(Personnel[Дней в РФ],$K105),"")</f>
        <v/>
      </c>
      <c r="K105" s="23" t="str">
        <f t="array" ref="K105">IFERROR(_xlfn.AGGREGATE(15,6,(ROW(Personnel[Egtim durumu])-MIN(ROW(Personnel[Egtim durumu]))+1)/((Personnel[Egtim durumu]="Egitime  devem eden")+(Personnel[Egtim durumu]="Egitime alinacak")+(Personnel[Egtim durumu]="sinavi hazir")),ROWS($K$7:K105)),"")</f>
        <v/>
      </c>
    </row>
    <row r="106" spans="1:11" x14ac:dyDescent="0.25">
      <c r="A106" s="28" t="str">
        <f>IFERROR(INDEX(Personnel[Sicil],$K106),"")</f>
        <v/>
      </c>
      <c r="B106" s="29" t="str">
        <f>IFERROR(INDEX(Personnel[Adi Soyadi],$K106),"")</f>
        <v/>
      </c>
      <c r="C106" s="28" t="str">
        <f>IFERROR(INDEX(Personnel[Vatandaslik],$K106),"")</f>
        <v/>
      </c>
      <c r="D106" s="28" t="str">
        <f>IFERROR(INDEX(Personnel[Santiye],$K106),"")</f>
        <v/>
      </c>
      <c r="E106" s="28" t="str">
        <f>IFERROR(INDEX(Personnel[Ogretmen],$K106),"")</f>
        <v/>
      </c>
      <c r="F106" s="29" t="str">
        <f>IFERROR(INDEX(Personnel[[Sinav ]],$K106),"")</f>
        <v/>
      </c>
      <c r="G106" s="29" t="str">
        <f>IFERROR(INDEX(Personnel[Egtim durumu],$K106),"")</f>
        <v/>
      </c>
      <c r="H106" s="29" t="str">
        <f>IFERROR(INDEX(Personnel[Shohruh Not],$K106),"")</f>
        <v/>
      </c>
      <c r="I106" s="28" t="str">
        <f>IFERROR(INDEX(Personnel[Дней в РФ],$K106),"")</f>
        <v/>
      </c>
      <c r="K106" s="23" t="str">
        <f t="array" ref="K106">IFERROR(_xlfn.AGGREGATE(15,6,(ROW(Personnel[Egtim durumu])-MIN(ROW(Personnel[Egtim durumu]))+1)/((Personnel[Egtim durumu]="Egitime  devem eden")+(Personnel[Egtim durumu]="Egitime alinacak")+(Personnel[Egtim durumu]="sinavi hazir")),ROWS($K$7:K106)),"")</f>
        <v/>
      </c>
    </row>
    <row r="107" spans="1:11" x14ac:dyDescent="0.25">
      <c r="A107" s="18" t="str">
        <f>IFERROR(INDEX(Personnel[Sicil],$K107),"")</f>
        <v/>
      </c>
      <c r="B107" s="17" t="str">
        <f>IFERROR(INDEX(Personnel[Adi Soyadi],$K107),"")</f>
        <v/>
      </c>
      <c r="C107" s="18" t="str">
        <f>IFERROR(INDEX(Personnel[Vatandaslik],$K107),"")</f>
        <v/>
      </c>
      <c r="D107" s="18" t="str">
        <f>IFERROR(INDEX(Personnel[Santiye],$K107),"")</f>
        <v/>
      </c>
      <c r="E107" s="18" t="str">
        <f>IFERROR(INDEX(Personnel[Ogretmen],$K107),"")</f>
        <v/>
      </c>
      <c r="F107" s="17" t="str">
        <f>IFERROR(INDEX(Personnel[[Sinav ]],$K107),"")</f>
        <v/>
      </c>
      <c r="G107" s="17" t="str">
        <f>IFERROR(INDEX(Personnel[Egtim durumu],$K107),"")</f>
        <v/>
      </c>
      <c r="H107" s="17" t="str">
        <f>IFERROR(INDEX(Personnel[Shohruh Not],$K107),"")</f>
        <v/>
      </c>
      <c r="I107" s="18" t="str">
        <f>IFERROR(INDEX(Personnel[Дней в РФ],$K107),"")</f>
        <v/>
      </c>
      <c r="K107" s="23" t="str">
        <f t="array" ref="K107">IFERROR(_xlfn.AGGREGATE(15,6,(ROW(Personnel[Egtim durumu])-MIN(ROW(Personnel[Egtim durumu]))+1)/((Personnel[Egtim durumu]="Egitime  devem eden")+(Personnel[Egtim durumu]="Egitime alinacak")+(Personnel[Egtim durumu]="sinavi hazir")),ROWS($K$7:K107)),"")</f>
        <v/>
      </c>
    </row>
    <row r="108" spans="1:11" x14ac:dyDescent="0.25">
      <c r="A108" s="28" t="str">
        <f>IFERROR(INDEX(Personnel[Sicil],$K108),"")</f>
        <v/>
      </c>
      <c r="B108" s="29" t="str">
        <f>IFERROR(INDEX(Personnel[Adi Soyadi],$K108),"")</f>
        <v/>
      </c>
      <c r="C108" s="28" t="str">
        <f>IFERROR(INDEX(Personnel[Vatandaslik],$K108),"")</f>
        <v/>
      </c>
      <c r="D108" s="28" t="str">
        <f>IFERROR(INDEX(Personnel[Santiye],$K108),"")</f>
        <v/>
      </c>
      <c r="E108" s="28" t="str">
        <f>IFERROR(INDEX(Personnel[Ogretmen],$K108),"")</f>
        <v/>
      </c>
      <c r="F108" s="29" t="str">
        <f>IFERROR(INDEX(Personnel[[Sinav ]],$K108),"")</f>
        <v/>
      </c>
      <c r="G108" s="29" t="str">
        <f>IFERROR(INDEX(Personnel[Egtim durumu],$K108),"")</f>
        <v/>
      </c>
      <c r="H108" s="29" t="str">
        <f>IFERROR(INDEX(Personnel[Shohruh Not],$K108),"")</f>
        <v/>
      </c>
      <c r="I108" s="28" t="str">
        <f>IFERROR(INDEX(Personnel[Дней в РФ],$K108),"")</f>
        <v/>
      </c>
      <c r="K108" s="23" t="str">
        <f t="array" ref="K108">IFERROR(_xlfn.AGGREGATE(15,6,(ROW(Personnel[Egtim durumu])-MIN(ROW(Personnel[Egtim durumu]))+1)/((Personnel[Egtim durumu]="Egitime  devem eden")+(Personnel[Egtim durumu]="Egitime alinacak")+(Personnel[Egtim durumu]="sinavi hazir")),ROWS($K$7:K108)),"")</f>
        <v/>
      </c>
    </row>
    <row r="109" spans="1:11" x14ac:dyDescent="0.25">
      <c r="A109" s="18" t="str">
        <f>IFERROR(INDEX(Personnel[Sicil],$K109),"")</f>
        <v/>
      </c>
      <c r="B109" s="17" t="str">
        <f>IFERROR(INDEX(Personnel[Adi Soyadi],$K109),"")</f>
        <v/>
      </c>
      <c r="C109" s="18" t="str">
        <f>IFERROR(INDEX(Personnel[Vatandaslik],$K109),"")</f>
        <v/>
      </c>
      <c r="D109" s="18" t="str">
        <f>IFERROR(INDEX(Personnel[Santiye],$K109),"")</f>
        <v/>
      </c>
      <c r="E109" s="18" t="str">
        <f>IFERROR(INDEX(Personnel[Ogretmen],$K109),"")</f>
        <v/>
      </c>
      <c r="F109" s="17" t="str">
        <f>IFERROR(INDEX(Personnel[[Sinav ]],$K109),"")</f>
        <v/>
      </c>
      <c r="G109" s="17" t="str">
        <f>IFERROR(INDEX(Personnel[Egtim durumu],$K109),"")</f>
        <v/>
      </c>
      <c r="H109" s="17" t="str">
        <f>IFERROR(INDEX(Personnel[Shohruh Not],$K109),"")</f>
        <v/>
      </c>
      <c r="I109" s="18" t="str">
        <f>IFERROR(INDEX(Personnel[Дней в РФ],$K109),"")</f>
        <v/>
      </c>
      <c r="K109" s="23" t="str">
        <f t="array" ref="K109">IFERROR(_xlfn.AGGREGATE(15,6,(ROW(Personnel[Egtim durumu])-MIN(ROW(Personnel[Egtim durumu]))+1)/((Personnel[Egtim durumu]="Egitime  devem eden")+(Personnel[Egtim durumu]="Egitime alinacak")+(Personnel[Egtim durumu]="sinavi hazir")),ROWS($K$7:K109)),"")</f>
        <v/>
      </c>
    </row>
    <row r="110" spans="1:11" x14ac:dyDescent="0.25">
      <c r="A110" s="28" t="str">
        <f>IFERROR(INDEX(Personnel[Sicil],$K110),"")</f>
        <v/>
      </c>
      <c r="B110" s="29" t="str">
        <f>IFERROR(INDEX(Personnel[Adi Soyadi],$K110),"")</f>
        <v/>
      </c>
      <c r="C110" s="28" t="str">
        <f>IFERROR(INDEX(Personnel[Vatandaslik],$K110),"")</f>
        <v/>
      </c>
      <c r="D110" s="28" t="str">
        <f>IFERROR(INDEX(Personnel[Santiye],$K110),"")</f>
        <v/>
      </c>
      <c r="E110" s="28" t="str">
        <f>IFERROR(INDEX(Personnel[Ogretmen],$K110),"")</f>
        <v/>
      </c>
      <c r="F110" s="29" t="str">
        <f>IFERROR(INDEX(Personnel[[Sinav ]],$K110),"")</f>
        <v/>
      </c>
      <c r="G110" s="29" t="str">
        <f>IFERROR(INDEX(Personnel[Egtim durumu],$K110),"")</f>
        <v/>
      </c>
      <c r="H110" s="29" t="str">
        <f>IFERROR(INDEX(Personnel[Shohruh Not],$K110),"")</f>
        <v/>
      </c>
      <c r="I110" s="28" t="str">
        <f>IFERROR(INDEX(Personnel[Дней в РФ],$K110),"")</f>
        <v/>
      </c>
      <c r="K110" s="23" t="str">
        <f t="array" ref="K110">IFERROR(_xlfn.AGGREGATE(15,6,(ROW(Personnel[Egtim durumu])-MIN(ROW(Personnel[Egtim durumu]))+1)/((Personnel[Egtim durumu]="Egitime  devem eden")+(Personnel[Egtim durumu]="Egitime alinacak")+(Personnel[Egtim durumu]="sinavi hazir")),ROWS($K$7:K110)),"")</f>
        <v/>
      </c>
    </row>
    <row r="111" spans="1:11" x14ac:dyDescent="0.25">
      <c r="A111" s="18" t="str">
        <f>IFERROR(INDEX(Personnel[Sicil],$K111),"")</f>
        <v/>
      </c>
      <c r="B111" s="17" t="str">
        <f>IFERROR(INDEX(Personnel[Adi Soyadi],$K111),"")</f>
        <v/>
      </c>
      <c r="C111" s="18" t="str">
        <f>IFERROR(INDEX(Personnel[Vatandaslik],$K111),"")</f>
        <v/>
      </c>
      <c r="D111" s="18" t="str">
        <f>IFERROR(INDEX(Personnel[Santiye],$K111),"")</f>
        <v/>
      </c>
      <c r="E111" s="18" t="str">
        <f>IFERROR(INDEX(Personnel[Ogretmen],$K111),"")</f>
        <v/>
      </c>
      <c r="F111" s="17" t="str">
        <f>IFERROR(INDEX(Personnel[[Sinav ]],$K111),"")</f>
        <v/>
      </c>
      <c r="G111" s="17" t="str">
        <f>IFERROR(INDEX(Personnel[Egtim durumu],$K111),"")</f>
        <v/>
      </c>
      <c r="H111" s="17" t="str">
        <f>IFERROR(INDEX(Personnel[Shohruh Not],$K111),"")</f>
        <v/>
      </c>
      <c r="I111" s="18" t="str">
        <f>IFERROR(INDEX(Personnel[Дней в РФ],$K111),"")</f>
        <v/>
      </c>
      <c r="K111" s="23" t="str">
        <f t="array" ref="K111">IFERROR(_xlfn.AGGREGATE(15,6,(ROW(Personnel[Egtim durumu])-MIN(ROW(Personnel[Egtim durumu]))+1)/((Personnel[Egtim durumu]="Egitime  devem eden")+(Personnel[Egtim durumu]="Egitime alinacak")+(Personnel[Egtim durumu]="sinavi hazir")),ROWS($K$7:K111)),"")</f>
        <v/>
      </c>
    </row>
    <row r="112" spans="1:11" x14ac:dyDescent="0.25">
      <c r="A112" s="28" t="str">
        <f>IFERROR(INDEX(Personnel[Sicil],$K112),"")</f>
        <v/>
      </c>
      <c r="B112" s="29" t="str">
        <f>IFERROR(INDEX(Personnel[Adi Soyadi],$K112),"")</f>
        <v/>
      </c>
      <c r="C112" s="28" t="str">
        <f>IFERROR(INDEX(Personnel[Vatandaslik],$K112),"")</f>
        <v/>
      </c>
      <c r="D112" s="28" t="str">
        <f>IFERROR(INDEX(Personnel[Santiye],$K112),"")</f>
        <v/>
      </c>
      <c r="E112" s="28" t="str">
        <f>IFERROR(INDEX(Personnel[Ogretmen],$K112),"")</f>
        <v/>
      </c>
      <c r="F112" s="29" t="str">
        <f>IFERROR(INDEX(Personnel[[Sinav ]],$K112),"")</f>
        <v/>
      </c>
      <c r="G112" s="29" t="str">
        <f>IFERROR(INDEX(Personnel[Egtim durumu],$K112),"")</f>
        <v/>
      </c>
      <c r="H112" s="29" t="str">
        <f>IFERROR(INDEX(Personnel[Shohruh Not],$K112),"")</f>
        <v/>
      </c>
      <c r="I112" s="28" t="str">
        <f>IFERROR(INDEX(Personnel[Дней в РФ],$K112),"")</f>
        <v/>
      </c>
      <c r="K112" s="23" t="str">
        <f t="array" ref="K112">IFERROR(_xlfn.AGGREGATE(15,6,(ROW(Personnel[Egtim durumu])-MIN(ROW(Personnel[Egtim durumu]))+1)/((Personnel[Egtim durumu]="Egitime  devem eden")+(Personnel[Egtim durumu]="Egitime alinacak")+(Personnel[Egtim durumu]="sinavi hazir")),ROWS($K$7:K112)),"")</f>
        <v/>
      </c>
    </row>
    <row r="113" spans="1:11" x14ac:dyDescent="0.25">
      <c r="A113" s="18" t="str">
        <f>IFERROR(INDEX(Personnel[Sicil],$K113),"")</f>
        <v/>
      </c>
      <c r="B113" s="17" t="str">
        <f>IFERROR(INDEX(Personnel[Adi Soyadi],$K113),"")</f>
        <v/>
      </c>
      <c r="C113" s="18" t="str">
        <f>IFERROR(INDEX(Personnel[Vatandaslik],$K113),"")</f>
        <v/>
      </c>
      <c r="D113" s="18" t="str">
        <f>IFERROR(INDEX(Personnel[Santiye],$K113),"")</f>
        <v/>
      </c>
      <c r="E113" s="18" t="str">
        <f>IFERROR(INDEX(Personnel[Ogretmen],$K113),"")</f>
        <v/>
      </c>
      <c r="F113" s="17" t="str">
        <f>IFERROR(INDEX(Personnel[[Sinav ]],$K113),"")</f>
        <v/>
      </c>
      <c r="G113" s="17" t="str">
        <f>IFERROR(INDEX(Personnel[Egtim durumu],$K113),"")</f>
        <v/>
      </c>
      <c r="H113" s="17" t="str">
        <f>IFERROR(INDEX(Personnel[Shohruh Not],$K113),"")</f>
        <v/>
      </c>
      <c r="I113" s="18" t="str">
        <f>IFERROR(INDEX(Personnel[Дней в РФ],$K113),"")</f>
        <v/>
      </c>
      <c r="K113" s="23" t="str">
        <f t="array" ref="K113">IFERROR(_xlfn.AGGREGATE(15,6,(ROW(Personnel[Egtim durumu])-MIN(ROW(Personnel[Egtim durumu]))+1)/((Personnel[Egtim durumu]="Egitime  devem eden")+(Personnel[Egtim durumu]="Egitime alinacak")+(Personnel[Egtim durumu]="sinavi hazir")),ROWS($K$7:K113)),"")</f>
        <v/>
      </c>
    </row>
    <row r="114" spans="1:11" x14ac:dyDescent="0.25">
      <c r="A114" s="28" t="str">
        <f>IFERROR(INDEX(Personnel[Sicil],$K114),"")</f>
        <v/>
      </c>
      <c r="B114" s="29" t="str">
        <f>IFERROR(INDEX(Personnel[Adi Soyadi],$K114),"")</f>
        <v/>
      </c>
      <c r="C114" s="28" t="str">
        <f>IFERROR(INDEX(Personnel[Vatandaslik],$K114),"")</f>
        <v/>
      </c>
      <c r="D114" s="28" t="str">
        <f>IFERROR(INDEX(Personnel[Santiye],$K114),"")</f>
        <v/>
      </c>
      <c r="E114" s="28" t="str">
        <f>IFERROR(INDEX(Personnel[Ogretmen],$K114),"")</f>
        <v/>
      </c>
      <c r="F114" s="29" t="str">
        <f>IFERROR(INDEX(Personnel[[Sinav ]],$K114),"")</f>
        <v/>
      </c>
      <c r="G114" s="29" t="str">
        <f>IFERROR(INDEX(Personnel[Egtim durumu],$K114),"")</f>
        <v/>
      </c>
      <c r="H114" s="29" t="str">
        <f>IFERROR(INDEX(Personnel[Shohruh Not],$K114),"")</f>
        <v/>
      </c>
      <c r="I114" s="28" t="str">
        <f>IFERROR(INDEX(Personnel[Дней в РФ],$K114),"")</f>
        <v/>
      </c>
      <c r="K114" s="23" t="str">
        <f t="array" ref="K114">IFERROR(_xlfn.AGGREGATE(15,6,(ROW(Personnel[Egtim durumu])-MIN(ROW(Personnel[Egtim durumu]))+1)/((Personnel[Egtim durumu]="Egitime  devem eden")+(Personnel[Egtim durumu]="Egitime alinacak")+(Personnel[Egtim durumu]="sinavi hazir")),ROWS($K$7:K114)),"")</f>
        <v/>
      </c>
    </row>
    <row r="115" spans="1:11" x14ac:dyDescent="0.25">
      <c r="A115" s="18" t="str">
        <f>IFERROR(INDEX(Personnel[Sicil],$K115),"")</f>
        <v/>
      </c>
      <c r="B115" s="17" t="str">
        <f>IFERROR(INDEX(Personnel[Adi Soyadi],$K115),"")</f>
        <v/>
      </c>
      <c r="C115" s="18" t="str">
        <f>IFERROR(INDEX(Personnel[Vatandaslik],$K115),"")</f>
        <v/>
      </c>
      <c r="D115" s="18" t="str">
        <f>IFERROR(INDEX(Personnel[Santiye],$K115),"")</f>
        <v/>
      </c>
      <c r="E115" s="18" t="str">
        <f>IFERROR(INDEX(Personnel[Ogretmen],$K115),"")</f>
        <v/>
      </c>
      <c r="F115" s="17" t="str">
        <f>IFERROR(INDEX(Personnel[[Sinav ]],$K115),"")</f>
        <v/>
      </c>
      <c r="G115" s="17" t="str">
        <f>IFERROR(INDEX(Personnel[Egtim durumu],$K115),"")</f>
        <v/>
      </c>
      <c r="H115" s="17" t="str">
        <f>IFERROR(INDEX(Personnel[Shohruh Not],$K115),"")</f>
        <v/>
      </c>
      <c r="I115" s="18" t="str">
        <f>IFERROR(INDEX(Personnel[Дней в РФ],$K115),"")</f>
        <v/>
      </c>
      <c r="K115" s="23" t="str">
        <f t="array" ref="K115">IFERROR(_xlfn.AGGREGATE(15,6,(ROW(Personnel[Egtim durumu])-MIN(ROW(Personnel[Egtim durumu]))+1)/((Personnel[Egtim durumu]="Egitime  devem eden")+(Personnel[Egtim durumu]="Egitime alinacak")+(Personnel[Egtim durumu]="sinavi hazir")),ROWS($K$7:K115)),"")</f>
        <v/>
      </c>
    </row>
    <row r="116" spans="1:11" x14ac:dyDescent="0.25">
      <c r="A116" s="28" t="str">
        <f>IFERROR(INDEX(Personnel[Sicil],$K116),"")</f>
        <v/>
      </c>
      <c r="B116" s="29" t="str">
        <f>IFERROR(INDEX(Personnel[Adi Soyadi],$K116),"")</f>
        <v/>
      </c>
      <c r="C116" s="28" t="str">
        <f>IFERROR(INDEX(Personnel[Vatandaslik],$K116),"")</f>
        <v/>
      </c>
      <c r="D116" s="28" t="str">
        <f>IFERROR(INDEX(Personnel[Santiye],$K116),"")</f>
        <v/>
      </c>
      <c r="E116" s="28" t="str">
        <f>IFERROR(INDEX(Personnel[Ogretmen],$K116),"")</f>
        <v/>
      </c>
      <c r="F116" s="29" t="str">
        <f>IFERROR(INDEX(Personnel[[Sinav ]],$K116),"")</f>
        <v/>
      </c>
      <c r="G116" s="29" t="str">
        <f>IFERROR(INDEX(Personnel[Egtim durumu],$K116),"")</f>
        <v/>
      </c>
      <c r="H116" s="29" t="str">
        <f>IFERROR(INDEX(Personnel[Shohruh Not],$K116),"")</f>
        <v/>
      </c>
      <c r="I116" s="28" t="str">
        <f>IFERROR(INDEX(Personnel[Дней в РФ],$K116),"")</f>
        <v/>
      </c>
      <c r="K116" s="23" t="str">
        <f t="array" ref="K116">IFERROR(_xlfn.AGGREGATE(15,6,(ROW(Personnel[Egtim durumu])-MIN(ROW(Personnel[Egtim durumu]))+1)/((Personnel[Egtim durumu]="Egitime  devem eden")+(Personnel[Egtim durumu]="Egitime alinacak")+(Personnel[Egtim durumu]="sinavi hazir")),ROWS($K$7:K116)),"")</f>
        <v/>
      </c>
    </row>
    <row r="117" spans="1:11" x14ac:dyDescent="0.25">
      <c r="A117" s="18" t="str">
        <f>IFERROR(INDEX(Personnel[Sicil],$K117),"")</f>
        <v/>
      </c>
      <c r="B117" s="17" t="str">
        <f>IFERROR(INDEX(Personnel[Adi Soyadi],$K117),"")</f>
        <v/>
      </c>
      <c r="C117" s="18" t="str">
        <f>IFERROR(INDEX(Personnel[Vatandaslik],$K117),"")</f>
        <v/>
      </c>
      <c r="D117" s="18" t="str">
        <f>IFERROR(INDEX(Personnel[Santiye],$K117),"")</f>
        <v/>
      </c>
      <c r="E117" s="18" t="str">
        <f>IFERROR(INDEX(Personnel[Ogretmen],$K117),"")</f>
        <v/>
      </c>
      <c r="F117" s="17" t="str">
        <f>IFERROR(INDEX(Personnel[[Sinav ]],$K117),"")</f>
        <v/>
      </c>
      <c r="G117" s="17" t="str">
        <f>IFERROR(INDEX(Personnel[Egtim durumu],$K117),"")</f>
        <v/>
      </c>
      <c r="H117" s="17" t="str">
        <f>IFERROR(INDEX(Personnel[Shohruh Not],$K117),"")</f>
        <v/>
      </c>
      <c r="I117" s="18" t="str">
        <f>IFERROR(INDEX(Personnel[Дней в РФ],$K117),"")</f>
        <v/>
      </c>
      <c r="K117" s="23" t="str">
        <f t="array" ref="K117">IFERROR(_xlfn.AGGREGATE(15,6,(ROW(Personnel[Egtim durumu])-MIN(ROW(Personnel[Egtim durumu]))+1)/((Personnel[Egtim durumu]="Egitime  devem eden")+(Personnel[Egtim durumu]="Egitime alinacak")+(Personnel[Egtim durumu]="sinavi hazir")),ROWS($K$7:K117)),"")</f>
        <v/>
      </c>
    </row>
    <row r="118" spans="1:11" x14ac:dyDescent="0.25">
      <c r="A118" s="28" t="str">
        <f>IFERROR(INDEX(Personnel[Sicil],$K118),"")</f>
        <v/>
      </c>
      <c r="B118" s="29" t="str">
        <f>IFERROR(INDEX(Personnel[Adi Soyadi],$K118),"")</f>
        <v/>
      </c>
      <c r="C118" s="28" t="str">
        <f>IFERROR(INDEX(Personnel[Vatandaslik],$K118),"")</f>
        <v/>
      </c>
      <c r="D118" s="28" t="str">
        <f>IFERROR(INDEX(Personnel[Santiye],$K118),"")</f>
        <v/>
      </c>
      <c r="E118" s="28" t="str">
        <f>IFERROR(INDEX(Personnel[Ogretmen],$K118),"")</f>
        <v/>
      </c>
      <c r="F118" s="29" t="str">
        <f>IFERROR(INDEX(Personnel[[Sinav ]],$K118),"")</f>
        <v/>
      </c>
      <c r="G118" s="29" t="str">
        <f>IFERROR(INDEX(Personnel[Egtim durumu],$K118),"")</f>
        <v/>
      </c>
      <c r="H118" s="29" t="str">
        <f>IFERROR(INDEX(Personnel[Shohruh Not],$K118),"")</f>
        <v/>
      </c>
      <c r="I118" s="28" t="str">
        <f>IFERROR(INDEX(Personnel[Дней в РФ],$K118),"")</f>
        <v/>
      </c>
      <c r="K118" s="23" t="str">
        <f t="array" ref="K118">IFERROR(_xlfn.AGGREGATE(15,6,(ROW(Personnel[Egtim durumu])-MIN(ROW(Personnel[Egtim durumu]))+1)/((Personnel[Egtim durumu]="Egitime  devem eden")+(Personnel[Egtim durumu]="Egitime alinacak")+(Personnel[Egtim durumu]="sinavi hazir")),ROWS($K$7:K118)),"")</f>
        <v/>
      </c>
    </row>
    <row r="119" spans="1:11" x14ac:dyDescent="0.25">
      <c r="A119" s="18" t="str">
        <f>IFERROR(INDEX(Personnel[Sicil],$K119),"")</f>
        <v/>
      </c>
      <c r="B119" s="17" t="str">
        <f>IFERROR(INDEX(Personnel[Adi Soyadi],$K119),"")</f>
        <v/>
      </c>
      <c r="C119" s="18" t="str">
        <f>IFERROR(INDEX(Personnel[Vatandaslik],$K119),"")</f>
        <v/>
      </c>
      <c r="D119" s="18" t="str">
        <f>IFERROR(INDEX(Personnel[Santiye],$K119),"")</f>
        <v/>
      </c>
      <c r="E119" s="18" t="str">
        <f>IFERROR(INDEX(Personnel[Ogretmen],$K119),"")</f>
        <v/>
      </c>
      <c r="F119" s="17" t="str">
        <f>IFERROR(INDEX(Personnel[[Sinav ]],$K119),"")</f>
        <v/>
      </c>
      <c r="G119" s="17" t="str">
        <f>IFERROR(INDEX(Personnel[Egtim durumu],$K119),"")</f>
        <v/>
      </c>
      <c r="H119" s="17" t="str">
        <f>IFERROR(INDEX(Personnel[Shohruh Not],$K119),"")</f>
        <v/>
      </c>
      <c r="I119" s="18" t="str">
        <f>IFERROR(INDEX(Personnel[Дней в РФ],$K119),"")</f>
        <v/>
      </c>
      <c r="K119" s="23" t="str">
        <f t="array" ref="K119">IFERROR(_xlfn.AGGREGATE(15,6,(ROW(Personnel[Egtim durumu])-MIN(ROW(Personnel[Egtim durumu]))+1)/((Personnel[Egtim durumu]="Egitime  devem eden")+(Personnel[Egtim durumu]="Egitime alinacak")+(Personnel[Egtim durumu]="sinavi hazir")),ROWS($K$7:K119)),"")</f>
        <v/>
      </c>
    </row>
    <row r="120" spans="1:11" x14ac:dyDescent="0.25">
      <c r="A120" s="28" t="str">
        <f>IFERROR(INDEX(Personnel[Sicil],$K120),"")</f>
        <v/>
      </c>
      <c r="B120" s="29" t="str">
        <f>IFERROR(INDEX(Personnel[Adi Soyadi],$K120),"")</f>
        <v/>
      </c>
      <c r="C120" s="28" t="str">
        <f>IFERROR(INDEX(Personnel[Vatandaslik],$K120),"")</f>
        <v/>
      </c>
      <c r="D120" s="28" t="str">
        <f>IFERROR(INDEX(Personnel[Santiye],$K120),"")</f>
        <v/>
      </c>
      <c r="E120" s="28" t="str">
        <f>IFERROR(INDEX(Personnel[Ogretmen],$K120),"")</f>
        <v/>
      </c>
      <c r="F120" s="29" t="str">
        <f>IFERROR(INDEX(Personnel[[Sinav ]],$K120),"")</f>
        <v/>
      </c>
      <c r="G120" s="29" t="str">
        <f>IFERROR(INDEX(Personnel[Egtim durumu],$K120),"")</f>
        <v/>
      </c>
      <c r="H120" s="29" t="str">
        <f>IFERROR(INDEX(Personnel[Shohruh Not],$K120),"")</f>
        <v/>
      </c>
      <c r="I120" s="28" t="str">
        <f>IFERROR(INDEX(Personnel[Дней в РФ],$K120),"")</f>
        <v/>
      </c>
      <c r="K120" s="23" t="str">
        <f t="array" ref="K120">IFERROR(_xlfn.AGGREGATE(15,6,(ROW(Personnel[Egtim durumu])-MIN(ROW(Personnel[Egtim durumu]))+1)/((Personnel[Egtim durumu]="Egitime  devem eden")+(Personnel[Egtim durumu]="Egitime alinacak")+(Personnel[Egtim durumu]="sinavi hazir")),ROWS($K$7:K120)),"")</f>
        <v/>
      </c>
    </row>
    <row r="121" spans="1:11" x14ac:dyDescent="0.25">
      <c r="A121" s="18" t="str">
        <f>IFERROR(INDEX(Personnel[Sicil],$K121),"")</f>
        <v/>
      </c>
      <c r="B121" s="17" t="str">
        <f>IFERROR(INDEX(Personnel[Adi Soyadi],$K121),"")</f>
        <v/>
      </c>
      <c r="C121" s="18" t="str">
        <f>IFERROR(INDEX(Personnel[Vatandaslik],$K121),"")</f>
        <v/>
      </c>
      <c r="D121" s="18" t="str">
        <f>IFERROR(INDEX(Personnel[Santiye],$K121),"")</f>
        <v/>
      </c>
      <c r="E121" s="18" t="str">
        <f>IFERROR(INDEX(Personnel[Ogretmen],$K121),"")</f>
        <v/>
      </c>
      <c r="F121" s="17" t="str">
        <f>IFERROR(INDEX(Personnel[[Sinav ]],$K121),"")</f>
        <v/>
      </c>
      <c r="G121" s="17" t="str">
        <f>IFERROR(INDEX(Personnel[Egtim durumu],$K121),"")</f>
        <v/>
      </c>
      <c r="H121" s="17" t="str">
        <f>IFERROR(INDEX(Personnel[Shohruh Not],$K121),"")</f>
        <v/>
      </c>
      <c r="I121" s="18" t="str">
        <f>IFERROR(INDEX(Personnel[Дней в РФ],$K121),"")</f>
        <v/>
      </c>
      <c r="K121" s="23" t="str">
        <f t="array" ref="K121">IFERROR(_xlfn.AGGREGATE(15,6,(ROW(Personnel[Egtim durumu])-MIN(ROW(Personnel[Egtim durumu]))+1)/((Personnel[Egtim durumu]="Egitime  devem eden")+(Personnel[Egtim durumu]="Egitime alinacak")+(Personnel[Egtim durumu]="sinavi hazir")),ROWS($K$7:K121)),"")</f>
        <v/>
      </c>
    </row>
    <row r="122" spans="1:11" x14ac:dyDescent="0.25">
      <c r="A122" s="28" t="str">
        <f>IFERROR(INDEX(Personnel[Sicil],$K122),"")</f>
        <v/>
      </c>
      <c r="B122" s="29" t="str">
        <f>IFERROR(INDEX(Personnel[Adi Soyadi],$K122),"")</f>
        <v/>
      </c>
      <c r="C122" s="28" t="str">
        <f>IFERROR(INDEX(Personnel[Vatandaslik],$K122),"")</f>
        <v/>
      </c>
      <c r="D122" s="28" t="str">
        <f>IFERROR(INDEX(Personnel[Santiye],$K122),"")</f>
        <v/>
      </c>
      <c r="E122" s="28" t="str">
        <f>IFERROR(INDEX(Personnel[Ogretmen],$K122),"")</f>
        <v/>
      </c>
      <c r="F122" s="29" t="str">
        <f>IFERROR(INDEX(Personnel[[Sinav ]],$K122),"")</f>
        <v/>
      </c>
      <c r="G122" s="29" t="str">
        <f>IFERROR(INDEX(Personnel[Egtim durumu],$K122),"")</f>
        <v/>
      </c>
      <c r="H122" s="29" t="str">
        <f>IFERROR(INDEX(Personnel[Shohruh Not],$K122),"")</f>
        <v/>
      </c>
      <c r="I122" s="28" t="str">
        <f>IFERROR(INDEX(Personnel[Дней в РФ],$K122),"")</f>
        <v/>
      </c>
      <c r="K122" s="23" t="str">
        <f t="array" ref="K122">IFERROR(_xlfn.AGGREGATE(15,6,(ROW(Personnel[Egtim durumu])-MIN(ROW(Personnel[Egtim durumu]))+1)/((Personnel[Egtim durumu]="Egitime  devem eden")+(Personnel[Egtim durumu]="Egitime alinacak")+(Personnel[Egtim durumu]="sinavi hazir")),ROWS($K$7:K122)),"")</f>
        <v/>
      </c>
    </row>
    <row r="123" spans="1:11" x14ac:dyDescent="0.25">
      <c r="A123" s="18" t="str">
        <f>IFERROR(INDEX(Personnel[Sicil],$K123),"")</f>
        <v/>
      </c>
      <c r="B123" s="17" t="str">
        <f>IFERROR(INDEX(Personnel[Adi Soyadi],$K123),"")</f>
        <v/>
      </c>
      <c r="C123" s="18" t="str">
        <f>IFERROR(INDEX(Personnel[Vatandaslik],$K123),"")</f>
        <v/>
      </c>
      <c r="D123" s="18" t="str">
        <f>IFERROR(INDEX(Personnel[Santiye],$K123),"")</f>
        <v/>
      </c>
      <c r="E123" s="18" t="str">
        <f>IFERROR(INDEX(Personnel[Ogretmen],$K123),"")</f>
        <v/>
      </c>
      <c r="F123" s="17" t="str">
        <f>IFERROR(INDEX(Personnel[[Sinav ]],$K123),"")</f>
        <v/>
      </c>
      <c r="G123" s="17" t="str">
        <f>IFERROR(INDEX(Personnel[Egtim durumu],$K123),"")</f>
        <v/>
      </c>
      <c r="H123" s="17" t="str">
        <f>IFERROR(INDEX(Personnel[Shohruh Not],$K123),"")</f>
        <v/>
      </c>
      <c r="I123" s="18" t="str">
        <f>IFERROR(INDEX(Personnel[Дней в РФ],$K123),"")</f>
        <v/>
      </c>
      <c r="K123" s="23" t="str">
        <f t="array" ref="K123">IFERROR(_xlfn.AGGREGATE(15,6,(ROW(Personnel[Egtim durumu])-MIN(ROW(Personnel[Egtim durumu]))+1)/((Personnel[Egtim durumu]="Egitime  devem eden")+(Personnel[Egtim durumu]="Egitime alinacak")+(Personnel[Egtim durumu]="sinavi hazir")),ROWS($K$7:K123)),"")</f>
        <v/>
      </c>
    </row>
    <row r="124" spans="1:11" x14ac:dyDescent="0.25">
      <c r="A124" s="28" t="str">
        <f>IFERROR(INDEX(Personnel[Sicil],$K124),"")</f>
        <v/>
      </c>
      <c r="B124" s="29" t="str">
        <f>IFERROR(INDEX(Personnel[Adi Soyadi],$K124),"")</f>
        <v/>
      </c>
      <c r="C124" s="28" t="str">
        <f>IFERROR(INDEX(Personnel[Vatandaslik],$K124),"")</f>
        <v/>
      </c>
      <c r="D124" s="28" t="str">
        <f>IFERROR(INDEX(Personnel[Santiye],$K124),"")</f>
        <v/>
      </c>
      <c r="E124" s="28" t="str">
        <f>IFERROR(INDEX(Personnel[Ogretmen],$K124),"")</f>
        <v/>
      </c>
      <c r="F124" s="29" t="str">
        <f>IFERROR(INDEX(Personnel[[Sinav ]],$K124),"")</f>
        <v/>
      </c>
      <c r="G124" s="29" t="str">
        <f>IFERROR(INDEX(Personnel[Egtim durumu],$K124),"")</f>
        <v/>
      </c>
      <c r="H124" s="29" t="str">
        <f>IFERROR(INDEX(Personnel[Shohruh Not],$K124),"")</f>
        <v/>
      </c>
      <c r="I124" s="28" t="str">
        <f>IFERROR(INDEX(Personnel[Дней в РФ],$K124),"")</f>
        <v/>
      </c>
      <c r="K124" s="23" t="str">
        <f t="array" ref="K124">IFERROR(_xlfn.AGGREGATE(15,6,(ROW(Personnel[Egtim durumu])-MIN(ROW(Personnel[Egtim durumu]))+1)/((Personnel[Egtim durumu]="Egitime  devem eden")+(Personnel[Egtim durumu]="Egitime alinacak")+(Personnel[Egtim durumu]="sinavi hazir")),ROWS($K$7:K124)),"")</f>
        <v/>
      </c>
    </row>
    <row r="125" spans="1:11" x14ac:dyDescent="0.25">
      <c r="A125" s="18" t="str">
        <f>IFERROR(INDEX(Personnel[Sicil],$K125),"")</f>
        <v/>
      </c>
      <c r="B125" s="17" t="str">
        <f>IFERROR(INDEX(Personnel[Adi Soyadi],$K125),"")</f>
        <v/>
      </c>
      <c r="C125" s="18" t="str">
        <f>IFERROR(INDEX(Personnel[Vatandaslik],$K125),"")</f>
        <v/>
      </c>
      <c r="D125" s="18" t="str">
        <f>IFERROR(INDEX(Personnel[Santiye],$K125),"")</f>
        <v/>
      </c>
      <c r="E125" s="18" t="str">
        <f>IFERROR(INDEX(Personnel[Ogretmen],$K125),"")</f>
        <v/>
      </c>
      <c r="F125" s="17" t="str">
        <f>IFERROR(INDEX(Personnel[[Sinav ]],$K125),"")</f>
        <v/>
      </c>
      <c r="G125" s="17" t="str">
        <f>IFERROR(INDEX(Personnel[Egtim durumu],$K125),"")</f>
        <v/>
      </c>
      <c r="H125" s="17" t="str">
        <f>IFERROR(INDEX(Personnel[Shohruh Not],$K125),"")</f>
        <v/>
      </c>
      <c r="I125" s="18" t="str">
        <f>IFERROR(INDEX(Personnel[Дней в РФ],$K125),"")</f>
        <v/>
      </c>
      <c r="K125" s="23" t="str">
        <f t="array" ref="K125">IFERROR(_xlfn.AGGREGATE(15,6,(ROW(Personnel[Egtim durumu])-MIN(ROW(Personnel[Egtim durumu]))+1)/((Personnel[Egtim durumu]="Egitime  devem eden")+(Personnel[Egtim durumu]="Egitime alinacak")+(Personnel[Egtim durumu]="sinavi hazir")),ROWS($K$7:K125)),"")</f>
        <v/>
      </c>
    </row>
    <row r="126" spans="1:11" x14ac:dyDescent="0.25">
      <c r="A126" s="28" t="str">
        <f>IFERROR(INDEX(Personnel[Sicil],$K126),"")</f>
        <v/>
      </c>
      <c r="B126" s="29" t="str">
        <f>IFERROR(INDEX(Personnel[Adi Soyadi],$K126),"")</f>
        <v/>
      </c>
      <c r="C126" s="28" t="str">
        <f>IFERROR(INDEX(Personnel[Vatandaslik],$K126),"")</f>
        <v/>
      </c>
      <c r="D126" s="28" t="str">
        <f>IFERROR(INDEX(Personnel[Santiye],$K126),"")</f>
        <v/>
      </c>
      <c r="E126" s="28" t="str">
        <f>IFERROR(INDEX(Personnel[Ogretmen],$K126),"")</f>
        <v/>
      </c>
      <c r="F126" s="29" t="str">
        <f>IFERROR(INDEX(Personnel[[Sinav ]],$K126),"")</f>
        <v/>
      </c>
      <c r="G126" s="29" t="str">
        <f>IFERROR(INDEX(Personnel[Egtim durumu],$K126),"")</f>
        <v/>
      </c>
      <c r="H126" s="29" t="str">
        <f>IFERROR(INDEX(Personnel[Shohruh Not],$K126),"")</f>
        <v/>
      </c>
      <c r="I126" s="28" t="str">
        <f>IFERROR(INDEX(Personnel[Дней в РФ],$K126),"")</f>
        <v/>
      </c>
      <c r="K126" s="23" t="str">
        <f t="array" ref="K126">IFERROR(_xlfn.AGGREGATE(15,6,(ROW(Personnel[Egtim durumu])-MIN(ROW(Personnel[Egtim durumu]))+1)/((Personnel[Egtim durumu]="Egitime  devem eden")+(Personnel[Egtim durumu]="Egitime alinacak")+(Personnel[Egtim durumu]="sinavi hazir")),ROWS($K$7:K126)),"")</f>
        <v/>
      </c>
    </row>
    <row r="127" spans="1:11" x14ac:dyDescent="0.25">
      <c r="A127" s="18" t="str">
        <f>IFERROR(INDEX(Personnel[Sicil],$K127),"")</f>
        <v/>
      </c>
      <c r="B127" s="17" t="str">
        <f>IFERROR(INDEX(Personnel[Adi Soyadi],$K127),"")</f>
        <v/>
      </c>
      <c r="C127" s="18" t="str">
        <f>IFERROR(INDEX(Personnel[Vatandaslik],$K127),"")</f>
        <v/>
      </c>
      <c r="D127" s="18" t="str">
        <f>IFERROR(INDEX(Personnel[Santiye],$K127),"")</f>
        <v/>
      </c>
      <c r="E127" s="18" t="str">
        <f>IFERROR(INDEX(Personnel[Ogretmen],$K127),"")</f>
        <v/>
      </c>
      <c r="F127" s="17" t="str">
        <f>IFERROR(INDEX(Personnel[[Sinav ]],$K127),"")</f>
        <v/>
      </c>
      <c r="G127" s="17" t="str">
        <f>IFERROR(INDEX(Personnel[Egtim durumu],$K127),"")</f>
        <v/>
      </c>
      <c r="H127" s="17" t="str">
        <f>IFERROR(INDEX(Personnel[Shohruh Not],$K127),"")</f>
        <v/>
      </c>
      <c r="I127" s="18" t="str">
        <f>IFERROR(INDEX(Personnel[Дней в РФ],$K127),"")</f>
        <v/>
      </c>
      <c r="K127" s="23" t="str">
        <f t="array" ref="K127">IFERROR(_xlfn.AGGREGATE(15,6,(ROW(Personnel[Egtim durumu])-MIN(ROW(Personnel[Egtim durumu]))+1)/((Personnel[Egtim durumu]="Egitime  devem eden")+(Personnel[Egtim durumu]="Egitime alinacak")+(Personnel[Egtim durumu]="sinavi hazir")),ROWS($K$7:K127)),"")</f>
        <v/>
      </c>
    </row>
    <row r="128" spans="1:11" x14ac:dyDescent="0.25">
      <c r="A128" s="28" t="str">
        <f>IFERROR(INDEX(Personnel[Sicil],$K128),"")</f>
        <v/>
      </c>
      <c r="B128" s="29" t="str">
        <f>IFERROR(INDEX(Personnel[Adi Soyadi],$K128),"")</f>
        <v/>
      </c>
      <c r="C128" s="28" t="str">
        <f>IFERROR(INDEX(Personnel[Vatandaslik],$K128),"")</f>
        <v/>
      </c>
      <c r="D128" s="28" t="str">
        <f>IFERROR(INDEX(Personnel[Santiye],$K128),"")</f>
        <v/>
      </c>
      <c r="E128" s="28" t="str">
        <f>IFERROR(INDEX(Personnel[Ogretmen],$K128),"")</f>
        <v/>
      </c>
      <c r="F128" s="29" t="str">
        <f>IFERROR(INDEX(Personnel[[Sinav ]],$K128),"")</f>
        <v/>
      </c>
      <c r="G128" s="29" t="str">
        <f>IFERROR(INDEX(Personnel[Egtim durumu],$K128),"")</f>
        <v/>
      </c>
      <c r="H128" s="29" t="str">
        <f>IFERROR(INDEX(Personnel[Shohruh Not],$K128),"")</f>
        <v/>
      </c>
      <c r="I128" s="28" t="str">
        <f>IFERROR(INDEX(Personnel[Дней в РФ],$K128),"")</f>
        <v/>
      </c>
      <c r="K128" s="23" t="str">
        <f t="array" ref="K128">IFERROR(_xlfn.AGGREGATE(15,6,(ROW(Personnel[Egtim durumu])-MIN(ROW(Personnel[Egtim durumu]))+1)/((Personnel[Egtim durumu]="Egitime  devem eden")+(Personnel[Egtim durumu]="Egitime alinacak")+(Personnel[Egtim durumu]="sinavi hazir")),ROWS($K$7:K128)),"")</f>
        <v/>
      </c>
    </row>
    <row r="129" spans="1:11" x14ac:dyDescent="0.25">
      <c r="A129" s="18" t="str">
        <f>IFERROR(INDEX(Personnel[Sicil],$K129),"")</f>
        <v/>
      </c>
      <c r="B129" s="17" t="str">
        <f>IFERROR(INDEX(Personnel[Adi Soyadi],$K129),"")</f>
        <v/>
      </c>
      <c r="C129" s="18" t="str">
        <f>IFERROR(INDEX(Personnel[Vatandaslik],$K129),"")</f>
        <v/>
      </c>
      <c r="D129" s="18" t="str">
        <f>IFERROR(INDEX(Personnel[Santiye],$K129),"")</f>
        <v/>
      </c>
      <c r="E129" s="18" t="str">
        <f>IFERROR(INDEX(Personnel[Ogretmen],$K129),"")</f>
        <v/>
      </c>
      <c r="F129" s="17" t="str">
        <f>IFERROR(INDEX(Personnel[[Sinav ]],$K129),"")</f>
        <v/>
      </c>
      <c r="G129" s="17" t="str">
        <f>IFERROR(INDEX(Personnel[Egtim durumu],$K129),"")</f>
        <v/>
      </c>
      <c r="H129" s="17" t="str">
        <f>IFERROR(INDEX(Personnel[Shohruh Not],$K129),"")</f>
        <v/>
      </c>
      <c r="I129" s="18" t="str">
        <f>IFERROR(INDEX(Personnel[Дней в РФ],$K129),"")</f>
        <v/>
      </c>
      <c r="K129" s="23" t="str">
        <f t="array" ref="K129">IFERROR(_xlfn.AGGREGATE(15,6,(ROW(Personnel[Egtim durumu])-MIN(ROW(Personnel[Egtim durumu]))+1)/((Personnel[Egtim durumu]="Egitime  devem eden")+(Personnel[Egtim durumu]="Egitime alinacak")+(Personnel[Egtim durumu]="sinavi hazir")),ROWS($K$7:K129)),"")</f>
        <v/>
      </c>
    </row>
    <row r="130" spans="1:11" x14ac:dyDescent="0.25">
      <c r="A130" s="28" t="str">
        <f>IFERROR(INDEX(Personnel[Sicil],$K130),"")</f>
        <v/>
      </c>
      <c r="B130" s="29" t="str">
        <f>IFERROR(INDEX(Personnel[Adi Soyadi],$K130),"")</f>
        <v/>
      </c>
      <c r="C130" s="28" t="str">
        <f>IFERROR(INDEX(Personnel[Vatandaslik],$K130),"")</f>
        <v/>
      </c>
      <c r="D130" s="28" t="str">
        <f>IFERROR(INDEX(Personnel[Santiye],$K130),"")</f>
        <v/>
      </c>
      <c r="E130" s="28" t="str">
        <f>IFERROR(INDEX(Personnel[Ogretmen],$K130),"")</f>
        <v/>
      </c>
      <c r="F130" s="29" t="str">
        <f>IFERROR(INDEX(Personnel[[Sinav ]],$K130),"")</f>
        <v/>
      </c>
      <c r="G130" s="29" t="str">
        <f>IFERROR(INDEX(Personnel[Egtim durumu],$K130),"")</f>
        <v/>
      </c>
      <c r="H130" s="29" t="str">
        <f>IFERROR(INDEX(Personnel[Shohruh Not],$K130),"")</f>
        <v/>
      </c>
      <c r="I130" s="28" t="str">
        <f>IFERROR(INDEX(Personnel[Дней в РФ],$K130),"")</f>
        <v/>
      </c>
      <c r="K130" s="23" t="str">
        <f t="array" ref="K130">IFERROR(_xlfn.AGGREGATE(15,6,(ROW(Personnel[Egtim durumu])-MIN(ROW(Personnel[Egtim durumu]))+1)/((Personnel[Egtim durumu]="Egitime  devem eden")+(Personnel[Egtim durumu]="Egitime alinacak")+(Personnel[Egtim durumu]="sinavi hazir")),ROWS($K$7:K130)),"")</f>
        <v/>
      </c>
    </row>
    <row r="131" spans="1:11" x14ac:dyDescent="0.25">
      <c r="A131" s="18" t="str">
        <f>IFERROR(INDEX(Personnel[Sicil],$K131),"")</f>
        <v/>
      </c>
      <c r="B131" s="17" t="str">
        <f>IFERROR(INDEX(Personnel[Adi Soyadi],$K131),"")</f>
        <v/>
      </c>
      <c r="C131" s="18" t="str">
        <f>IFERROR(INDEX(Personnel[Vatandaslik],$K131),"")</f>
        <v/>
      </c>
      <c r="D131" s="18" t="str">
        <f>IFERROR(INDEX(Personnel[Santiye],$K131),"")</f>
        <v/>
      </c>
      <c r="E131" s="18" t="str">
        <f>IFERROR(INDEX(Personnel[Ogretmen],$K131),"")</f>
        <v/>
      </c>
      <c r="F131" s="17" t="str">
        <f>IFERROR(INDEX(Personnel[[Sinav ]],$K131),"")</f>
        <v/>
      </c>
      <c r="G131" s="17" t="str">
        <f>IFERROR(INDEX(Personnel[Egtim durumu],$K131),"")</f>
        <v/>
      </c>
      <c r="H131" s="17" t="str">
        <f>IFERROR(INDEX(Personnel[Shohruh Not],$K131),"")</f>
        <v/>
      </c>
      <c r="I131" s="18" t="str">
        <f>IFERROR(INDEX(Personnel[Дней в РФ],$K131),"")</f>
        <v/>
      </c>
      <c r="K131" s="23" t="str">
        <f t="array" ref="K131">IFERROR(_xlfn.AGGREGATE(15,6,(ROW(Personnel[Egtim durumu])-MIN(ROW(Personnel[Egtim durumu]))+1)/((Personnel[Egtim durumu]="Egitime  devem eden")+(Personnel[Egtim durumu]="Egitime alinacak")+(Personnel[Egtim durumu]="sinavi hazir")),ROWS($K$7:K131)),"")</f>
        <v/>
      </c>
    </row>
    <row r="132" spans="1:11" x14ac:dyDescent="0.25">
      <c r="A132" s="28" t="str">
        <f>IFERROR(INDEX(Personnel[Sicil],$K132),"")</f>
        <v/>
      </c>
      <c r="B132" s="29" t="str">
        <f>IFERROR(INDEX(Personnel[Adi Soyadi],$K132),"")</f>
        <v/>
      </c>
      <c r="C132" s="28" t="str">
        <f>IFERROR(INDEX(Personnel[Vatandaslik],$K132),"")</f>
        <v/>
      </c>
      <c r="D132" s="28" t="str">
        <f>IFERROR(INDEX(Personnel[Santiye],$K132),"")</f>
        <v/>
      </c>
      <c r="E132" s="28" t="str">
        <f>IFERROR(INDEX(Personnel[Ogretmen],$K132),"")</f>
        <v/>
      </c>
      <c r="F132" s="29" t="str">
        <f>IFERROR(INDEX(Personnel[[Sinav ]],$K132),"")</f>
        <v/>
      </c>
      <c r="G132" s="29" t="str">
        <f>IFERROR(INDEX(Personnel[Egtim durumu],$K132),"")</f>
        <v/>
      </c>
      <c r="H132" s="29" t="str">
        <f>IFERROR(INDEX(Personnel[Shohruh Not],$K132),"")</f>
        <v/>
      </c>
      <c r="I132" s="28" t="str">
        <f>IFERROR(INDEX(Personnel[Дней в РФ],$K132),"")</f>
        <v/>
      </c>
      <c r="K132" s="23" t="str">
        <f t="array" ref="K132">IFERROR(_xlfn.AGGREGATE(15,6,(ROW(Personnel[Egtim durumu])-MIN(ROW(Personnel[Egtim durumu]))+1)/((Personnel[Egtim durumu]="Egitime  devem eden")+(Personnel[Egtim durumu]="Egitime alinacak")+(Personnel[Egtim durumu]="sinavi hazir")),ROWS($K$7:K132)),"")</f>
        <v/>
      </c>
    </row>
    <row r="133" spans="1:11" x14ac:dyDescent="0.25">
      <c r="A133" s="18" t="str">
        <f>IFERROR(INDEX(Personnel[Sicil],$K133),"")</f>
        <v/>
      </c>
      <c r="B133" s="17" t="str">
        <f>IFERROR(INDEX(Personnel[Adi Soyadi],$K133),"")</f>
        <v/>
      </c>
      <c r="C133" s="18" t="str">
        <f>IFERROR(INDEX(Personnel[Vatandaslik],$K133),"")</f>
        <v/>
      </c>
      <c r="D133" s="18" t="str">
        <f>IFERROR(INDEX(Personnel[Santiye],$K133),"")</f>
        <v/>
      </c>
      <c r="E133" s="18" t="str">
        <f>IFERROR(INDEX(Personnel[Ogretmen],$K133),"")</f>
        <v/>
      </c>
      <c r="F133" s="17" t="str">
        <f>IFERROR(INDEX(Personnel[[Sinav ]],$K133),"")</f>
        <v/>
      </c>
      <c r="G133" s="17" t="str">
        <f>IFERROR(INDEX(Personnel[Egtim durumu],$K133),"")</f>
        <v/>
      </c>
      <c r="H133" s="17" t="str">
        <f>IFERROR(INDEX(Personnel[Shohruh Not],$K133),"")</f>
        <v/>
      </c>
      <c r="I133" s="18" t="str">
        <f>IFERROR(INDEX(Personnel[Дней в РФ],$K133),"")</f>
        <v/>
      </c>
      <c r="K133" s="23" t="str">
        <f t="array" ref="K133">IFERROR(_xlfn.AGGREGATE(15,6,(ROW(Personnel[Egtim durumu])-MIN(ROW(Personnel[Egtim durumu]))+1)/((Personnel[Egtim durumu]="Egitime  devem eden")+(Personnel[Egtim durumu]="Egitime alinacak")+(Personnel[Egtim durumu]="sinavi hazir")),ROWS($K$7:K133)),"")</f>
        <v/>
      </c>
    </row>
    <row r="134" spans="1:11" x14ac:dyDescent="0.25">
      <c r="A134" s="28" t="str">
        <f>IFERROR(INDEX(Personnel[Sicil],$K134),"")</f>
        <v/>
      </c>
      <c r="B134" s="29" t="str">
        <f>IFERROR(INDEX(Personnel[Adi Soyadi],$K134),"")</f>
        <v/>
      </c>
      <c r="C134" s="28" t="str">
        <f>IFERROR(INDEX(Personnel[Vatandaslik],$K134),"")</f>
        <v/>
      </c>
      <c r="D134" s="28" t="str">
        <f>IFERROR(INDEX(Personnel[Santiye],$K134),"")</f>
        <v/>
      </c>
      <c r="E134" s="28" t="str">
        <f>IFERROR(INDEX(Personnel[Ogretmen],$K134),"")</f>
        <v/>
      </c>
      <c r="F134" s="29" t="str">
        <f>IFERROR(INDEX(Personnel[[Sinav ]],$K134),"")</f>
        <v/>
      </c>
      <c r="G134" s="29" t="str">
        <f>IFERROR(INDEX(Personnel[Egtim durumu],$K134),"")</f>
        <v/>
      </c>
      <c r="H134" s="29" t="str">
        <f>IFERROR(INDEX(Personnel[Shohruh Not],$K134),"")</f>
        <v/>
      </c>
      <c r="I134" s="28" t="str">
        <f>IFERROR(INDEX(Personnel[Дней в РФ],$K134),"")</f>
        <v/>
      </c>
      <c r="K134" s="23" t="str">
        <f t="array" ref="K134">IFERROR(_xlfn.AGGREGATE(15,6,(ROW(Personnel[Egtim durumu])-MIN(ROW(Personnel[Egtim durumu]))+1)/((Personnel[Egtim durumu]="Egitime  devem eden")+(Personnel[Egtim durumu]="Egitime alinacak")+(Personnel[Egtim durumu]="sinavi hazir")),ROWS($K$7:K134)),"")</f>
        <v/>
      </c>
    </row>
    <row r="135" spans="1:11" x14ac:dyDescent="0.25">
      <c r="A135" s="18" t="str">
        <f>IFERROR(INDEX(Personnel[Sicil],$K135),"")</f>
        <v/>
      </c>
      <c r="B135" s="17" t="str">
        <f>IFERROR(INDEX(Personnel[Adi Soyadi],$K135),"")</f>
        <v/>
      </c>
      <c r="C135" s="18" t="str">
        <f>IFERROR(INDEX(Personnel[Vatandaslik],$K135),"")</f>
        <v/>
      </c>
      <c r="D135" s="18" t="str">
        <f>IFERROR(INDEX(Personnel[Santiye],$K135),"")</f>
        <v/>
      </c>
      <c r="E135" s="18" t="str">
        <f>IFERROR(INDEX(Personnel[Ogretmen],$K135),"")</f>
        <v/>
      </c>
      <c r="F135" s="17" t="str">
        <f>IFERROR(INDEX(Personnel[[Sinav ]],$K135),"")</f>
        <v/>
      </c>
      <c r="G135" s="17" t="str">
        <f>IFERROR(INDEX(Personnel[Egtim durumu],$K135),"")</f>
        <v/>
      </c>
      <c r="H135" s="17" t="str">
        <f>IFERROR(INDEX(Personnel[Shohruh Not],$K135),"")</f>
        <v/>
      </c>
      <c r="I135" s="18" t="str">
        <f>IFERROR(INDEX(Personnel[Дней в РФ],$K135),"")</f>
        <v/>
      </c>
      <c r="K135" s="23" t="str">
        <f t="array" ref="K135">IFERROR(_xlfn.AGGREGATE(15,6,(ROW(Personnel[Egtim durumu])-MIN(ROW(Personnel[Egtim durumu]))+1)/((Personnel[Egtim durumu]="Egitime  devem eden")+(Personnel[Egtim durumu]="Egitime alinacak")+(Personnel[Egtim durumu]="sinavi hazir")),ROWS($K$7:K135)),"")</f>
        <v/>
      </c>
    </row>
    <row r="136" spans="1:11" x14ac:dyDescent="0.25">
      <c r="A136" s="28" t="str">
        <f>IFERROR(INDEX(Personnel[Sicil],$K136),"")</f>
        <v/>
      </c>
      <c r="B136" s="29" t="str">
        <f>IFERROR(INDEX(Personnel[Adi Soyadi],$K136),"")</f>
        <v/>
      </c>
      <c r="C136" s="28" t="str">
        <f>IFERROR(INDEX(Personnel[Vatandaslik],$K136),"")</f>
        <v/>
      </c>
      <c r="D136" s="28" t="str">
        <f>IFERROR(INDEX(Personnel[Santiye],$K136),"")</f>
        <v/>
      </c>
      <c r="E136" s="28" t="str">
        <f>IFERROR(INDEX(Personnel[Ogretmen],$K136),"")</f>
        <v/>
      </c>
      <c r="F136" s="29" t="str">
        <f>IFERROR(INDEX(Personnel[[Sinav ]],$K136),"")</f>
        <v/>
      </c>
      <c r="G136" s="29" t="str">
        <f>IFERROR(INDEX(Personnel[Egtim durumu],$K136),"")</f>
        <v/>
      </c>
      <c r="H136" s="29" t="str">
        <f>IFERROR(INDEX(Personnel[Shohruh Not],$K136),"")</f>
        <v/>
      </c>
      <c r="I136" s="28" t="str">
        <f>IFERROR(INDEX(Personnel[Дней в РФ],$K136),"")</f>
        <v/>
      </c>
      <c r="K136" s="23" t="str">
        <f t="array" ref="K136">IFERROR(_xlfn.AGGREGATE(15,6,(ROW(Personnel[Egtim durumu])-MIN(ROW(Personnel[Egtim durumu]))+1)/((Personnel[Egtim durumu]="Egitime  devem eden")+(Personnel[Egtim durumu]="Egitime alinacak")+(Personnel[Egtim durumu]="sinavi hazir")),ROWS($K$7:K136)),"")</f>
        <v/>
      </c>
    </row>
    <row r="137" spans="1:11" x14ac:dyDescent="0.25">
      <c r="A137" s="18" t="str">
        <f>IFERROR(INDEX(Personnel[Sicil],$K137),"")</f>
        <v/>
      </c>
      <c r="B137" s="17" t="str">
        <f>IFERROR(INDEX(Personnel[Adi Soyadi],$K137),"")</f>
        <v/>
      </c>
      <c r="C137" s="18" t="str">
        <f>IFERROR(INDEX(Personnel[Vatandaslik],$K137),"")</f>
        <v/>
      </c>
      <c r="D137" s="18" t="str">
        <f>IFERROR(INDEX(Personnel[Santiye],$K137),"")</f>
        <v/>
      </c>
      <c r="E137" s="18" t="str">
        <f>IFERROR(INDEX(Personnel[Ogretmen],$K137),"")</f>
        <v/>
      </c>
      <c r="F137" s="17" t="str">
        <f>IFERROR(INDEX(Personnel[[Sinav ]],$K137),"")</f>
        <v/>
      </c>
      <c r="G137" s="17" t="str">
        <f>IFERROR(INDEX(Personnel[Egtim durumu],$K137),"")</f>
        <v/>
      </c>
      <c r="H137" s="17" t="str">
        <f>IFERROR(INDEX(Personnel[Shohruh Not],$K137),"")</f>
        <v/>
      </c>
      <c r="I137" s="18" t="str">
        <f>IFERROR(INDEX(Personnel[Дней в РФ],$K137),"")</f>
        <v/>
      </c>
      <c r="K137" s="23" t="str">
        <f t="array" ref="K137">IFERROR(_xlfn.AGGREGATE(15,6,(ROW(Personnel[Egtim durumu])-MIN(ROW(Personnel[Egtim durumu]))+1)/((Personnel[Egtim durumu]="Egitime  devem eden")+(Personnel[Egtim durumu]="Egitime alinacak")+(Personnel[Egtim durumu]="sinavi hazir")),ROWS($K$7:K137)),"")</f>
        <v/>
      </c>
    </row>
    <row r="138" spans="1:11" x14ac:dyDescent="0.25">
      <c r="A138" s="28" t="str">
        <f>IFERROR(INDEX(Personnel[Sicil],$K138),"")</f>
        <v/>
      </c>
      <c r="B138" s="29" t="str">
        <f>IFERROR(INDEX(Personnel[Adi Soyadi],$K138),"")</f>
        <v/>
      </c>
      <c r="C138" s="28" t="str">
        <f>IFERROR(INDEX(Personnel[Vatandaslik],$K138),"")</f>
        <v/>
      </c>
      <c r="D138" s="28" t="str">
        <f>IFERROR(INDEX(Personnel[Santiye],$K138),"")</f>
        <v/>
      </c>
      <c r="E138" s="28" t="str">
        <f>IFERROR(INDEX(Personnel[Ogretmen],$K138),"")</f>
        <v/>
      </c>
      <c r="F138" s="29" t="str">
        <f>IFERROR(INDEX(Personnel[[Sinav ]],$K138),"")</f>
        <v/>
      </c>
      <c r="G138" s="29" t="str">
        <f>IFERROR(INDEX(Personnel[Egtim durumu],$K138),"")</f>
        <v/>
      </c>
      <c r="H138" s="29" t="str">
        <f>IFERROR(INDEX(Personnel[Shohruh Not],$K138),"")</f>
        <v/>
      </c>
      <c r="I138" s="28" t="str">
        <f>IFERROR(INDEX(Personnel[Дней в РФ],$K138),"")</f>
        <v/>
      </c>
      <c r="K138" s="23" t="str">
        <f t="array" ref="K138">IFERROR(_xlfn.AGGREGATE(15,6,(ROW(Personnel[Egtim durumu])-MIN(ROW(Personnel[Egtim durumu]))+1)/((Personnel[Egtim durumu]="Egitime  devem eden")+(Personnel[Egtim durumu]="Egitime alinacak")+(Personnel[Egtim durumu]="sinavi hazir")),ROWS($K$7:K138)),"")</f>
        <v/>
      </c>
    </row>
    <row r="139" spans="1:11" x14ac:dyDescent="0.25">
      <c r="A139" s="18" t="str">
        <f>IFERROR(INDEX(Personnel[Sicil],$K139),"")</f>
        <v/>
      </c>
      <c r="B139" s="17" t="str">
        <f>IFERROR(INDEX(Personnel[Adi Soyadi],$K139),"")</f>
        <v/>
      </c>
      <c r="C139" s="18" t="str">
        <f>IFERROR(INDEX(Personnel[Vatandaslik],$K139),"")</f>
        <v/>
      </c>
      <c r="D139" s="18" t="str">
        <f>IFERROR(INDEX(Personnel[Santiye],$K139),"")</f>
        <v/>
      </c>
      <c r="E139" s="18" t="str">
        <f>IFERROR(INDEX(Personnel[Ogretmen],$K139),"")</f>
        <v/>
      </c>
      <c r="F139" s="17" t="str">
        <f>IFERROR(INDEX(Personnel[[Sinav ]],$K139),"")</f>
        <v/>
      </c>
      <c r="G139" s="17" t="str">
        <f>IFERROR(INDEX(Personnel[Egtim durumu],$K139),"")</f>
        <v/>
      </c>
      <c r="H139" s="17" t="str">
        <f>IFERROR(INDEX(Personnel[Shohruh Not],$K139),"")</f>
        <v/>
      </c>
      <c r="I139" s="18" t="str">
        <f>IFERROR(INDEX(Personnel[Дней в РФ],$K139),"")</f>
        <v/>
      </c>
      <c r="K139" s="23" t="str">
        <f t="array" ref="K139">IFERROR(_xlfn.AGGREGATE(15,6,(ROW(Personnel[Egtim durumu])-MIN(ROW(Personnel[Egtim durumu]))+1)/((Personnel[Egtim durumu]="Egitime  devem eden")+(Personnel[Egtim durumu]="Egitime alinacak")+(Personnel[Egtim durumu]="sinavi hazir")),ROWS($K$7:K139)),"")</f>
        <v/>
      </c>
    </row>
    <row r="140" spans="1:11" x14ac:dyDescent="0.25">
      <c r="A140" s="28" t="str">
        <f>IFERROR(INDEX(Personnel[Sicil],$K140),"")</f>
        <v/>
      </c>
      <c r="B140" s="29" t="str">
        <f>IFERROR(INDEX(Personnel[Adi Soyadi],$K140),"")</f>
        <v/>
      </c>
      <c r="C140" s="28" t="str">
        <f>IFERROR(INDEX(Personnel[Vatandaslik],$K140),"")</f>
        <v/>
      </c>
      <c r="D140" s="28" t="str">
        <f>IFERROR(INDEX(Personnel[Santiye],$K140),"")</f>
        <v/>
      </c>
      <c r="E140" s="28" t="str">
        <f>IFERROR(INDEX(Personnel[Ogretmen],$K140),"")</f>
        <v/>
      </c>
      <c r="F140" s="29" t="str">
        <f>IFERROR(INDEX(Personnel[[Sinav ]],$K140),"")</f>
        <v/>
      </c>
      <c r="G140" s="29" t="str">
        <f>IFERROR(INDEX(Personnel[Egtim durumu],$K140),"")</f>
        <v/>
      </c>
      <c r="H140" s="29" t="str">
        <f>IFERROR(INDEX(Personnel[Shohruh Not],$K140),"")</f>
        <v/>
      </c>
      <c r="I140" s="28" t="str">
        <f>IFERROR(INDEX(Personnel[Дней в РФ],$K140),"")</f>
        <v/>
      </c>
      <c r="K140" s="23" t="str">
        <f t="array" ref="K140">IFERROR(_xlfn.AGGREGATE(15,6,(ROW(Personnel[Egtim durumu])-MIN(ROW(Personnel[Egtim durumu]))+1)/((Personnel[Egtim durumu]="Egitime  devem eden")+(Personnel[Egtim durumu]="Egitime alinacak")+(Personnel[Egtim durumu]="sinavi hazir")),ROWS($K$7:K140)),"")</f>
        <v/>
      </c>
    </row>
    <row r="141" spans="1:11" x14ac:dyDescent="0.25">
      <c r="A141" s="18" t="str">
        <f>IFERROR(INDEX(Personnel[Sicil],$K141),"")</f>
        <v/>
      </c>
      <c r="B141" s="17" t="str">
        <f>IFERROR(INDEX(Personnel[Adi Soyadi],$K141),"")</f>
        <v/>
      </c>
      <c r="C141" s="18" t="str">
        <f>IFERROR(INDEX(Personnel[Vatandaslik],$K141),"")</f>
        <v/>
      </c>
      <c r="D141" s="18" t="str">
        <f>IFERROR(INDEX(Personnel[Santiye],$K141),"")</f>
        <v/>
      </c>
      <c r="E141" s="18" t="str">
        <f>IFERROR(INDEX(Personnel[Ogretmen],$K141),"")</f>
        <v/>
      </c>
      <c r="F141" s="17" t="str">
        <f>IFERROR(INDEX(Personnel[[Sinav ]],$K141),"")</f>
        <v/>
      </c>
      <c r="G141" s="17" t="str">
        <f>IFERROR(INDEX(Personnel[Egtim durumu],$K141),"")</f>
        <v/>
      </c>
      <c r="H141" s="17" t="str">
        <f>IFERROR(INDEX(Personnel[Shohruh Not],$K141),"")</f>
        <v/>
      </c>
      <c r="I141" s="18" t="str">
        <f>IFERROR(INDEX(Personnel[Дней в РФ],$K141),"")</f>
        <v/>
      </c>
      <c r="K141" s="23" t="str">
        <f t="array" ref="K141">IFERROR(_xlfn.AGGREGATE(15,6,(ROW(Personnel[Egtim durumu])-MIN(ROW(Personnel[Egtim durumu]))+1)/((Personnel[Egtim durumu]="Egitime  devem eden")+(Personnel[Egtim durumu]="Egitime alinacak")+(Personnel[Egtim durumu]="sinavi hazir")),ROWS($K$7:K141)),"")</f>
        <v/>
      </c>
    </row>
    <row r="142" spans="1:11" x14ac:dyDescent="0.25">
      <c r="A142" s="28" t="str">
        <f>IFERROR(INDEX(Personnel[Sicil],$K142),"")</f>
        <v/>
      </c>
      <c r="B142" s="29" t="str">
        <f>IFERROR(INDEX(Personnel[Adi Soyadi],$K142),"")</f>
        <v/>
      </c>
      <c r="C142" s="28" t="str">
        <f>IFERROR(INDEX(Personnel[Vatandaslik],$K142),"")</f>
        <v/>
      </c>
      <c r="D142" s="28" t="str">
        <f>IFERROR(INDEX(Personnel[Santiye],$K142),"")</f>
        <v/>
      </c>
      <c r="E142" s="28" t="str">
        <f>IFERROR(INDEX(Personnel[Ogretmen],$K142),"")</f>
        <v/>
      </c>
      <c r="F142" s="29" t="str">
        <f>IFERROR(INDEX(Personnel[[Sinav ]],$K142),"")</f>
        <v/>
      </c>
      <c r="G142" s="29" t="str">
        <f>IFERROR(INDEX(Personnel[Egtim durumu],$K142),"")</f>
        <v/>
      </c>
      <c r="H142" s="29" t="str">
        <f>IFERROR(INDEX(Personnel[Shohruh Not],$K142),"")</f>
        <v/>
      </c>
      <c r="I142" s="28" t="str">
        <f>IFERROR(INDEX(Personnel[Дней в РФ],$K142),"")</f>
        <v/>
      </c>
      <c r="K142" s="23" t="str">
        <f t="array" ref="K142">IFERROR(_xlfn.AGGREGATE(15,6,(ROW(Personnel[Egtim durumu])-MIN(ROW(Personnel[Egtim durumu]))+1)/((Personnel[Egtim durumu]="Egitime  devem eden")+(Personnel[Egtim durumu]="Egitime alinacak")+(Personnel[Egtim durumu]="sinavi hazir")),ROWS($K$7:K142)),"")</f>
        <v/>
      </c>
    </row>
    <row r="143" spans="1:11" x14ac:dyDescent="0.25">
      <c r="A143" s="18" t="str">
        <f>IFERROR(INDEX(Personnel[Sicil],$K143),"")</f>
        <v/>
      </c>
      <c r="B143" s="17" t="str">
        <f>IFERROR(INDEX(Personnel[Adi Soyadi],$K143),"")</f>
        <v/>
      </c>
      <c r="C143" s="18" t="str">
        <f>IFERROR(INDEX(Personnel[Vatandaslik],$K143),"")</f>
        <v/>
      </c>
      <c r="D143" s="18" t="str">
        <f>IFERROR(INDEX(Personnel[Santiye],$K143),"")</f>
        <v/>
      </c>
      <c r="E143" s="18" t="str">
        <f>IFERROR(INDEX(Personnel[Ogretmen],$K143),"")</f>
        <v/>
      </c>
      <c r="F143" s="17" t="str">
        <f>IFERROR(INDEX(Personnel[[Sinav ]],$K143),"")</f>
        <v/>
      </c>
      <c r="G143" s="17" t="str">
        <f>IFERROR(INDEX(Personnel[Egtim durumu],$K143),"")</f>
        <v/>
      </c>
      <c r="H143" s="17" t="str">
        <f>IFERROR(INDEX(Personnel[Shohruh Not],$K143),"")</f>
        <v/>
      </c>
      <c r="I143" s="18" t="str">
        <f>IFERROR(INDEX(Personnel[Дней в РФ],$K143),"")</f>
        <v/>
      </c>
      <c r="K143" s="23" t="str">
        <f t="array" ref="K143">IFERROR(_xlfn.AGGREGATE(15,6,(ROW(Personnel[Egtim durumu])-MIN(ROW(Personnel[Egtim durumu]))+1)/((Personnel[Egtim durumu]="Egitime  devem eden")+(Personnel[Egtim durumu]="Egitime alinacak")+(Personnel[Egtim durumu]="sinavi hazir")),ROWS($K$7:K143)),"")</f>
        <v/>
      </c>
    </row>
    <row r="144" spans="1:11" x14ac:dyDescent="0.25">
      <c r="A144" s="28" t="str">
        <f>IFERROR(INDEX(Personnel[Sicil],$K144),"")</f>
        <v/>
      </c>
      <c r="B144" s="29" t="str">
        <f>IFERROR(INDEX(Personnel[Adi Soyadi],$K144),"")</f>
        <v/>
      </c>
      <c r="C144" s="28" t="str">
        <f>IFERROR(INDEX(Personnel[Vatandaslik],$K144),"")</f>
        <v/>
      </c>
      <c r="D144" s="28" t="str">
        <f>IFERROR(INDEX(Personnel[Santiye],$K144),"")</f>
        <v/>
      </c>
      <c r="E144" s="28" t="str">
        <f>IFERROR(INDEX(Personnel[Ogretmen],$K144),"")</f>
        <v/>
      </c>
      <c r="F144" s="29" t="str">
        <f>IFERROR(INDEX(Personnel[[Sinav ]],$K144),"")</f>
        <v/>
      </c>
      <c r="G144" s="29" t="str">
        <f>IFERROR(INDEX(Personnel[Egtim durumu],$K144),"")</f>
        <v/>
      </c>
      <c r="H144" s="29" t="str">
        <f>IFERROR(INDEX(Personnel[Shohruh Not],$K144),"")</f>
        <v/>
      </c>
      <c r="I144" s="28" t="str">
        <f>IFERROR(INDEX(Personnel[Дней в РФ],$K144),"")</f>
        <v/>
      </c>
      <c r="K144" s="23" t="str">
        <f t="array" ref="K144">IFERROR(_xlfn.AGGREGATE(15,6,(ROW(Personnel[Egtim durumu])-MIN(ROW(Personnel[Egtim durumu]))+1)/((Personnel[Egtim durumu]="Egitime  devem eden")+(Personnel[Egtim durumu]="Egitime alinacak")+(Personnel[Egtim durumu]="sinavi hazir")),ROWS($K$7:K144)),"")</f>
        <v/>
      </c>
    </row>
    <row r="145" spans="1:11" x14ac:dyDescent="0.25">
      <c r="A145" s="18" t="str">
        <f>IFERROR(INDEX(Personnel[Sicil],$K145),"")</f>
        <v/>
      </c>
      <c r="B145" s="17" t="str">
        <f>IFERROR(INDEX(Personnel[Adi Soyadi],$K145),"")</f>
        <v/>
      </c>
      <c r="C145" s="18" t="str">
        <f>IFERROR(INDEX(Personnel[Vatandaslik],$K145),"")</f>
        <v/>
      </c>
      <c r="D145" s="18" t="str">
        <f>IFERROR(INDEX(Personnel[Santiye],$K145),"")</f>
        <v/>
      </c>
      <c r="E145" s="18" t="str">
        <f>IFERROR(INDEX(Personnel[Ogretmen],$K145),"")</f>
        <v/>
      </c>
      <c r="F145" s="17" t="str">
        <f>IFERROR(INDEX(Personnel[[Sinav ]],$K145),"")</f>
        <v/>
      </c>
      <c r="G145" s="17" t="str">
        <f>IFERROR(INDEX(Personnel[Egtim durumu],$K145),"")</f>
        <v/>
      </c>
      <c r="H145" s="17" t="str">
        <f>IFERROR(INDEX(Personnel[Shohruh Not],$K145),"")</f>
        <v/>
      </c>
      <c r="I145" s="18" t="str">
        <f>IFERROR(INDEX(Personnel[Дней в РФ],$K145),"")</f>
        <v/>
      </c>
      <c r="K145" s="23" t="str">
        <f t="array" ref="K145">IFERROR(_xlfn.AGGREGATE(15,6,(ROW(Personnel[Egtim durumu])-MIN(ROW(Personnel[Egtim durumu]))+1)/((Personnel[Egtim durumu]="Egitime  devem eden")+(Personnel[Egtim durumu]="Egitime alinacak")+(Personnel[Egtim durumu]="sinavi hazir")),ROWS($K$7:K145)),"")</f>
        <v/>
      </c>
    </row>
    <row r="146" spans="1:11" x14ac:dyDescent="0.25">
      <c r="A146" s="28" t="str">
        <f>IFERROR(INDEX(Personnel[Sicil],$K146),"")</f>
        <v/>
      </c>
      <c r="B146" s="29" t="str">
        <f>IFERROR(INDEX(Personnel[Adi Soyadi],$K146),"")</f>
        <v/>
      </c>
      <c r="C146" s="28" t="str">
        <f>IFERROR(INDEX(Personnel[Vatandaslik],$K146),"")</f>
        <v/>
      </c>
      <c r="D146" s="28" t="str">
        <f>IFERROR(INDEX(Personnel[Santiye],$K146),"")</f>
        <v/>
      </c>
      <c r="E146" s="28" t="str">
        <f>IFERROR(INDEX(Personnel[Ogretmen],$K146),"")</f>
        <v/>
      </c>
      <c r="F146" s="29" t="str">
        <f>IFERROR(INDEX(Personnel[[Sinav ]],$K146),"")</f>
        <v/>
      </c>
      <c r="G146" s="29" t="str">
        <f>IFERROR(INDEX(Personnel[Egtim durumu],$K146),"")</f>
        <v/>
      </c>
      <c r="H146" s="29" t="str">
        <f>IFERROR(INDEX(Personnel[Shohruh Not],$K146),"")</f>
        <v/>
      </c>
      <c r="I146" s="28" t="str">
        <f>IFERROR(INDEX(Personnel[Дней в РФ],$K146),"")</f>
        <v/>
      </c>
      <c r="K146" s="23" t="str">
        <f t="array" ref="K146">IFERROR(_xlfn.AGGREGATE(15,6,(ROW(Personnel[Egtim durumu])-MIN(ROW(Personnel[Egtim durumu]))+1)/((Personnel[Egtim durumu]="Egitime  devem eden")+(Personnel[Egtim durumu]="Egitime alinacak")+(Personnel[Egtim durumu]="sinavi hazir")),ROWS($K$7:K146)),"")</f>
        <v/>
      </c>
    </row>
    <row r="147" spans="1:11" x14ac:dyDescent="0.25">
      <c r="A147" s="18" t="str">
        <f>IFERROR(INDEX(Personnel[Sicil],$K147),"")</f>
        <v/>
      </c>
      <c r="B147" s="17" t="str">
        <f>IFERROR(INDEX(Personnel[Adi Soyadi],$K147),"")</f>
        <v/>
      </c>
      <c r="C147" s="18" t="str">
        <f>IFERROR(INDEX(Personnel[Vatandaslik],$K147),"")</f>
        <v/>
      </c>
      <c r="D147" s="18" t="str">
        <f>IFERROR(INDEX(Personnel[Santiye],$K147),"")</f>
        <v/>
      </c>
      <c r="E147" s="18" t="str">
        <f>IFERROR(INDEX(Personnel[Ogretmen],$K147),"")</f>
        <v/>
      </c>
      <c r="F147" s="17" t="str">
        <f>IFERROR(INDEX(Personnel[[Sinav ]],$K147),"")</f>
        <v/>
      </c>
      <c r="G147" s="17" t="str">
        <f>IFERROR(INDEX(Personnel[Egtim durumu],$K147),"")</f>
        <v/>
      </c>
      <c r="H147" s="17" t="str">
        <f>IFERROR(INDEX(Personnel[Shohruh Not],$K147),"")</f>
        <v/>
      </c>
      <c r="I147" s="18" t="str">
        <f>IFERROR(INDEX(Personnel[Дней в РФ],$K147),"")</f>
        <v/>
      </c>
      <c r="K147" s="23" t="str">
        <f t="array" ref="K147">IFERROR(_xlfn.AGGREGATE(15,6,(ROW(Personnel[Egtim durumu])-MIN(ROW(Personnel[Egtim durumu]))+1)/((Personnel[Egtim durumu]="Egitime  devem eden")+(Personnel[Egtim durumu]="Egitime alinacak")+(Personnel[Egtim durumu]="sinavi hazir")),ROWS($K$7:K147)),"")</f>
        <v/>
      </c>
    </row>
    <row r="148" spans="1:11" x14ac:dyDescent="0.25">
      <c r="A148" s="28" t="str">
        <f>IFERROR(INDEX(Personnel[Sicil],$K148),"")</f>
        <v/>
      </c>
      <c r="B148" s="29" t="str">
        <f>IFERROR(INDEX(Personnel[Adi Soyadi],$K148),"")</f>
        <v/>
      </c>
      <c r="C148" s="28" t="str">
        <f>IFERROR(INDEX(Personnel[Vatandaslik],$K148),"")</f>
        <v/>
      </c>
      <c r="D148" s="28" t="str">
        <f>IFERROR(INDEX(Personnel[Santiye],$K148),"")</f>
        <v/>
      </c>
      <c r="E148" s="28" t="str">
        <f>IFERROR(INDEX(Personnel[Ogretmen],$K148),"")</f>
        <v/>
      </c>
      <c r="F148" s="29" t="str">
        <f>IFERROR(INDEX(Personnel[[Sinav ]],$K148),"")</f>
        <v/>
      </c>
      <c r="G148" s="29" t="str">
        <f>IFERROR(INDEX(Personnel[Egtim durumu],$K148),"")</f>
        <v/>
      </c>
      <c r="H148" s="29" t="str">
        <f>IFERROR(INDEX(Personnel[Shohruh Not],$K148),"")</f>
        <v/>
      </c>
      <c r="I148" s="28" t="str">
        <f>IFERROR(INDEX(Personnel[Дней в РФ],$K148),"")</f>
        <v/>
      </c>
      <c r="K148" s="23" t="str">
        <f t="array" ref="K148">IFERROR(_xlfn.AGGREGATE(15,6,(ROW(Personnel[Egtim durumu])-MIN(ROW(Personnel[Egtim durumu]))+1)/((Personnel[Egtim durumu]="Egitime  devem eden")+(Personnel[Egtim durumu]="Egitime alinacak")+(Personnel[Egtim durumu]="sinavi hazir")),ROWS($K$7:K148)),"")</f>
        <v/>
      </c>
    </row>
    <row r="149" spans="1:11" x14ac:dyDescent="0.25">
      <c r="A149" s="18" t="str">
        <f>IFERROR(INDEX(Personnel[Sicil],$K149),"")</f>
        <v/>
      </c>
      <c r="B149" s="17" t="str">
        <f>IFERROR(INDEX(Personnel[Adi Soyadi],$K149),"")</f>
        <v/>
      </c>
      <c r="C149" s="18" t="str">
        <f>IFERROR(INDEX(Personnel[Vatandaslik],$K149),"")</f>
        <v/>
      </c>
      <c r="D149" s="18" t="str">
        <f>IFERROR(INDEX(Personnel[Santiye],$K149),"")</f>
        <v/>
      </c>
      <c r="E149" s="18" t="str">
        <f>IFERROR(INDEX(Personnel[Ogretmen],$K149),"")</f>
        <v/>
      </c>
      <c r="F149" s="17" t="str">
        <f>IFERROR(INDEX(Personnel[[Sinav ]],$K149),"")</f>
        <v/>
      </c>
      <c r="G149" s="17" t="str">
        <f>IFERROR(INDEX(Personnel[Egtim durumu],$K149),"")</f>
        <v/>
      </c>
      <c r="H149" s="17" t="str">
        <f>IFERROR(INDEX(Personnel[Shohruh Not],$K149),"")</f>
        <v/>
      </c>
      <c r="I149" s="18" t="str">
        <f>IFERROR(INDEX(Personnel[Дней в РФ],$K149),"")</f>
        <v/>
      </c>
      <c r="K149" s="23" t="str">
        <f t="array" ref="K149">IFERROR(_xlfn.AGGREGATE(15,6,(ROW(Personnel[Egtim durumu])-MIN(ROW(Personnel[Egtim durumu]))+1)/((Personnel[Egtim durumu]="Egitime  devem eden")+(Personnel[Egtim durumu]="Egitime alinacak")+(Personnel[Egtim durumu]="sinavi hazir")),ROWS($K$7:K149)),"")</f>
        <v/>
      </c>
    </row>
    <row r="150" spans="1:11" x14ac:dyDescent="0.25">
      <c r="A150" s="28" t="str">
        <f>IFERROR(INDEX(Personnel[Sicil],$K150),"")</f>
        <v/>
      </c>
      <c r="B150" s="29" t="str">
        <f>IFERROR(INDEX(Personnel[Adi Soyadi],$K150),"")</f>
        <v/>
      </c>
      <c r="C150" s="28" t="str">
        <f>IFERROR(INDEX(Personnel[Vatandaslik],$K150),"")</f>
        <v/>
      </c>
      <c r="D150" s="28" t="str">
        <f>IFERROR(INDEX(Personnel[Santiye],$K150),"")</f>
        <v/>
      </c>
      <c r="E150" s="28" t="str">
        <f>IFERROR(INDEX(Personnel[Ogretmen],$K150),"")</f>
        <v/>
      </c>
      <c r="F150" s="29" t="str">
        <f>IFERROR(INDEX(Personnel[[Sinav ]],$K150),"")</f>
        <v/>
      </c>
      <c r="G150" s="29" t="str">
        <f>IFERROR(INDEX(Personnel[Egtim durumu],$K150),"")</f>
        <v/>
      </c>
      <c r="H150" s="29" t="str">
        <f>IFERROR(INDEX(Personnel[Shohruh Not],$K150),"")</f>
        <v/>
      </c>
      <c r="I150" s="28" t="str">
        <f>IFERROR(INDEX(Personnel[Дней в РФ],$K150),"")</f>
        <v/>
      </c>
      <c r="K150" s="23" t="str">
        <f t="array" ref="K150">IFERROR(_xlfn.AGGREGATE(15,6,(ROW(Personnel[Egtim durumu])-MIN(ROW(Personnel[Egtim durumu]))+1)/((Personnel[Egtim durumu]="Egitime  devem eden")+(Personnel[Egtim durumu]="Egitime alinacak")+(Personnel[Egtim durumu]="sinavi hazir")),ROWS($K$7:K150)),"")</f>
        <v/>
      </c>
    </row>
    <row r="151" spans="1:11" x14ac:dyDescent="0.25">
      <c r="A151" s="18" t="str">
        <f>IFERROR(INDEX(Personnel[Sicil],$K151),"")</f>
        <v/>
      </c>
      <c r="B151" s="17" t="str">
        <f>IFERROR(INDEX(Personnel[Adi Soyadi],$K151),"")</f>
        <v/>
      </c>
      <c r="C151" s="18" t="str">
        <f>IFERROR(INDEX(Personnel[Vatandaslik],$K151),"")</f>
        <v/>
      </c>
      <c r="D151" s="18" t="str">
        <f>IFERROR(INDEX(Personnel[Santiye],$K151),"")</f>
        <v/>
      </c>
      <c r="E151" s="18" t="str">
        <f>IFERROR(INDEX(Personnel[Ogretmen],$K151),"")</f>
        <v/>
      </c>
      <c r="F151" s="17" t="str">
        <f>IFERROR(INDEX(Personnel[[Sinav ]],$K151),"")</f>
        <v/>
      </c>
      <c r="G151" s="17" t="str">
        <f>IFERROR(INDEX(Personnel[Egtim durumu],$K151),"")</f>
        <v/>
      </c>
      <c r="H151" s="17" t="str">
        <f>IFERROR(INDEX(Personnel[Shohruh Not],$K151),"")</f>
        <v/>
      </c>
      <c r="I151" s="18" t="str">
        <f>IFERROR(INDEX(Personnel[Дней в РФ],$K151),"")</f>
        <v/>
      </c>
      <c r="K151" s="23" t="str">
        <f t="array" ref="K151">IFERROR(_xlfn.AGGREGATE(15,6,(ROW(Personnel[Egtim durumu])-MIN(ROW(Personnel[Egtim durumu]))+1)/((Personnel[Egtim durumu]="Egitime  devem eden")+(Personnel[Egtim durumu]="Egitime alinacak")+(Personnel[Egtim durumu]="sinavi hazir")),ROWS($K$7:K151)),"")</f>
        <v/>
      </c>
    </row>
    <row r="152" spans="1:11" x14ac:dyDescent="0.25">
      <c r="A152" s="28" t="str">
        <f>IFERROR(INDEX(Personnel[Sicil],$K152),"")</f>
        <v/>
      </c>
      <c r="B152" s="29" t="str">
        <f>IFERROR(INDEX(Personnel[Adi Soyadi],$K152),"")</f>
        <v/>
      </c>
      <c r="C152" s="28" t="str">
        <f>IFERROR(INDEX(Personnel[Vatandaslik],$K152),"")</f>
        <v/>
      </c>
      <c r="D152" s="28" t="str">
        <f>IFERROR(INDEX(Personnel[Santiye],$K152),"")</f>
        <v/>
      </c>
      <c r="E152" s="28" t="str">
        <f>IFERROR(INDEX(Personnel[Ogretmen],$K152),"")</f>
        <v/>
      </c>
      <c r="F152" s="29" t="str">
        <f>IFERROR(INDEX(Personnel[[Sinav ]],$K152),"")</f>
        <v/>
      </c>
      <c r="G152" s="29" t="str">
        <f>IFERROR(INDEX(Personnel[Egtim durumu],$K152),"")</f>
        <v/>
      </c>
      <c r="H152" s="29" t="str">
        <f>IFERROR(INDEX(Personnel[Shohruh Not],$K152),"")</f>
        <v/>
      </c>
      <c r="I152" s="28" t="str">
        <f>IFERROR(INDEX(Personnel[Дней в РФ],$K152),"")</f>
        <v/>
      </c>
      <c r="K152" s="23" t="str">
        <f t="array" ref="K152">IFERROR(_xlfn.AGGREGATE(15,6,(ROW(Personnel[Egtim durumu])-MIN(ROW(Personnel[Egtim durumu]))+1)/((Personnel[Egtim durumu]="Egitime  devem eden")+(Personnel[Egtim durumu]="Egitime alinacak")+(Personnel[Egtim durumu]="sinavi hazir")),ROWS($K$7:K152)),"")</f>
        <v/>
      </c>
    </row>
    <row r="153" spans="1:11" x14ac:dyDescent="0.25">
      <c r="A153" s="18" t="str">
        <f>IFERROR(INDEX(Personnel[Sicil],$K153),"")</f>
        <v/>
      </c>
      <c r="B153" s="17" t="str">
        <f>IFERROR(INDEX(Personnel[Adi Soyadi],$K153),"")</f>
        <v/>
      </c>
      <c r="C153" s="18" t="str">
        <f>IFERROR(INDEX(Personnel[Vatandaslik],$K153),"")</f>
        <v/>
      </c>
      <c r="D153" s="18" t="str">
        <f>IFERROR(INDEX(Personnel[Santiye],$K153),"")</f>
        <v/>
      </c>
      <c r="E153" s="18" t="str">
        <f>IFERROR(INDEX(Personnel[Ogretmen],$K153),"")</f>
        <v/>
      </c>
      <c r="F153" s="17" t="str">
        <f>IFERROR(INDEX(Personnel[[Sinav ]],$K153),"")</f>
        <v/>
      </c>
      <c r="G153" s="17" t="str">
        <f>IFERROR(INDEX(Personnel[Egtim durumu],$K153),"")</f>
        <v/>
      </c>
      <c r="H153" s="17" t="str">
        <f>IFERROR(INDEX(Personnel[Shohruh Not],$K153),"")</f>
        <v/>
      </c>
      <c r="I153" s="18" t="str">
        <f>IFERROR(INDEX(Personnel[Дней в РФ],$K153),"")</f>
        <v/>
      </c>
      <c r="K153" s="23" t="str">
        <f t="array" ref="K153">IFERROR(_xlfn.AGGREGATE(15,6,(ROW(Personnel[Egtim durumu])-MIN(ROW(Personnel[Egtim durumu]))+1)/((Personnel[Egtim durumu]="Egitime  devem eden")+(Personnel[Egtim durumu]="Egitime alinacak")+(Personnel[Egtim durumu]="sinavi hazir")),ROWS($K$7:K153)),"")</f>
        <v/>
      </c>
    </row>
    <row r="154" spans="1:11" x14ac:dyDescent="0.25">
      <c r="A154" s="28" t="str">
        <f>IFERROR(INDEX(Personnel[Sicil],$K154),"")</f>
        <v/>
      </c>
      <c r="B154" s="29" t="str">
        <f>IFERROR(INDEX(Personnel[Adi Soyadi],$K154),"")</f>
        <v/>
      </c>
      <c r="C154" s="28" t="str">
        <f>IFERROR(INDEX(Personnel[Vatandaslik],$K154),"")</f>
        <v/>
      </c>
      <c r="D154" s="28" t="str">
        <f>IFERROR(INDEX(Personnel[Santiye],$K154),"")</f>
        <v/>
      </c>
      <c r="E154" s="28" t="str">
        <f>IFERROR(INDEX(Personnel[Ogretmen],$K154),"")</f>
        <v/>
      </c>
      <c r="F154" s="29" t="str">
        <f>IFERROR(INDEX(Personnel[[Sinav ]],$K154),"")</f>
        <v/>
      </c>
      <c r="G154" s="29" t="str">
        <f>IFERROR(INDEX(Personnel[Egtim durumu],$K154),"")</f>
        <v/>
      </c>
      <c r="H154" s="29" t="str">
        <f>IFERROR(INDEX(Personnel[Shohruh Not],$K154),"")</f>
        <v/>
      </c>
      <c r="I154" s="28" t="str">
        <f>IFERROR(INDEX(Personnel[Дней в РФ],$K154),"")</f>
        <v/>
      </c>
      <c r="K154" s="23" t="str">
        <f t="array" ref="K154">IFERROR(_xlfn.AGGREGATE(15,6,(ROW(Personnel[Egtim durumu])-MIN(ROW(Personnel[Egtim durumu]))+1)/((Personnel[Egtim durumu]="Egitime  devem eden")+(Personnel[Egtim durumu]="Egitime alinacak")+(Personnel[Egtim durumu]="sinavi hazir")),ROWS($K$7:K154)),"")</f>
        <v/>
      </c>
    </row>
    <row r="155" spans="1:11" x14ac:dyDescent="0.25">
      <c r="A155" s="18" t="str">
        <f>IFERROR(INDEX(Personnel[Sicil],$K155),"")</f>
        <v/>
      </c>
      <c r="B155" s="17" t="str">
        <f>IFERROR(INDEX(Personnel[Adi Soyadi],$K155),"")</f>
        <v/>
      </c>
      <c r="C155" s="18" t="str">
        <f>IFERROR(INDEX(Personnel[Vatandaslik],$K155),"")</f>
        <v/>
      </c>
      <c r="D155" s="18" t="str">
        <f>IFERROR(INDEX(Personnel[Santiye],$K155),"")</f>
        <v/>
      </c>
      <c r="E155" s="18" t="str">
        <f>IFERROR(INDEX(Personnel[Ogretmen],$K155),"")</f>
        <v/>
      </c>
      <c r="F155" s="17" t="str">
        <f>IFERROR(INDEX(Personnel[[Sinav ]],$K155),"")</f>
        <v/>
      </c>
      <c r="G155" s="17" t="str">
        <f>IFERROR(INDEX(Personnel[Egtim durumu],$K155),"")</f>
        <v/>
      </c>
      <c r="H155" s="17" t="str">
        <f>IFERROR(INDEX(Personnel[Shohruh Not],$K155),"")</f>
        <v/>
      </c>
      <c r="I155" s="18" t="str">
        <f>IFERROR(INDEX(Personnel[Дней в РФ],$K155),"")</f>
        <v/>
      </c>
      <c r="K155" s="23" t="str">
        <f t="array" ref="K155">IFERROR(_xlfn.AGGREGATE(15,6,(ROW(Personnel[Egtim durumu])-MIN(ROW(Personnel[Egtim durumu]))+1)/((Personnel[Egtim durumu]="Egitime  devem eden")+(Personnel[Egtim durumu]="Egitime alinacak")+(Personnel[Egtim durumu]="sinavi hazir")),ROWS($K$7:K155)),"")</f>
        <v/>
      </c>
    </row>
    <row r="156" spans="1:11" x14ac:dyDescent="0.25">
      <c r="A156" s="28" t="str">
        <f>IFERROR(INDEX(Personnel[Sicil],$K156),"")</f>
        <v/>
      </c>
      <c r="B156" s="29" t="str">
        <f>IFERROR(INDEX(Personnel[Adi Soyadi],$K156),"")</f>
        <v/>
      </c>
      <c r="C156" s="28" t="str">
        <f>IFERROR(INDEX(Personnel[Vatandaslik],$K156),"")</f>
        <v/>
      </c>
      <c r="D156" s="28" t="str">
        <f>IFERROR(INDEX(Personnel[Santiye],$K156),"")</f>
        <v/>
      </c>
      <c r="E156" s="28" t="str">
        <f>IFERROR(INDEX(Personnel[Ogretmen],$K156),"")</f>
        <v/>
      </c>
      <c r="F156" s="29" t="str">
        <f>IFERROR(INDEX(Personnel[[Sinav ]],$K156),"")</f>
        <v/>
      </c>
      <c r="G156" s="29" t="str">
        <f>IFERROR(INDEX(Personnel[Egtim durumu],$K156),"")</f>
        <v/>
      </c>
      <c r="H156" s="29" t="str">
        <f>IFERROR(INDEX(Personnel[Shohruh Not],$K156),"")</f>
        <v/>
      </c>
      <c r="I156" s="28" t="str">
        <f>IFERROR(INDEX(Personnel[Дней в РФ],$K156),"")</f>
        <v/>
      </c>
      <c r="K156" s="23" t="str">
        <f t="array" ref="K156">IFERROR(_xlfn.AGGREGATE(15,6,(ROW(Personnel[Egtim durumu])-MIN(ROW(Personnel[Egtim durumu]))+1)/((Personnel[Egtim durumu]="Egitime  devem eden")+(Personnel[Egtim durumu]="Egitime alinacak")+(Personnel[Egtim durumu]="sinavi hazir")),ROWS($K$7:K156)),"")</f>
        <v/>
      </c>
    </row>
    <row r="157" spans="1:11" x14ac:dyDescent="0.25">
      <c r="A157" s="18" t="str">
        <f>IFERROR(INDEX(Personnel[Sicil],$K157),"")</f>
        <v/>
      </c>
      <c r="B157" s="17" t="str">
        <f>IFERROR(INDEX(Personnel[Adi Soyadi],$K157),"")</f>
        <v/>
      </c>
      <c r="C157" s="18" t="str">
        <f>IFERROR(INDEX(Personnel[Vatandaslik],$K157),"")</f>
        <v/>
      </c>
      <c r="D157" s="18" t="str">
        <f>IFERROR(INDEX(Personnel[Santiye],$K157),"")</f>
        <v/>
      </c>
      <c r="E157" s="18" t="str">
        <f>IFERROR(INDEX(Personnel[Ogretmen],$K157),"")</f>
        <v/>
      </c>
      <c r="F157" s="17" t="str">
        <f>IFERROR(INDEX(Personnel[[Sinav ]],$K157),"")</f>
        <v/>
      </c>
      <c r="G157" s="17" t="str">
        <f>IFERROR(INDEX(Personnel[Egtim durumu],$K157),"")</f>
        <v/>
      </c>
      <c r="H157" s="17" t="str">
        <f>IFERROR(INDEX(Personnel[Shohruh Not],$K157),"")</f>
        <v/>
      </c>
      <c r="I157" s="18" t="str">
        <f>IFERROR(INDEX(Personnel[Дней в РФ],$K157),"")</f>
        <v/>
      </c>
      <c r="K157" s="23" t="str">
        <f t="array" ref="K157">IFERROR(_xlfn.AGGREGATE(15,6,(ROW(Personnel[Egtim durumu])-MIN(ROW(Personnel[Egtim durumu]))+1)/((Personnel[Egtim durumu]="Egitime  devem eden")+(Personnel[Egtim durumu]="Egitime alinacak")+(Personnel[Egtim durumu]="sinavi hazir")),ROWS($K$7:K157)),"")</f>
        <v/>
      </c>
    </row>
    <row r="158" spans="1:11" x14ac:dyDescent="0.25">
      <c r="A158" s="28" t="str">
        <f>IFERROR(INDEX(Personnel[Sicil],$K158),"")</f>
        <v/>
      </c>
      <c r="B158" s="29" t="str">
        <f>IFERROR(INDEX(Personnel[Adi Soyadi],$K158),"")</f>
        <v/>
      </c>
      <c r="C158" s="28" t="str">
        <f>IFERROR(INDEX(Personnel[Vatandaslik],$K158),"")</f>
        <v/>
      </c>
      <c r="D158" s="28" t="str">
        <f>IFERROR(INDEX(Personnel[Santiye],$K158),"")</f>
        <v/>
      </c>
      <c r="E158" s="28" t="str">
        <f>IFERROR(INDEX(Personnel[Ogretmen],$K158),"")</f>
        <v/>
      </c>
      <c r="F158" s="29" t="str">
        <f>IFERROR(INDEX(Personnel[[Sinav ]],$K158),"")</f>
        <v/>
      </c>
      <c r="G158" s="29" t="str">
        <f>IFERROR(INDEX(Personnel[Egtim durumu],$K158),"")</f>
        <v/>
      </c>
      <c r="H158" s="29" t="str">
        <f>IFERROR(INDEX(Personnel[Shohruh Not],$K158),"")</f>
        <v/>
      </c>
      <c r="I158" s="28" t="str">
        <f>IFERROR(INDEX(Personnel[Дней в РФ],$K158),"")</f>
        <v/>
      </c>
      <c r="K158" s="23" t="str">
        <f t="array" ref="K158">IFERROR(_xlfn.AGGREGATE(15,6,(ROW(Personnel[Egtim durumu])-MIN(ROW(Personnel[Egtim durumu]))+1)/((Personnel[Egtim durumu]="Egitime  devem eden")+(Personnel[Egtim durumu]="Egitime alinacak")+(Personnel[Egtim durumu]="sinavi hazir")),ROWS($K$7:K158)),"")</f>
        <v/>
      </c>
    </row>
    <row r="159" spans="1:11" x14ac:dyDescent="0.25">
      <c r="A159" s="18" t="str">
        <f>IFERROR(INDEX(Personnel[Sicil],$K159),"")</f>
        <v/>
      </c>
      <c r="B159" s="17" t="str">
        <f>IFERROR(INDEX(Personnel[Adi Soyadi],$K159),"")</f>
        <v/>
      </c>
      <c r="C159" s="18" t="str">
        <f>IFERROR(INDEX(Personnel[Vatandaslik],$K159),"")</f>
        <v/>
      </c>
      <c r="D159" s="18" t="str">
        <f>IFERROR(INDEX(Personnel[Santiye],$K159),"")</f>
        <v/>
      </c>
      <c r="E159" s="18" t="str">
        <f>IFERROR(INDEX(Personnel[Ogretmen],$K159),"")</f>
        <v/>
      </c>
      <c r="F159" s="17" t="str">
        <f>IFERROR(INDEX(Personnel[[Sinav ]],$K159),"")</f>
        <v/>
      </c>
      <c r="G159" s="17" t="str">
        <f>IFERROR(INDEX(Personnel[Egtim durumu],$K159),"")</f>
        <v/>
      </c>
      <c r="H159" s="17" t="str">
        <f>IFERROR(INDEX(Personnel[Shohruh Not],$K159),"")</f>
        <v/>
      </c>
      <c r="I159" s="18" t="str">
        <f>IFERROR(INDEX(Personnel[Дней в РФ],$K159),"")</f>
        <v/>
      </c>
      <c r="K159" s="23" t="str">
        <f t="array" ref="K159">IFERROR(_xlfn.AGGREGATE(15,6,(ROW(Personnel[Egtim durumu])-MIN(ROW(Personnel[Egtim durumu]))+1)/((Personnel[Egtim durumu]="Egitime  devem eden")+(Personnel[Egtim durumu]="Egitime alinacak")+(Personnel[Egtim durumu]="sinavi hazir")),ROWS($K$7:K159)),"")</f>
        <v/>
      </c>
    </row>
    <row r="160" spans="1:11" x14ac:dyDescent="0.25">
      <c r="A160" s="28" t="str">
        <f>IFERROR(INDEX(Personnel[Sicil],$K160),"")</f>
        <v/>
      </c>
      <c r="B160" s="29" t="str">
        <f>IFERROR(INDEX(Personnel[Adi Soyadi],$K160),"")</f>
        <v/>
      </c>
      <c r="C160" s="28" t="str">
        <f>IFERROR(INDEX(Personnel[Vatandaslik],$K160),"")</f>
        <v/>
      </c>
      <c r="D160" s="28" t="str">
        <f>IFERROR(INDEX(Personnel[Santiye],$K160),"")</f>
        <v/>
      </c>
      <c r="E160" s="28" t="str">
        <f>IFERROR(INDEX(Personnel[Ogretmen],$K160),"")</f>
        <v/>
      </c>
      <c r="F160" s="29" t="str">
        <f>IFERROR(INDEX(Personnel[[Sinav ]],$K160),"")</f>
        <v/>
      </c>
      <c r="G160" s="29" t="str">
        <f>IFERROR(INDEX(Personnel[Egtim durumu],$K160),"")</f>
        <v/>
      </c>
      <c r="H160" s="29" t="str">
        <f>IFERROR(INDEX(Personnel[Shohruh Not],$K160),"")</f>
        <v/>
      </c>
      <c r="I160" s="28" t="str">
        <f>IFERROR(INDEX(Personnel[Дней в РФ],$K160),"")</f>
        <v/>
      </c>
      <c r="K160" s="23" t="str">
        <f t="array" ref="K160">IFERROR(_xlfn.AGGREGATE(15,6,(ROW(Personnel[Egtim durumu])-MIN(ROW(Personnel[Egtim durumu]))+1)/((Personnel[Egtim durumu]="Egitime  devem eden")+(Personnel[Egtim durumu]="Egitime alinacak")+(Personnel[Egtim durumu]="sinavi hazir")),ROWS($K$7:K160)),"")</f>
        <v/>
      </c>
    </row>
    <row r="161" spans="1:11" x14ac:dyDescent="0.25">
      <c r="A161" s="18" t="str">
        <f>IFERROR(INDEX(Personnel[Sicil],$K161),"")</f>
        <v/>
      </c>
      <c r="B161" s="17" t="str">
        <f>IFERROR(INDEX(Personnel[Adi Soyadi],$K161),"")</f>
        <v/>
      </c>
      <c r="C161" s="18" t="str">
        <f>IFERROR(INDEX(Personnel[Vatandaslik],$K161),"")</f>
        <v/>
      </c>
      <c r="D161" s="18" t="str">
        <f>IFERROR(INDEX(Personnel[Santiye],$K161),"")</f>
        <v/>
      </c>
      <c r="E161" s="18" t="str">
        <f>IFERROR(INDEX(Personnel[Ogretmen],$K161),"")</f>
        <v/>
      </c>
      <c r="F161" s="17" t="str">
        <f>IFERROR(INDEX(Personnel[[Sinav ]],$K161),"")</f>
        <v/>
      </c>
      <c r="G161" s="17" t="str">
        <f>IFERROR(INDEX(Personnel[Egtim durumu],$K161),"")</f>
        <v/>
      </c>
      <c r="H161" s="17" t="str">
        <f>IFERROR(INDEX(Personnel[Shohruh Not],$K161),"")</f>
        <v/>
      </c>
      <c r="I161" s="18" t="str">
        <f>IFERROR(INDEX(Personnel[Дней в РФ],$K161),"")</f>
        <v/>
      </c>
      <c r="K161" s="23" t="str">
        <f t="array" ref="K161">IFERROR(_xlfn.AGGREGATE(15,6,(ROW(Personnel[Egtim durumu])-MIN(ROW(Personnel[Egtim durumu]))+1)/((Personnel[Egtim durumu]="Egitime  devem eden")+(Personnel[Egtim durumu]="Egitime alinacak")+(Personnel[Egtim durumu]="sinavi hazir")),ROWS($K$7:K161)),"")</f>
        <v/>
      </c>
    </row>
    <row r="162" spans="1:11" x14ac:dyDescent="0.25">
      <c r="A162" s="28" t="str">
        <f>IFERROR(INDEX(Personnel[Sicil],$K162),"")</f>
        <v/>
      </c>
      <c r="B162" s="29" t="str">
        <f>IFERROR(INDEX(Personnel[Adi Soyadi],$K162),"")</f>
        <v/>
      </c>
      <c r="C162" s="28" t="str">
        <f>IFERROR(INDEX(Personnel[Vatandaslik],$K162),"")</f>
        <v/>
      </c>
      <c r="D162" s="28" t="str">
        <f>IFERROR(INDEX(Personnel[Santiye],$K162),"")</f>
        <v/>
      </c>
      <c r="E162" s="28" t="str">
        <f>IFERROR(INDEX(Personnel[Ogretmen],$K162),"")</f>
        <v/>
      </c>
      <c r="F162" s="29" t="str">
        <f>IFERROR(INDEX(Personnel[[Sinav ]],$K162),"")</f>
        <v/>
      </c>
      <c r="G162" s="29" t="str">
        <f>IFERROR(INDEX(Personnel[Egtim durumu],$K162),"")</f>
        <v/>
      </c>
      <c r="H162" s="29" t="str">
        <f>IFERROR(INDEX(Personnel[Shohruh Not],$K162),"")</f>
        <v/>
      </c>
      <c r="I162" s="28" t="str">
        <f>IFERROR(INDEX(Personnel[Дней в РФ],$K162),"")</f>
        <v/>
      </c>
      <c r="K162" s="23" t="str">
        <f t="array" ref="K162">IFERROR(_xlfn.AGGREGATE(15,6,(ROW(Personnel[Egtim durumu])-MIN(ROW(Personnel[Egtim durumu]))+1)/((Personnel[Egtim durumu]="Egitime  devem eden")+(Personnel[Egtim durumu]="Egitime alinacak")+(Personnel[Egtim durumu]="sinavi hazir")),ROWS($K$7:K162)),"")</f>
        <v/>
      </c>
    </row>
    <row r="163" spans="1:11" x14ac:dyDescent="0.25">
      <c r="A163" s="18" t="str">
        <f>IFERROR(INDEX(Personnel[Sicil],$K163),"")</f>
        <v/>
      </c>
      <c r="B163" s="17" t="str">
        <f>IFERROR(INDEX(Personnel[Adi Soyadi],$K163),"")</f>
        <v/>
      </c>
      <c r="C163" s="18" t="str">
        <f>IFERROR(INDEX(Personnel[Vatandaslik],$K163),"")</f>
        <v/>
      </c>
      <c r="D163" s="18" t="str">
        <f>IFERROR(INDEX(Personnel[Santiye],$K163),"")</f>
        <v/>
      </c>
      <c r="E163" s="18" t="str">
        <f>IFERROR(INDEX(Personnel[Ogretmen],$K163),"")</f>
        <v/>
      </c>
      <c r="F163" s="17" t="str">
        <f>IFERROR(INDEX(Personnel[[Sinav ]],$K163),"")</f>
        <v/>
      </c>
      <c r="G163" s="17" t="str">
        <f>IFERROR(INDEX(Personnel[Egtim durumu],$K163),"")</f>
        <v/>
      </c>
      <c r="H163" s="17" t="str">
        <f>IFERROR(INDEX(Personnel[Shohruh Not],$K163),"")</f>
        <v/>
      </c>
      <c r="I163" s="18" t="str">
        <f>IFERROR(INDEX(Personnel[Дней в РФ],$K163),"")</f>
        <v/>
      </c>
      <c r="K163" s="23" t="str">
        <f t="array" ref="K163">IFERROR(_xlfn.AGGREGATE(15,6,(ROW(Personnel[Egtim durumu])-MIN(ROW(Personnel[Egtim durumu]))+1)/((Personnel[Egtim durumu]="Egitime  devem eden")+(Personnel[Egtim durumu]="Egitime alinacak")+(Personnel[Egtim durumu]="sinavi hazir")),ROWS($K$7:K163)),"")</f>
        <v/>
      </c>
    </row>
    <row r="164" spans="1:11" x14ac:dyDescent="0.25">
      <c r="A164" s="28" t="str">
        <f>IFERROR(INDEX(Personnel[Sicil],$K164),"")</f>
        <v/>
      </c>
      <c r="B164" s="29" t="str">
        <f>IFERROR(INDEX(Personnel[Adi Soyadi],$K164),"")</f>
        <v/>
      </c>
      <c r="C164" s="28" t="str">
        <f>IFERROR(INDEX(Personnel[Vatandaslik],$K164),"")</f>
        <v/>
      </c>
      <c r="D164" s="28" t="str">
        <f>IFERROR(INDEX(Personnel[Santiye],$K164),"")</f>
        <v/>
      </c>
      <c r="E164" s="28" t="str">
        <f>IFERROR(INDEX(Personnel[Ogretmen],$K164),"")</f>
        <v/>
      </c>
      <c r="F164" s="29" t="str">
        <f>IFERROR(INDEX(Personnel[[Sinav ]],$K164),"")</f>
        <v/>
      </c>
      <c r="G164" s="29" t="str">
        <f>IFERROR(INDEX(Personnel[Egtim durumu],$K164),"")</f>
        <v/>
      </c>
      <c r="H164" s="29" t="str">
        <f>IFERROR(INDEX(Personnel[Shohruh Not],$K164),"")</f>
        <v/>
      </c>
      <c r="I164" s="28" t="str">
        <f>IFERROR(INDEX(Personnel[Дней в РФ],$K164),"")</f>
        <v/>
      </c>
      <c r="K164" s="23" t="str">
        <f t="array" ref="K164">IFERROR(_xlfn.AGGREGATE(15,6,(ROW(Personnel[Egtim durumu])-MIN(ROW(Personnel[Egtim durumu]))+1)/((Personnel[Egtim durumu]="Egitime  devem eden")+(Personnel[Egtim durumu]="Egitime alinacak")+(Personnel[Egtim durumu]="sinavi hazir")),ROWS($K$7:K164)),"")</f>
        <v/>
      </c>
    </row>
    <row r="165" spans="1:11" x14ac:dyDescent="0.25">
      <c r="A165" s="18" t="str">
        <f>IFERROR(INDEX(Personnel[Sicil],$K165),"")</f>
        <v/>
      </c>
      <c r="B165" s="17" t="str">
        <f>IFERROR(INDEX(Personnel[Adi Soyadi],$K165),"")</f>
        <v/>
      </c>
      <c r="C165" s="18" t="str">
        <f>IFERROR(INDEX(Personnel[Vatandaslik],$K165),"")</f>
        <v/>
      </c>
      <c r="D165" s="18" t="str">
        <f>IFERROR(INDEX(Personnel[Santiye],$K165),"")</f>
        <v/>
      </c>
      <c r="E165" s="18" t="str">
        <f>IFERROR(INDEX(Personnel[Ogretmen],$K165),"")</f>
        <v/>
      </c>
      <c r="F165" s="17" t="str">
        <f>IFERROR(INDEX(Personnel[[Sinav ]],$K165),"")</f>
        <v/>
      </c>
      <c r="G165" s="17" t="str">
        <f>IFERROR(INDEX(Personnel[Egtim durumu],$K165),"")</f>
        <v/>
      </c>
      <c r="H165" s="17" t="str">
        <f>IFERROR(INDEX(Personnel[Shohruh Not],$K165),"")</f>
        <v/>
      </c>
      <c r="I165" s="18" t="str">
        <f>IFERROR(INDEX(Personnel[Дней в РФ],$K165),"")</f>
        <v/>
      </c>
      <c r="K165" s="23" t="str">
        <f t="array" ref="K165">IFERROR(_xlfn.AGGREGATE(15,6,(ROW(Personnel[Egtim durumu])-MIN(ROW(Personnel[Egtim durumu]))+1)/((Personnel[Egtim durumu]="Egitime  devem eden")+(Personnel[Egtim durumu]="Egitime alinacak")+(Personnel[Egtim durumu]="sinavi hazir")),ROWS($K$7:K165)),"")</f>
        <v/>
      </c>
    </row>
    <row r="166" spans="1:11" x14ac:dyDescent="0.25">
      <c r="A166" s="28" t="str">
        <f>IFERROR(INDEX(Personnel[Sicil],$K166),"")</f>
        <v/>
      </c>
      <c r="B166" s="29" t="str">
        <f>IFERROR(INDEX(Personnel[Adi Soyadi],$K166),"")</f>
        <v/>
      </c>
      <c r="C166" s="28" t="str">
        <f>IFERROR(INDEX(Personnel[Vatandaslik],$K166),"")</f>
        <v/>
      </c>
      <c r="D166" s="28" t="str">
        <f>IFERROR(INDEX(Personnel[Santiye],$K166),"")</f>
        <v/>
      </c>
      <c r="E166" s="28" t="str">
        <f>IFERROR(INDEX(Personnel[Ogretmen],$K166),"")</f>
        <v/>
      </c>
      <c r="F166" s="29" t="str">
        <f>IFERROR(INDEX(Personnel[[Sinav ]],$K166),"")</f>
        <v/>
      </c>
      <c r="G166" s="29" t="str">
        <f>IFERROR(INDEX(Personnel[Egtim durumu],$K166),"")</f>
        <v/>
      </c>
      <c r="H166" s="29" t="str">
        <f>IFERROR(INDEX(Personnel[Shohruh Not],$K166),"")</f>
        <v/>
      </c>
      <c r="I166" s="28" t="str">
        <f>IFERROR(INDEX(Personnel[Дней в РФ],$K166),"")</f>
        <v/>
      </c>
      <c r="K166" s="23" t="str">
        <f t="array" ref="K166">IFERROR(_xlfn.AGGREGATE(15,6,(ROW(Personnel[Egtim durumu])-MIN(ROW(Personnel[Egtim durumu]))+1)/((Personnel[Egtim durumu]="Egitime  devem eden")+(Personnel[Egtim durumu]="Egitime alinacak")+(Personnel[Egtim durumu]="sinavi hazir")),ROWS($K$7:K166)),"")</f>
        <v/>
      </c>
    </row>
    <row r="167" spans="1:11" x14ac:dyDescent="0.25">
      <c r="A167" s="18" t="str">
        <f>IFERROR(INDEX(Personnel[Sicil],$K167),"")</f>
        <v/>
      </c>
      <c r="B167" s="17" t="str">
        <f>IFERROR(INDEX(Personnel[Adi Soyadi],$K167),"")</f>
        <v/>
      </c>
      <c r="C167" s="18" t="str">
        <f>IFERROR(INDEX(Personnel[Vatandaslik],$K167),"")</f>
        <v/>
      </c>
      <c r="D167" s="18" t="str">
        <f>IFERROR(INDEX(Personnel[Santiye],$K167),"")</f>
        <v/>
      </c>
      <c r="E167" s="18" t="str">
        <f>IFERROR(INDEX(Personnel[Ogretmen],$K167),"")</f>
        <v/>
      </c>
      <c r="F167" s="17" t="str">
        <f>IFERROR(INDEX(Personnel[[Sinav ]],$K167),"")</f>
        <v/>
      </c>
      <c r="G167" s="17" t="str">
        <f>IFERROR(INDEX(Personnel[Egtim durumu],$K167),"")</f>
        <v/>
      </c>
      <c r="H167" s="17" t="str">
        <f>IFERROR(INDEX(Personnel[Shohruh Not],$K167),"")</f>
        <v/>
      </c>
      <c r="I167" s="18" t="str">
        <f>IFERROR(INDEX(Personnel[Дней в РФ],$K167),"")</f>
        <v/>
      </c>
      <c r="K167" s="23" t="str">
        <f t="array" ref="K167">IFERROR(_xlfn.AGGREGATE(15,6,(ROW(Personnel[Egtim durumu])-MIN(ROW(Personnel[Egtim durumu]))+1)/((Personnel[Egtim durumu]="Egitime  devem eden")+(Personnel[Egtim durumu]="Egitime alinacak")+(Personnel[Egtim durumu]="sinavi hazir")),ROWS($K$7:K167)),"")</f>
        <v/>
      </c>
    </row>
    <row r="168" spans="1:11" x14ac:dyDescent="0.25">
      <c r="A168" s="28" t="str">
        <f>IFERROR(INDEX(Personnel[Sicil],$K168),"")</f>
        <v/>
      </c>
      <c r="B168" s="29" t="str">
        <f>IFERROR(INDEX(Personnel[Adi Soyadi],$K168),"")</f>
        <v/>
      </c>
      <c r="C168" s="28" t="str">
        <f>IFERROR(INDEX(Personnel[Vatandaslik],$K168),"")</f>
        <v/>
      </c>
      <c r="D168" s="28" t="str">
        <f>IFERROR(INDEX(Personnel[Santiye],$K168),"")</f>
        <v/>
      </c>
      <c r="E168" s="28" t="str">
        <f>IFERROR(INDEX(Personnel[Ogretmen],$K168),"")</f>
        <v/>
      </c>
      <c r="F168" s="29" t="str">
        <f>IFERROR(INDEX(Personnel[[Sinav ]],$K168),"")</f>
        <v/>
      </c>
      <c r="G168" s="29" t="str">
        <f>IFERROR(INDEX(Personnel[Egtim durumu],$K168),"")</f>
        <v/>
      </c>
      <c r="H168" s="29" t="str">
        <f>IFERROR(INDEX(Personnel[Shohruh Not],$K168),"")</f>
        <v/>
      </c>
      <c r="I168" s="28" t="str">
        <f>IFERROR(INDEX(Personnel[Дней в РФ],$K168),"")</f>
        <v/>
      </c>
      <c r="K168" s="23" t="str">
        <f t="array" ref="K168">IFERROR(_xlfn.AGGREGATE(15,6,(ROW(Personnel[Egtim durumu])-MIN(ROW(Personnel[Egtim durumu]))+1)/((Personnel[Egtim durumu]="Egitime  devem eden")+(Personnel[Egtim durumu]="Egitime alinacak")+(Personnel[Egtim durumu]="sinavi hazir")),ROWS($K$7:K168)),"")</f>
        <v/>
      </c>
    </row>
    <row r="169" spans="1:11" x14ac:dyDescent="0.25">
      <c r="A169" s="18" t="str">
        <f>IFERROR(INDEX(Personnel[Sicil],$K169),"")</f>
        <v/>
      </c>
      <c r="B169" s="17" t="str">
        <f>IFERROR(INDEX(Personnel[Adi Soyadi],$K169),"")</f>
        <v/>
      </c>
      <c r="C169" s="18" t="str">
        <f>IFERROR(INDEX(Personnel[Vatandaslik],$K169),"")</f>
        <v/>
      </c>
      <c r="D169" s="18" t="str">
        <f>IFERROR(INDEX(Personnel[Santiye],$K169),"")</f>
        <v/>
      </c>
      <c r="E169" s="18" t="str">
        <f>IFERROR(INDEX(Personnel[Ogretmen],$K169),"")</f>
        <v/>
      </c>
      <c r="F169" s="17" t="str">
        <f>IFERROR(INDEX(Personnel[[Sinav ]],$K169),"")</f>
        <v/>
      </c>
      <c r="G169" s="17" t="str">
        <f>IFERROR(INDEX(Personnel[Egtim durumu],$K169),"")</f>
        <v/>
      </c>
      <c r="H169" s="17" t="str">
        <f>IFERROR(INDEX(Personnel[Shohruh Not],$K169),"")</f>
        <v/>
      </c>
      <c r="I169" s="18" t="str">
        <f>IFERROR(INDEX(Personnel[Дней в РФ],$K169),"")</f>
        <v/>
      </c>
      <c r="K169" s="23" t="str">
        <f t="array" ref="K169">IFERROR(_xlfn.AGGREGATE(15,6,(ROW(Personnel[Egtim durumu])-MIN(ROW(Personnel[Egtim durumu]))+1)/((Personnel[Egtim durumu]="Egitime  devem eden")+(Personnel[Egtim durumu]="Egitime alinacak")+(Personnel[Egtim durumu]="sinavi hazir")),ROWS($K$7:K169)),"")</f>
        <v/>
      </c>
    </row>
    <row r="170" spans="1:11" x14ac:dyDescent="0.25">
      <c r="A170" s="28" t="str">
        <f>IFERROR(INDEX(Personnel[Sicil],$K170),"")</f>
        <v/>
      </c>
      <c r="B170" s="29" t="str">
        <f>IFERROR(INDEX(Personnel[Adi Soyadi],$K170),"")</f>
        <v/>
      </c>
      <c r="C170" s="28" t="str">
        <f>IFERROR(INDEX(Personnel[Vatandaslik],$K170),"")</f>
        <v/>
      </c>
      <c r="D170" s="28" t="str">
        <f>IFERROR(INDEX(Personnel[Santiye],$K170),"")</f>
        <v/>
      </c>
      <c r="E170" s="28" t="str">
        <f>IFERROR(INDEX(Personnel[Ogretmen],$K170),"")</f>
        <v/>
      </c>
      <c r="F170" s="29" t="str">
        <f>IFERROR(INDEX(Personnel[[Sinav ]],$K170),"")</f>
        <v/>
      </c>
      <c r="G170" s="29" t="str">
        <f>IFERROR(INDEX(Personnel[Egtim durumu],$K170),"")</f>
        <v/>
      </c>
      <c r="H170" s="29" t="str">
        <f>IFERROR(INDEX(Personnel[Shohruh Not],$K170),"")</f>
        <v/>
      </c>
      <c r="I170" s="28" t="str">
        <f>IFERROR(INDEX(Personnel[Дней в РФ],$K170),"")</f>
        <v/>
      </c>
      <c r="K170" s="23" t="str">
        <f t="array" ref="K170">IFERROR(_xlfn.AGGREGATE(15,6,(ROW(Personnel[Egtim durumu])-MIN(ROW(Personnel[Egtim durumu]))+1)/((Personnel[Egtim durumu]="Egitime  devem eden")+(Personnel[Egtim durumu]="Egitime alinacak")+(Personnel[Egtim durumu]="sinavi hazir")),ROWS($K$7:K170)),"")</f>
        <v/>
      </c>
    </row>
    <row r="171" spans="1:11" x14ac:dyDescent="0.25">
      <c r="A171" s="18" t="str">
        <f>IFERROR(INDEX(Personnel[Sicil],$K171),"")</f>
        <v/>
      </c>
      <c r="B171" s="17" t="str">
        <f>IFERROR(INDEX(Personnel[Adi Soyadi],$K171),"")</f>
        <v/>
      </c>
      <c r="C171" s="18" t="str">
        <f>IFERROR(INDEX(Personnel[Vatandaslik],$K171),"")</f>
        <v/>
      </c>
      <c r="D171" s="18" t="str">
        <f>IFERROR(INDEX(Personnel[Santiye],$K171),"")</f>
        <v/>
      </c>
      <c r="E171" s="18" t="str">
        <f>IFERROR(INDEX(Personnel[Ogretmen],$K171),"")</f>
        <v/>
      </c>
      <c r="F171" s="17" t="str">
        <f>IFERROR(INDEX(Personnel[[Sinav ]],$K171),"")</f>
        <v/>
      </c>
      <c r="G171" s="17" t="str">
        <f>IFERROR(INDEX(Personnel[Egtim durumu],$K171),"")</f>
        <v/>
      </c>
      <c r="H171" s="17" t="str">
        <f>IFERROR(INDEX(Personnel[Shohruh Not],$K171),"")</f>
        <v/>
      </c>
      <c r="I171" s="18" t="str">
        <f>IFERROR(INDEX(Personnel[Дней в РФ],$K171),"")</f>
        <v/>
      </c>
      <c r="K171" s="23" t="str">
        <f t="array" ref="K171">IFERROR(_xlfn.AGGREGATE(15,6,(ROW(Personnel[Egtim durumu])-MIN(ROW(Personnel[Egtim durumu]))+1)/((Personnel[Egtim durumu]="Egitime  devem eden")+(Personnel[Egtim durumu]="Egitime alinacak")+(Personnel[Egtim durumu]="sinavi hazir")),ROWS($K$7:K171)),"")</f>
        <v/>
      </c>
    </row>
    <row r="172" spans="1:11" x14ac:dyDescent="0.25">
      <c r="A172" s="28" t="str">
        <f>IFERROR(INDEX(Personnel[Sicil],$K172),"")</f>
        <v/>
      </c>
      <c r="B172" s="29" t="str">
        <f>IFERROR(INDEX(Personnel[Adi Soyadi],$K172),"")</f>
        <v/>
      </c>
      <c r="C172" s="28" t="str">
        <f>IFERROR(INDEX(Personnel[Vatandaslik],$K172),"")</f>
        <v/>
      </c>
      <c r="D172" s="28" t="str">
        <f>IFERROR(INDEX(Personnel[Santiye],$K172),"")</f>
        <v/>
      </c>
      <c r="E172" s="28" t="str">
        <f>IFERROR(INDEX(Personnel[Ogretmen],$K172),"")</f>
        <v/>
      </c>
      <c r="F172" s="29" t="str">
        <f>IFERROR(INDEX(Personnel[[Sinav ]],$K172),"")</f>
        <v/>
      </c>
      <c r="G172" s="29" t="str">
        <f>IFERROR(INDEX(Personnel[Egtim durumu],$K172),"")</f>
        <v/>
      </c>
      <c r="H172" s="29" t="str">
        <f>IFERROR(INDEX(Personnel[Shohruh Not],$K172),"")</f>
        <v/>
      </c>
      <c r="I172" s="28" t="str">
        <f>IFERROR(INDEX(Personnel[Дней в РФ],$K172),"")</f>
        <v/>
      </c>
      <c r="K172" s="23" t="str">
        <f t="array" ref="K172">IFERROR(_xlfn.AGGREGATE(15,6,(ROW(Personnel[Egtim durumu])-MIN(ROW(Personnel[Egtim durumu]))+1)/((Personnel[Egtim durumu]="Egitime  devem eden")+(Personnel[Egtim durumu]="Egitime alinacak")+(Personnel[Egtim durumu]="sinavi hazir")),ROWS($K$7:K172)),"")</f>
        <v/>
      </c>
    </row>
    <row r="173" spans="1:11" x14ac:dyDescent="0.25">
      <c r="A173" s="18" t="str">
        <f>IFERROR(INDEX(Personnel[Sicil],$K173),"")</f>
        <v/>
      </c>
      <c r="B173" s="17" t="str">
        <f>IFERROR(INDEX(Personnel[Adi Soyadi],$K173),"")</f>
        <v/>
      </c>
      <c r="C173" s="18" t="str">
        <f>IFERROR(INDEX(Personnel[Vatandaslik],$K173),"")</f>
        <v/>
      </c>
      <c r="D173" s="18" t="str">
        <f>IFERROR(INDEX(Personnel[Santiye],$K173),"")</f>
        <v/>
      </c>
      <c r="E173" s="18" t="str">
        <f>IFERROR(INDEX(Personnel[Ogretmen],$K173),"")</f>
        <v/>
      </c>
      <c r="F173" s="17" t="str">
        <f>IFERROR(INDEX(Personnel[[Sinav ]],$K173),"")</f>
        <v/>
      </c>
      <c r="G173" s="17" t="str">
        <f>IFERROR(INDEX(Personnel[Egtim durumu],$K173),"")</f>
        <v/>
      </c>
      <c r="H173" s="17" t="str">
        <f>IFERROR(INDEX(Personnel[Shohruh Not],$K173),"")</f>
        <v/>
      </c>
      <c r="I173" s="18" t="str">
        <f>IFERROR(INDEX(Personnel[Дней в РФ],$K173),"")</f>
        <v/>
      </c>
      <c r="K173" s="23" t="str">
        <f t="array" ref="K173">IFERROR(_xlfn.AGGREGATE(15,6,(ROW(Personnel[Egtim durumu])-MIN(ROW(Personnel[Egtim durumu]))+1)/((Personnel[Egtim durumu]="Egitime  devem eden")+(Personnel[Egtim durumu]="Egitime alinacak")+(Personnel[Egtim durumu]="sinavi hazir")),ROWS($K$7:K173)),"")</f>
        <v/>
      </c>
    </row>
    <row r="174" spans="1:11" x14ac:dyDescent="0.25">
      <c r="A174" s="28" t="str">
        <f>IFERROR(INDEX(Personnel[Sicil],$K174),"")</f>
        <v/>
      </c>
      <c r="B174" s="29" t="str">
        <f>IFERROR(INDEX(Personnel[Adi Soyadi],$K174),"")</f>
        <v/>
      </c>
      <c r="C174" s="28" t="str">
        <f>IFERROR(INDEX(Personnel[Vatandaslik],$K174),"")</f>
        <v/>
      </c>
      <c r="D174" s="28" t="str">
        <f>IFERROR(INDEX(Personnel[Santiye],$K174),"")</f>
        <v/>
      </c>
      <c r="E174" s="28" t="str">
        <f>IFERROR(INDEX(Personnel[Ogretmen],$K174),"")</f>
        <v/>
      </c>
      <c r="F174" s="29" t="str">
        <f>IFERROR(INDEX(Personnel[[Sinav ]],$K174),"")</f>
        <v/>
      </c>
      <c r="G174" s="29" t="str">
        <f>IFERROR(INDEX(Personnel[Egtim durumu],$K174),"")</f>
        <v/>
      </c>
      <c r="H174" s="29" t="str">
        <f>IFERROR(INDEX(Personnel[Shohruh Not],$K174),"")</f>
        <v/>
      </c>
      <c r="I174" s="28" t="str">
        <f>IFERROR(INDEX(Personnel[Дней в РФ],$K174),"")</f>
        <v/>
      </c>
      <c r="K174" s="23" t="str">
        <f t="array" ref="K174">IFERROR(_xlfn.AGGREGATE(15,6,(ROW(Personnel[Egtim durumu])-MIN(ROW(Personnel[Egtim durumu]))+1)/((Personnel[Egtim durumu]="Egitime  devem eden")+(Personnel[Egtim durumu]="Egitime alinacak")+(Personnel[Egtim durumu]="sinavi hazir")),ROWS($K$7:K174)),"")</f>
        <v/>
      </c>
    </row>
    <row r="175" spans="1:11" x14ac:dyDescent="0.25">
      <c r="A175" s="18" t="str">
        <f>IFERROR(INDEX(Personnel[Sicil],$K175),"")</f>
        <v/>
      </c>
      <c r="B175" s="17" t="str">
        <f>IFERROR(INDEX(Personnel[Adi Soyadi],$K175),"")</f>
        <v/>
      </c>
      <c r="C175" s="18" t="str">
        <f>IFERROR(INDEX(Personnel[Vatandaslik],$K175),"")</f>
        <v/>
      </c>
      <c r="D175" s="18" t="str">
        <f>IFERROR(INDEX(Personnel[Santiye],$K175),"")</f>
        <v/>
      </c>
      <c r="E175" s="18" t="str">
        <f>IFERROR(INDEX(Personnel[Ogretmen],$K175),"")</f>
        <v/>
      </c>
      <c r="F175" s="17" t="str">
        <f>IFERROR(INDEX(Personnel[[Sinav ]],$K175),"")</f>
        <v/>
      </c>
      <c r="G175" s="17" t="str">
        <f>IFERROR(INDEX(Personnel[Egtim durumu],$K175),"")</f>
        <v/>
      </c>
      <c r="H175" s="17" t="str">
        <f>IFERROR(INDEX(Personnel[Shohruh Not],$K175),"")</f>
        <v/>
      </c>
      <c r="I175" s="18" t="str">
        <f>IFERROR(INDEX(Personnel[Дней в РФ],$K175),"")</f>
        <v/>
      </c>
      <c r="K175" s="23" t="str">
        <f t="array" ref="K175">IFERROR(_xlfn.AGGREGATE(15,6,(ROW(Personnel[Egtim durumu])-MIN(ROW(Personnel[Egtim durumu]))+1)/((Personnel[Egtim durumu]="Egitime  devem eden")+(Personnel[Egtim durumu]="Egitime alinacak")+(Personnel[Egtim durumu]="sinavi hazir")),ROWS($K$7:K175)),"")</f>
        <v/>
      </c>
    </row>
    <row r="176" spans="1:11" x14ac:dyDescent="0.25">
      <c r="A176" s="28" t="str">
        <f>IFERROR(INDEX(Personnel[Sicil],$K176),"")</f>
        <v/>
      </c>
      <c r="B176" s="29" t="str">
        <f>IFERROR(INDEX(Personnel[Adi Soyadi],$K176),"")</f>
        <v/>
      </c>
      <c r="C176" s="28" t="str">
        <f>IFERROR(INDEX(Personnel[Vatandaslik],$K176),"")</f>
        <v/>
      </c>
      <c r="D176" s="28" t="str">
        <f>IFERROR(INDEX(Personnel[Santiye],$K176),"")</f>
        <v/>
      </c>
      <c r="E176" s="28" t="str">
        <f>IFERROR(INDEX(Personnel[Ogretmen],$K176),"")</f>
        <v/>
      </c>
      <c r="F176" s="29" t="str">
        <f>IFERROR(INDEX(Personnel[[Sinav ]],$K176),"")</f>
        <v/>
      </c>
      <c r="G176" s="29" t="str">
        <f>IFERROR(INDEX(Personnel[Egtim durumu],$K176),"")</f>
        <v/>
      </c>
      <c r="H176" s="29" t="str">
        <f>IFERROR(INDEX(Personnel[Shohruh Not],$K176),"")</f>
        <v/>
      </c>
      <c r="I176" s="28" t="str">
        <f>IFERROR(INDEX(Personnel[Дней в РФ],$K176),"")</f>
        <v/>
      </c>
      <c r="K176" s="23" t="str">
        <f t="array" ref="K176">IFERROR(_xlfn.AGGREGATE(15,6,(ROW(Personnel[Egtim durumu])-MIN(ROW(Personnel[Egtim durumu]))+1)/((Personnel[Egtim durumu]="Egitime  devem eden")+(Personnel[Egtim durumu]="Egitime alinacak")+(Personnel[Egtim durumu]="sinavi hazir")),ROWS($K$7:K176)),"")</f>
        <v/>
      </c>
    </row>
    <row r="177" spans="1:11" x14ac:dyDescent="0.25">
      <c r="A177" s="18" t="str">
        <f>IFERROR(INDEX(Personnel[Sicil],$K177),"")</f>
        <v/>
      </c>
      <c r="B177" s="17" t="str">
        <f>IFERROR(INDEX(Personnel[Adi Soyadi],$K177),"")</f>
        <v/>
      </c>
      <c r="C177" s="18" t="str">
        <f>IFERROR(INDEX(Personnel[Vatandaslik],$K177),"")</f>
        <v/>
      </c>
      <c r="D177" s="18" t="str">
        <f>IFERROR(INDEX(Personnel[Santiye],$K177),"")</f>
        <v/>
      </c>
      <c r="E177" s="18" t="str">
        <f>IFERROR(INDEX(Personnel[Ogretmen],$K177),"")</f>
        <v/>
      </c>
      <c r="F177" s="17" t="str">
        <f>IFERROR(INDEX(Personnel[[Sinav ]],$K177),"")</f>
        <v/>
      </c>
      <c r="G177" s="17" t="str">
        <f>IFERROR(INDEX(Personnel[Egtim durumu],$K177),"")</f>
        <v/>
      </c>
      <c r="H177" s="17" t="str">
        <f>IFERROR(INDEX(Personnel[Shohruh Not],$K177),"")</f>
        <v/>
      </c>
      <c r="I177" s="18" t="str">
        <f>IFERROR(INDEX(Personnel[Дней в РФ],$K177),"")</f>
        <v/>
      </c>
      <c r="K177" s="23" t="str">
        <f t="array" ref="K177">IFERROR(_xlfn.AGGREGATE(15,6,(ROW(Personnel[Egtim durumu])-MIN(ROW(Personnel[Egtim durumu]))+1)/((Personnel[Egtim durumu]="Egitime  devem eden")+(Personnel[Egtim durumu]="Egitime alinacak")+(Personnel[Egtim durumu]="sinavi hazir")),ROWS($K$7:K177)),"")</f>
        <v/>
      </c>
    </row>
    <row r="178" spans="1:11" x14ac:dyDescent="0.25">
      <c r="A178" s="28" t="str">
        <f>IFERROR(INDEX(Personnel[Sicil],$K178),"")</f>
        <v/>
      </c>
      <c r="B178" s="29" t="str">
        <f>IFERROR(INDEX(Personnel[Adi Soyadi],$K178),"")</f>
        <v/>
      </c>
      <c r="C178" s="28" t="str">
        <f>IFERROR(INDEX(Personnel[Vatandaslik],$K178),"")</f>
        <v/>
      </c>
      <c r="D178" s="28" t="str">
        <f>IFERROR(INDEX(Personnel[Santiye],$K178),"")</f>
        <v/>
      </c>
      <c r="E178" s="28" t="str">
        <f>IFERROR(INDEX(Personnel[Ogretmen],$K178),"")</f>
        <v/>
      </c>
      <c r="F178" s="29" t="str">
        <f>IFERROR(INDEX(Personnel[[Sinav ]],$K178),"")</f>
        <v/>
      </c>
      <c r="G178" s="29" t="str">
        <f>IFERROR(INDEX(Personnel[Egtim durumu],$K178),"")</f>
        <v/>
      </c>
      <c r="H178" s="29" t="str">
        <f>IFERROR(INDEX(Personnel[Shohruh Not],$K178),"")</f>
        <v/>
      </c>
      <c r="I178" s="28" t="str">
        <f>IFERROR(INDEX(Personnel[Дней в РФ],$K178),"")</f>
        <v/>
      </c>
      <c r="K178" s="23" t="str">
        <f t="array" ref="K178">IFERROR(_xlfn.AGGREGATE(15,6,(ROW(Personnel[Egtim durumu])-MIN(ROW(Personnel[Egtim durumu]))+1)/((Personnel[Egtim durumu]="Egitime  devem eden")+(Personnel[Egtim durumu]="Egitime alinacak")+(Personnel[Egtim durumu]="sinavi hazir")),ROWS($K$7:K178)),"")</f>
        <v/>
      </c>
    </row>
    <row r="179" spans="1:11" x14ac:dyDescent="0.25">
      <c r="A179" s="18" t="str">
        <f>IFERROR(INDEX(Personnel[Sicil],$K179),"")</f>
        <v/>
      </c>
      <c r="B179" s="17" t="str">
        <f>IFERROR(INDEX(Personnel[Adi Soyadi],$K179),"")</f>
        <v/>
      </c>
      <c r="C179" s="18" t="str">
        <f>IFERROR(INDEX(Personnel[Vatandaslik],$K179),"")</f>
        <v/>
      </c>
      <c r="D179" s="18" t="str">
        <f>IFERROR(INDEX(Personnel[Santiye],$K179),"")</f>
        <v/>
      </c>
      <c r="E179" s="18" t="str">
        <f>IFERROR(INDEX(Personnel[Ogretmen],$K179),"")</f>
        <v/>
      </c>
      <c r="F179" s="17" t="str">
        <f>IFERROR(INDEX(Personnel[[Sinav ]],$K179),"")</f>
        <v/>
      </c>
      <c r="G179" s="17" t="str">
        <f>IFERROR(INDEX(Personnel[Egtim durumu],$K179),"")</f>
        <v/>
      </c>
      <c r="H179" s="17" t="str">
        <f>IFERROR(INDEX(Personnel[Shohruh Not],$K179),"")</f>
        <v/>
      </c>
      <c r="I179" s="18" t="str">
        <f>IFERROR(INDEX(Personnel[Дней в РФ],$K179),"")</f>
        <v/>
      </c>
      <c r="K179" s="23" t="str">
        <f t="array" ref="K179">IFERROR(_xlfn.AGGREGATE(15,6,(ROW(Personnel[Egtim durumu])-MIN(ROW(Personnel[Egtim durumu]))+1)/((Personnel[Egtim durumu]="Egitime  devem eden")+(Personnel[Egtim durumu]="Egitime alinacak")+(Personnel[Egtim durumu]="sinavi hazir")),ROWS($K$7:K179)),"")</f>
        <v/>
      </c>
    </row>
    <row r="180" spans="1:11" x14ac:dyDescent="0.25">
      <c r="A180" s="28" t="str">
        <f>IFERROR(INDEX(Personnel[Sicil],$K180),"")</f>
        <v/>
      </c>
      <c r="B180" s="29" t="str">
        <f>IFERROR(INDEX(Personnel[Adi Soyadi],$K180),"")</f>
        <v/>
      </c>
      <c r="C180" s="28" t="str">
        <f>IFERROR(INDEX(Personnel[Vatandaslik],$K180),"")</f>
        <v/>
      </c>
      <c r="D180" s="28" t="str">
        <f>IFERROR(INDEX(Personnel[Santiye],$K180),"")</f>
        <v/>
      </c>
      <c r="E180" s="28" t="str">
        <f>IFERROR(INDEX(Personnel[Ogretmen],$K180),"")</f>
        <v/>
      </c>
      <c r="F180" s="29" t="str">
        <f>IFERROR(INDEX(Personnel[[Sinav ]],$K180),"")</f>
        <v/>
      </c>
      <c r="G180" s="29" t="str">
        <f>IFERROR(INDEX(Personnel[Egtim durumu],$K180),"")</f>
        <v/>
      </c>
      <c r="H180" s="29" t="str">
        <f>IFERROR(INDEX(Personnel[Shohruh Not],$K180),"")</f>
        <v/>
      </c>
      <c r="I180" s="28" t="str">
        <f>IFERROR(INDEX(Personnel[Дней в РФ],$K180),"")</f>
        <v/>
      </c>
      <c r="K180" s="23" t="str">
        <f t="array" ref="K180">IFERROR(_xlfn.AGGREGATE(15,6,(ROW(Personnel[Egtim durumu])-MIN(ROW(Personnel[Egtim durumu]))+1)/((Personnel[Egtim durumu]="Egitime  devem eden")+(Personnel[Egtim durumu]="Egitime alinacak")+(Personnel[Egtim durumu]="sinavi hazir")),ROWS($K$7:K180)),"")</f>
        <v/>
      </c>
    </row>
    <row r="181" spans="1:11" x14ac:dyDescent="0.25">
      <c r="A181" s="18" t="str">
        <f>IFERROR(INDEX(Personnel[Sicil],$K181),"")</f>
        <v/>
      </c>
      <c r="B181" s="17" t="str">
        <f>IFERROR(INDEX(Personnel[Adi Soyadi],$K181),"")</f>
        <v/>
      </c>
      <c r="C181" s="18" t="str">
        <f>IFERROR(INDEX(Personnel[Vatandaslik],$K181),"")</f>
        <v/>
      </c>
      <c r="D181" s="18" t="str">
        <f>IFERROR(INDEX(Personnel[Santiye],$K181),"")</f>
        <v/>
      </c>
      <c r="E181" s="18" t="str">
        <f>IFERROR(INDEX(Personnel[Ogretmen],$K181),"")</f>
        <v/>
      </c>
      <c r="F181" s="17" t="str">
        <f>IFERROR(INDEX(Personnel[[Sinav ]],$K181),"")</f>
        <v/>
      </c>
      <c r="G181" s="17" t="str">
        <f>IFERROR(INDEX(Personnel[Egtim durumu],$K181),"")</f>
        <v/>
      </c>
      <c r="H181" s="17" t="str">
        <f>IFERROR(INDEX(Personnel[Shohruh Not],$K181),"")</f>
        <v/>
      </c>
      <c r="I181" s="18" t="str">
        <f>IFERROR(INDEX(Personnel[Дней в РФ],$K181),"")</f>
        <v/>
      </c>
      <c r="K181" s="23" t="str">
        <f t="array" ref="K181">IFERROR(_xlfn.AGGREGATE(15,6,(ROW(Personnel[Egtim durumu])-MIN(ROW(Personnel[Egtim durumu]))+1)/((Personnel[Egtim durumu]="Egitime  devem eden")+(Personnel[Egtim durumu]="Egitime alinacak")+(Personnel[Egtim durumu]="sinavi hazir")),ROWS($K$7:K181)),"")</f>
        <v/>
      </c>
    </row>
    <row r="182" spans="1:11" x14ac:dyDescent="0.25">
      <c r="A182" s="28" t="str">
        <f>IFERROR(INDEX(Personnel[Sicil],$K182),"")</f>
        <v/>
      </c>
      <c r="B182" s="29" t="str">
        <f>IFERROR(INDEX(Personnel[Adi Soyadi],$K182),"")</f>
        <v/>
      </c>
      <c r="C182" s="28" t="str">
        <f>IFERROR(INDEX(Personnel[Vatandaslik],$K182),"")</f>
        <v/>
      </c>
      <c r="D182" s="28" t="str">
        <f>IFERROR(INDEX(Personnel[Santiye],$K182),"")</f>
        <v/>
      </c>
      <c r="E182" s="28" t="str">
        <f>IFERROR(INDEX(Personnel[Ogretmen],$K182),"")</f>
        <v/>
      </c>
      <c r="F182" s="29" t="str">
        <f>IFERROR(INDEX(Personnel[[Sinav ]],$K182),"")</f>
        <v/>
      </c>
      <c r="G182" s="29" t="str">
        <f>IFERROR(INDEX(Personnel[Egtim durumu],$K182),"")</f>
        <v/>
      </c>
      <c r="H182" s="29" t="str">
        <f>IFERROR(INDEX(Personnel[Shohruh Not],$K182),"")</f>
        <v/>
      </c>
      <c r="I182" s="28" t="str">
        <f>IFERROR(INDEX(Personnel[Дней в РФ],$K182),"")</f>
        <v/>
      </c>
      <c r="K182" s="23" t="str">
        <f t="array" ref="K182">IFERROR(_xlfn.AGGREGATE(15,6,(ROW(Personnel[Egtim durumu])-MIN(ROW(Personnel[Egtim durumu]))+1)/((Personnel[Egtim durumu]="Egitime  devem eden")+(Personnel[Egtim durumu]="Egitime alinacak")+(Personnel[Egtim durumu]="sinavi hazir")),ROWS($K$7:K182)),"")</f>
        <v/>
      </c>
    </row>
    <row r="183" spans="1:11" x14ac:dyDescent="0.25">
      <c r="A183" s="18" t="str">
        <f>IFERROR(INDEX(Personnel[Sicil],$K183),"")</f>
        <v/>
      </c>
      <c r="B183" s="17" t="str">
        <f>IFERROR(INDEX(Personnel[Adi Soyadi],$K183),"")</f>
        <v/>
      </c>
      <c r="C183" s="18" t="str">
        <f>IFERROR(INDEX(Personnel[Vatandaslik],$K183),"")</f>
        <v/>
      </c>
      <c r="D183" s="18" t="str">
        <f>IFERROR(INDEX(Personnel[Santiye],$K183),"")</f>
        <v/>
      </c>
      <c r="E183" s="18" t="str">
        <f>IFERROR(INDEX(Personnel[Ogretmen],$K183),"")</f>
        <v/>
      </c>
      <c r="F183" s="17" t="str">
        <f>IFERROR(INDEX(Personnel[[Sinav ]],$K183),"")</f>
        <v/>
      </c>
      <c r="G183" s="17" t="str">
        <f>IFERROR(INDEX(Personnel[Egtim durumu],$K183),"")</f>
        <v/>
      </c>
      <c r="H183" s="17" t="str">
        <f>IFERROR(INDEX(Personnel[Shohruh Not],$K183),"")</f>
        <v/>
      </c>
      <c r="I183" s="18" t="str">
        <f>IFERROR(INDEX(Personnel[Дней в РФ],$K183),"")</f>
        <v/>
      </c>
      <c r="K183" s="23" t="str">
        <f t="array" ref="K183">IFERROR(_xlfn.AGGREGATE(15,6,(ROW(Personnel[Egtim durumu])-MIN(ROW(Personnel[Egtim durumu]))+1)/((Personnel[Egtim durumu]="Egitime  devem eden")+(Personnel[Egtim durumu]="Egitime alinacak")+(Personnel[Egtim durumu]="sinavi hazir")),ROWS($K$7:K183)),"")</f>
        <v/>
      </c>
    </row>
    <row r="184" spans="1:11" x14ac:dyDescent="0.25">
      <c r="A184" s="28" t="str">
        <f>IFERROR(INDEX(Personnel[Sicil],$K184),"")</f>
        <v/>
      </c>
      <c r="B184" s="29" t="str">
        <f>IFERROR(INDEX(Personnel[Adi Soyadi],$K184),"")</f>
        <v/>
      </c>
      <c r="C184" s="28" t="str">
        <f>IFERROR(INDEX(Personnel[Vatandaslik],$K184),"")</f>
        <v/>
      </c>
      <c r="D184" s="28" t="str">
        <f>IFERROR(INDEX(Personnel[Santiye],$K184),"")</f>
        <v/>
      </c>
      <c r="E184" s="28" t="str">
        <f>IFERROR(INDEX(Personnel[Ogretmen],$K184),"")</f>
        <v/>
      </c>
      <c r="F184" s="29" t="str">
        <f>IFERROR(INDEX(Personnel[[Sinav ]],$K184),"")</f>
        <v/>
      </c>
      <c r="G184" s="29" t="str">
        <f>IFERROR(INDEX(Personnel[Egtim durumu],$K184),"")</f>
        <v/>
      </c>
      <c r="H184" s="29" t="str">
        <f>IFERROR(INDEX(Personnel[Shohruh Not],$K184),"")</f>
        <v/>
      </c>
      <c r="I184" s="28" t="str">
        <f>IFERROR(INDEX(Personnel[Дней в РФ],$K184),"")</f>
        <v/>
      </c>
      <c r="K184" s="23" t="str">
        <f t="array" ref="K184">IFERROR(_xlfn.AGGREGATE(15,6,(ROW(Personnel[Egtim durumu])-MIN(ROW(Personnel[Egtim durumu]))+1)/((Personnel[Egtim durumu]="Egitime  devem eden")+(Personnel[Egtim durumu]="Egitime alinacak")+(Personnel[Egtim durumu]="sinavi hazir")),ROWS($K$7:K184)),"")</f>
        <v/>
      </c>
    </row>
    <row r="185" spans="1:11" x14ac:dyDescent="0.25">
      <c r="A185" s="18" t="str">
        <f>IFERROR(INDEX(Personnel[Sicil],$K185),"")</f>
        <v/>
      </c>
      <c r="B185" s="17" t="str">
        <f>IFERROR(INDEX(Personnel[Adi Soyadi],$K185),"")</f>
        <v/>
      </c>
      <c r="C185" s="18" t="str">
        <f>IFERROR(INDEX(Personnel[Vatandaslik],$K185),"")</f>
        <v/>
      </c>
      <c r="D185" s="18" t="str">
        <f>IFERROR(INDEX(Personnel[Santiye],$K185),"")</f>
        <v/>
      </c>
      <c r="E185" s="18" t="str">
        <f>IFERROR(INDEX(Personnel[Ogretmen],$K185),"")</f>
        <v/>
      </c>
      <c r="F185" s="17" t="str">
        <f>IFERROR(INDEX(Personnel[[Sinav ]],$K185),"")</f>
        <v/>
      </c>
      <c r="G185" s="17" t="str">
        <f>IFERROR(INDEX(Personnel[Egtim durumu],$K185),"")</f>
        <v/>
      </c>
      <c r="H185" s="17" t="str">
        <f>IFERROR(INDEX(Personnel[Shohruh Not],$K185),"")</f>
        <v/>
      </c>
      <c r="I185" s="18" t="str">
        <f>IFERROR(INDEX(Personnel[Дней в РФ],$K185),"")</f>
        <v/>
      </c>
      <c r="K185" s="23" t="str">
        <f t="array" ref="K185">IFERROR(_xlfn.AGGREGATE(15,6,(ROW(Personnel[Egtim durumu])-MIN(ROW(Personnel[Egtim durumu]))+1)/((Personnel[Egtim durumu]="Egitime  devem eden")+(Personnel[Egtim durumu]="Egitime alinacak")+(Personnel[Egtim durumu]="sinavi hazir")),ROWS($K$7:K185)),"")</f>
        <v/>
      </c>
    </row>
    <row r="186" spans="1:11" x14ac:dyDescent="0.25">
      <c r="A186" s="28" t="str">
        <f>IFERROR(INDEX(Personnel[Sicil],$K186),"")</f>
        <v/>
      </c>
      <c r="B186" s="29" t="str">
        <f>IFERROR(INDEX(Personnel[Adi Soyadi],$K186),"")</f>
        <v/>
      </c>
      <c r="C186" s="28" t="str">
        <f>IFERROR(INDEX(Personnel[Vatandaslik],$K186),"")</f>
        <v/>
      </c>
      <c r="D186" s="28" t="str">
        <f>IFERROR(INDEX(Personnel[Santiye],$K186),"")</f>
        <v/>
      </c>
      <c r="E186" s="28" t="str">
        <f>IFERROR(INDEX(Personnel[Ogretmen],$K186),"")</f>
        <v/>
      </c>
      <c r="F186" s="29" t="str">
        <f>IFERROR(INDEX(Personnel[[Sinav ]],$K186),"")</f>
        <v/>
      </c>
      <c r="G186" s="29" t="str">
        <f>IFERROR(INDEX(Personnel[Egtim durumu],$K186),"")</f>
        <v/>
      </c>
      <c r="H186" s="29" t="str">
        <f>IFERROR(INDEX(Personnel[Shohruh Not],$K186),"")</f>
        <v/>
      </c>
      <c r="I186" s="28" t="str">
        <f>IFERROR(INDEX(Personnel[Дней в РФ],$K186),"")</f>
        <v/>
      </c>
      <c r="K186" s="23" t="str">
        <f t="array" ref="K186">IFERROR(_xlfn.AGGREGATE(15,6,(ROW(Personnel[Egtim durumu])-MIN(ROW(Personnel[Egtim durumu]))+1)/((Personnel[Egtim durumu]="Egitime  devem eden")+(Personnel[Egtim durumu]="Egitime alinacak")+(Personnel[Egtim durumu]="sinavi hazir")),ROWS($K$7:K186)),"")</f>
        <v/>
      </c>
    </row>
    <row r="187" spans="1:11" x14ac:dyDescent="0.25">
      <c r="A187" s="18" t="str">
        <f>IFERROR(INDEX(Personnel[Sicil],$K187),"")</f>
        <v/>
      </c>
      <c r="B187" s="17" t="str">
        <f>IFERROR(INDEX(Personnel[Adi Soyadi],$K187),"")</f>
        <v/>
      </c>
      <c r="C187" s="18" t="str">
        <f>IFERROR(INDEX(Personnel[Vatandaslik],$K187),"")</f>
        <v/>
      </c>
      <c r="D187" s="18" t="str">
        <f>IFERROR(INDEX(Personnel[Santiye],$K187),"")</f>
        <v/>
      </c>
      <c r="E187" s="18" t="str">
        <f>IFERROR(INDEX(Personnel[Ogretmen],$K187),"")</f>
        <v/>
      </c>
      <c r="F187" s="17" t="str">
        <f>IFERROR(INDEX(Personnel[[Sinav ]],$K187),"")</f>
        <v/>
      </c>
      <c r="G187" s="17" t="str">
        <f>IFERROR(INDEX(Personnel[Egtim durumu],$K187),"")</f>
        <v/>
      </c>
      <c r="H187" s="17" t="str">
        <f>IFERROR(INDEX(Personnel[Shohruh Not],$K187),"")</f>
        <v/>
      </c>
      <c r="I187" s="18" t="str">
        <f>IFERROR(INDEX(Personnel[Дней в РФ],$K187),"")</f>
        <v/>
      </c>
      <c r="K187" s="23" t="str">
        <f t="array" ref="K187">IFERROR(_xlfn.AGGREGATE(15,6,(ROW(Personnel[Egtim durumu])-MIN(ROW(Personnel[Egtim durumu]))+1)/((Personnel[Egtim durumu]="Egitime  devem eden")+(Personnel[Egtim durumu]="Egitime alinacak")+(Personnel[Egtim durumu]="sinavi hazir")),ROWS($K$7:K187)),"")</f>
        <v/>
      </c>
    </row>
    <row r="188" spans="1:11" x14ac:dyDescent="0.25">
      <c r="A188" s="28" t="str">
        <f>IFERROR(INDEX(Personnel[Sicil],$K188),"")</f>
        <v/>
      </c>
      <c r="B188" s="29" t="str">
        <f>IFERROR(INDEX(Personnel[Adi Soyadi],$K188),"")</f>
        <v/>
      </c>
      <c r="C188" s="28" t="str">
        <f>IFERROR(INDEX(Personnel[Vatandaslik],$K188),"")</f>
        <v/>
      </c>
      <c r="D188" s="28" t="str">
        <f>IFERROR(INDEX(Personnel[Santiye],$K188),"")</f>
        <v/>
      </c>
      <c r="E188" s="28" t="str">
        <f>IFERROR(INDEX(Personnel[Ogretmen],$K188),"")</f>
        <v/>
      </c>
      <c r="F188" s="29" t="str">
        <f>IFERROR(INDEX(Personnel[[Sinav ]],$K188),"")</f>
        <v/>
      </c>
      <c r="G188" s="29" t="str">
        <f>IFERROR(INDEX(Personnel[Egtim durumu],$K188),"")</f>
        <v/>
      </c>
      <c r="H188" s="29" t="str">
        <f>IFERROR(INDEX(Personnel[Shohruh Not],$K188),"")</f>
        <v/>
      </c>
      <c r="I188" s="28" t="str">
        <f>IFERROR(INDEX(Personnel[Дней в РФ],$K188),"")</f>
        <v/>
      </c>
      <c r="K188" s="23" t="str">
        <f t="array" ref="K188">IFERROR(_xlfn.AGGREGATE(15,6,(ROW(Personnel[Egtim durumu])-MIN(ROW(Personnel[Egtim durumu]))+1)/((Personnel[Egtim durumu]="Egitime  devem eden")+(Personnel[Egtim durumu]="Egitime alinacak")+(Personnel[Egtim durumu]="sinavi hazir")),ROWS($K$7:K188)),"")</f>
        <v/>
      </c>
    </row>
    <row r="189" spans="1:11" x14ac:dyDescent="0.25">
      <c r="A189" s="18" t="str">
        <f>IFERROR(INDEX(Personnel[Sicil],$K189),"")</f>
        <v/>
      </c>
      <c r="B189" s="17" t="str">
        <f>IFERROR(INDEX(Personnel[Adi Soyadi],$K189),"")</f>
        <v/>
      </c>
      <c r="C189" s="18" t="str">
        <f>IFERROR(INDEX(Personnel[Vatandaslik],$K189),"")</f>
        <v/>
      </c>
      <c r="D189" s="18" t="str">
        <f>IFERROR(INDEX(Personnel[Santiye],$K189),"")</f>
        <v/>
      </c>
      <c r="E189" s="18" t="str">
        <f>IFERROR(INDEX(Personnel[Ogretmen],$K189),"")</f>
        <v/>
      </c>
      <c r="F189" s="17" t="str">
        <f>IFERROR(INDEX(Personnel[[Sinav ]],$K189),"")</f>
        <v/>
      </c>
      <c r="G189" s="17" t="str">
        <f>IFERROR(INDEX(Personnel[Egtim durumu],$K189),"")</f>
        <v/>
      </c>
      <c r="H189" s="17" t="str">
        <f>IFERROR(INDEX(Personnel[Shohruh Not],$K189),"")</f>
        <v/>
      </c>
      <c r="I189" s="18" t="str">
        <f>IFERROR(INDEX(Personnel[Дней в РФ],$K189),"")</f>
        <v/>
      </c>
      <c r="K189" s="23" t="str">
        <f t="array" ref="K189">IFERROR(_xlfn.AGGREGATE(15,6,(ROW(Personnel[Egtim durumu])-MIN(ROW(Personnel[Egtim durumu]))+1)/((Personnel[Egtim durumu]="Egitime  devem eden")+(Personnel[Egtim durumu]="Egitime alinacak")+(Personnel[Egtim durumu]="sinavi hazir")),ROWS($K$7:K189)),"")</f>
        <v/>
      </c>
    </row>
    <row r="190" spans="1:11" x14ac:dyDescent="0.25">
      <c r="A190" s="28" t="str">
        <f>IFERROR(INDEX(Personnel[Sicil],$K190),"")</f>
        <v/>
      </c>
      <c r="B190" s="29" t="str">
        <f>IFERROR(INDEX(Personnel[Adi Soyadi],$K190),"")</f>
        <v/>
      </c>
      <c r="C190" s="28" t="str">
        <f>IFERROR(INDEX(Personnel[Vatandaslik],$K190),"")</f>
        <v/>
      </c>
      <c r="D190" s="28" t="str">
        <f>IFERROR(INDEX(Personnel[Santiye],$K190),"")</f>
        <v/>
      </c>
      <c r="E190" s="28" t="str">
        <f>IFERROR(INDEX(Personnel[Ogretmen],$K190),"")</f>
        <v/>
      </c>
      <c r="F190" s="29" t="str">
        <f>IFERROR(INDEX(Personnel[[Sinav ]],$K190),"")</f>
        <v/>
      </c>
      <c r="G190" s="29" t="str">
        <f>IFERROR(INDEX(Personnel[Egtim durumu],$K190),"")</f>
        <v/>
      </c>
      <c r="H190" s="29" t="str">
        <f>IFERROR(INDEX(Personnel[Shohruh Not],$K190),"")</f>
        <v/>
      </c>
      <c r="I190" s="28" t="str">
        <f>IFERROR(INDEX(Personnel[Дней в РФ],$K190),"")</f>
        <v/>
      </c>
      <c r="K190" s="23" t="str">
        <f t="array" ref="K190">IFERROR(_xlfn.AGGREGATE(15,6,(ROW(Personnel[Egtim durumu])-MIN(ROW(Personnel[Egtim durumu]))+1)/((Personnel[Egtim durumu]="Egitime  devem eden")+(Personnel[Egtim durumu]="Egitime alinacak")+(Personnel[Egtim durumu]="sinavi hazir")),ROWS($K$7:K190)),"")</f>
        <v/>
      </c>
    </row>
    <row r="191" spans="1:11" x14ac:dyDescent="0.25">
      <c r="A191" s="18" t="str">
        <f>IFERROR(INDEX(Personnel[Sicil],$K191),"")</f>
        <v/>
      </c>
      <c r="B191" s="17" t="str">
        <f>IFERROR(INDEX(Personnel[Adi Soyadi],$K191),"")</f>
        <v/>
      </c>
      <c r="C191" s="18" t="str">
        <f>IFERROR(INDEX(Personnel[Vatandaslik],$K191),"")</f>
        <v/>
      </c>
      <c r="D191" s="18" t="str">
        <f>IFERROR(INDEX(Personnel[Santiye],$K191),"")</f>
        <v/>
      </c>
      <c r="E191" s="18" t="str">
        <f>IFERROR(INDEX(Personnel[Ogretmen],$K191),"")</f>
        <v/>
      </c>
      <c r="F191" s="17" t="str">
        <f>IFERROR(INDEX(Personnel[[Sinav ]],$K191),"")</f>
        <v/>
      </c>
      <c r="G191" s="17" t="str">
        <f>IFERROR(INDEX(Personnel[Egtim durumu],$K191),"")</f>
        <v/>
      </c>
      <c r="H191" s="17" t="str">
        <f>IFERROR(INDEX(Personnel[Shohruh Not],$K191),"")</f>
        <v/>
      </c>
      <c r="I191" s="18" t="str">
        <f>IFERROR(INDEX(Personnel[Дней в РФ],$K191),"")</f>
        <v/>
      </c>
      <c r="K191" s="23" t="str">
        <f t="array" ref="K191">IFERROR(_xlfn.AGGREGATE(15,6,(ROW(Personnel[Egtim durumu])-MIN(ROW(Personnel[Egtim durumu]))+1)/((Personnel[Egtim durumu]="Egitime  devem eden")+(Personnel[Egtim durumu]="Egitime alinacak")+(Personnel[Egtim durumu]="sinavi hazir")),ROWS($K$7:K191)),"")</f>
        <v/>
      </c>
    </row>
    <row r="192" spans="1:11" x14ac:dyDescent="0.25">
      <c r="A192" s="28" t="str">
        <f>IFERROR(INDEX(Personnel[Sicil],$K192),"")</f>
        <v/>
      </c>
      <c r="B192" s="29" t="str">
        <f>IFERROR(INDEX(Personnel[Adi Soyadi],$K192),"")</f>
        <v/>
      </c>
      <c r="C192" s="28" t="str">
        <f>IFERROR(INDEX(Personnel[Vatandaslik],$K192),"")</f>
        <v/>
      </c>
      <c r="D192" s="28" t="str">
        <f>IFERROR(INDEX(Personnel[Santiye],$K192),"")</f>
        <v/>
      </c>
      <c r="E192" s="28" t="str">
        <f>IFERROR(INDEX(Personnel[Ogretmen],$K192),"")</f>
        <v/>
      </c>
      <c r="F192" s="29" t="str">
        <f>IFERROR(INDEX(Personnel[[Sinav ]],$K192),"")</f>
        <v/>
      </c>
      <c r="G192" s="29" t="str">
        <f>IFERROR(INDEX(Personnel[Egtim durumu],$K192),"")</f>
        <v/>
      </c>
      <c r="H192" s="29" t="str">
        <f>IFERROR(INDEX(Personnel[Shohruh Not],$K192),"")</f>
        <v/>
      </c>
      <c r="I192" s="28" t="str">
        <f>IFERROR(INDEX(Personnel[Дней в РФ],$K192),"")</f>
        <v/>
      </c>
      <c r="K192" s="23" t="str">
        <f t="array" ref="K192">IFERROR(_xlfn.AGGREGATE(15,6,(ROW(Personnel[Egtim durumu])-MIN(ROW(Personnel[Egtim durumu]))+1)/((Personnel[Egtim durumu]="Egitime  devem eden")+(Personnel[Egtim durumu]="Egitime alinacak")+(Personnel[Egtim durumu]="sinavi hazir")),ROWS($K$7:K192)),"")</f>
        <v/>
      </c>
    </row>
    <row r="193" spans="1:11" x14ac:dyDescent="0.25">
      <c r="A193" s="18" t="str">
        <f>IFERROR(INDEX(Personnel[Sicil],$K193),"")</f>
        <v/>
      </c>
      <c r="B193" s="17" t="str">
        <f>IFERROR(INDEX(Personnel[Adi Soyadi],$K193),"")</f>
        <v/>
      </c>
      <c r="C193" s="18" t="str">
        <f>IFERROR(INDEX(Personnel[Vatandaslik],$K193),"")</f>
        <v/>
      </c>
      <c r="D193" s="18" t="str">
        <f>IFERROR(INDEX(Personnel[Santiye],$K193),"")</f>
        <v/>
      </c>
      <c r="E193" s="18" t="str">
        <f>IFERROR(INDEX(Personnel[Ogretmen],$K193),"")</f>
        <v/>
      </c>
      <c r="F193" s="17" t="str">
        <f>IFERROR(INDEX(Personnel[[Sinav ]],$K193),"")</f>
        <v/>
      </c>
      <c r="G193" s="17" t="str">
        <f>IFERROR(INDEX(Personnel[Egtim durumu],$K193),"")</f>
        <v/>
      </c>
      <c r="H193" s="17" t="str">
        <f>IFERROR(INDEX(Personnel[Shohruh Not],$K193),"")</f>
        <v/>
      </c>
      <c r="I193" s="18" t="str">
        <f>IFERROR(INDEX(Personnel[Дней в РФ],$K193),"")</f>
        <v/>
      </c>
      <c r="K193" s="23" t="str">
        <f t="array" ref="K193">IFERROR(_xlfn.AGGREGATE(15,6,(ROW(Personnel[Egtim durumu])-MIN(ROW(Personnel[Egtim durumu]))+1)/((Personnel[Egtim durumu]="Egitime  devem eden")+(Personnel[Egtim durumu]="Egitime alinacak")+(Personnel[Egtim durumu]="sinavi hazir")),ROWS($K$7:K193)),"")</f>
        <v/>
      </c>
    </row>
    <row r="194" spans="1:11" x14ac:dyDescent="0.25">
      <c r="A194" s="28" t="str">
        <f>IFERROR(INDEX(Personnel[Sicil],$K194),"")</f>
        <v/>
      </c>
      <c r="B194" s="29" t="str">
        <f>IFERROR(INDEX(Personnel[Adi Soyadi],$K194),"")</f>
        <v/>
      </c>
      <c r="C194" s="28" t="str">
        <f>IFERROR(INDEX(Personnel[Vatandaslik],$K194),"")</f>
        <v/>
      </c>
      <c r="D194" s="28" t="str">
        <f>IFERROR(INDEX(Personnel[Santiye],$K194),"")</f>
        <v/>
      </c>
      <c r="E194" s="28" t="str">
        <f>IFERROR(INDEX(Personnel[Ogretmen],$K194),"")</f>
        <v/>
      </c>
      <c r="F194" s="29" t="str">
        <f>IFERROR(INDEX(Personnel[[Sinav ]],$K194),"")</f>
        <v/>
      </c>
      <c r="G194" s="29" t="str">
        <f>IFERROR(INDEX(Personnel[Egtim durumu],$K194),"")</f>
        <v/>
      </c>
      <c r="H194" s="29" t="str">
        <f>IFERROR(INDEX(Personnel[Shohruh Not],$K194),"")</f>
        <v/>
      </c>
      <c r="I194" s="28" t="str">
        <f>IFERROR(INDEX(Personnel[Дней в РФ],$K194),"")</f>
        <v/>
      </c>
      <c r="K194" s="23" t="str">
        <f t="array" ref="K194">IFERROR(_xlfn.AGGREGATE(15,6,(ROW(Personnel[Egtim durumu])-MIN(ROW(Personnel[Egtim durumu]))+1)/((Personnel[Egtim durumu]="Egitime  devem eden")+(Personnel[Egtim durumu]="Egitime alinacak")+(Personnel[Egtim durumu]="sinavi hazir")),ROWS($K$7:K194)),"")</f>
        <v/>
      </c>
    </row>
    <row r="195" spans="1:11" x14ac:dyDescent="0.25">
      <c r="A195" s="18" t="str">
        <f>IFERROR(INDEX(Personnel[Sicil],$K195),"")</f>
        <v/>
      </c>
      <c r="B195" s="17" t="str">
        <f>IFERROR(INDEX(Personnel[Adi Soyadi],$K195),"")</f>
        <v/>
      </c>
      <c r="C195" s="18" t="str">
        <f>IFERROR(INDEX(Personnel[Vatandaslik],$K195),"")</f>
        <v/>
      </c>
      <c r="D195" s="18" t="str">
        <f>IFERROR(INDEX(Personnel[Santiye],$K195),"")</f>
        <v/>
      </c>
      <c r="E195" s="18" t="str">
        <f>IFERROR(INDEX(Personnel[Ogretmen],$K195),"")</f>
        <v/>
      </c>
      <c r="F195" s="17" t="str">
        <f>IFERROR(INDEX(Personnel[[Sinav ]],$K195),"")</f>
        <v/>
      </c>
      <c r="G195" s="17" t="str">
        <f>IFERROR(INDEX(Personnel[Egtim durumu],$K195),"")</f>
        <v/>
      </c>
      <c r="H195" s="17" t="str">
        <f>IFERROR(INDEX(Personnel[Shohruh Not],$K195),"")</f>
        <v/>
      </c>
      <c r="I195" s="18" t="str">
        <f>IFERROR(INDEX(Personnel[Дней в РФ],$K195),"")</f>
        <v/>
      </c>
      <c r="K195" s="23" t="str">
        <f t="array" ref="K195">IFERROR(_xlfn.AGGREGATE(15,6,(ROW(Personnel[Egtim durumu])-MIN(ROW(Personnel[Egtim durumu]))+1)/((Personnel[Egtim durumu]="Egitime  devem eden")+(Personnel[Egtim durumu]="Egitime alinacak")+(Personnel[Egtim durumu]="sinavi hazir")),ROWS($K$7:K195)),"")</f>
        <v/>
      </c>
    </row>
    <row r="196" spans="1:11" x14ac:dyDescent="0.25">
      <c r="A196" s="28" t="str">
        <f>IFERROR(INDEX(Personnel[Sicil],$K196),"")</f>
        <v/>
      </c>
      <c r="B196" s="29" t="str">
        <f>IFERROR(INDEX(Personnel[Adi Soyadi],$K196),"")</f>
        <v/>
      </c>
      <c r="C196" s="28" t="str">
        <f>IFERROR(INDEX(Personnel[Vatandaslik],$K196),"")</f>
        <v/>
      </c>
      <c r="D196" s="28" t="str">
        <f>IFERROR(INDEX(Personnel[Santiye],$K196),"")</f>
        <v/>
      </c>
      <c r="E196" s="28" t="str">
        <f>IFERROR(INDEX(Personnel[Ogretmen],$K196),"")</f>
        <v/>
      </c>
      <c r="F196" s="29" t="str">
        <f>IFERROR(INDEX(Personnel[[Sinav ]],$K196),"")</f>
        <v/>
      </c>
      <c r="G196" s="29" t="str">
        <f>IFERROR(INDEX(Personnel[Egtim durumu],$K196),"")</f>
        <v/>
      </c>
      <c r="H196" s="29" t="str">
        <f>IFERROR(INDEX(Personnel[Shohruh Not],$K196),"")</f>
        <v/>
      </c>
      <c r="I196" s="28" t="str">
        <f>IFERROR(INDEX(Personnel[Дней в РФ],$K196),"")</f>
        <v/>
      </c>
      <c r="K196" s="23" t="str">
        <f t="array" ref="K196">IFERROR(_xlfn.AGGREGATE(15,6,(ROW(Personnel[Egtim durumu])-MIN(ROW(Personnel[Egtim durumu]))+1)/((Personnel[Egtim durumu]="Egitime  devem eden")+(Personnel[Egtim durumu]="Egitime alinacak")+(Personnel[Egtim durumu]="sinavi hazir")),ROWS($K$7:K196)),"")</f>
        <v/>
      </c>
    </row>
    <row r="197" spans="1:11" x14ac:dyDescent="0.25">
      <c r="A197" s="18" t="str">
        <f>IFERROR(INDEX(Personnel[Sicil],$K197),"")</f>
        <v/>
      </c>
      <c r="B197" s="17" t="str">
        <f>IFERROR(INDEX(Personnel[Adi Soyadi],$K197),"")</f>
        <v/>
      </c>
      <c r="C197" s="18" t="str">
        <f>IFERROR(INDEX(Personnel[Vatandaslik],$K197),"")</f>
        <v/>
      </c>
      <c r="D197" s="18" t="str">
        <f>IFERROR(INDEX(Personnel[Santiye],$K197),"")</f>
        <v/>
      </c>
      <c r="E197" s="18" t="str">
        <f>IFERROR(INDEX(Personnel[Ogretmen],$K197),"")</f>
        <v/>
      </c>
      <c r="F197" s="17" t="str">
        <f>IFERROR(INDEX(Personnel[[Sinav ]],$K197),"")</f>
        <v/>
      </c>
      <c r="G197" s="17" t="str">
        <f>IFERROR(INDEX(Personnel[Egtim durumu],$K197),"")</f>
        <v/>
      </c>
      <c r="H197" s="17" t="str">
        <f>IFERROR(INDEX(Personnel[Shohruh Not],$K197),"")</f>
        <v/>
      </c>
      <c r="I197" s="18" t="str">
        <f>IFERROR(INDEX(Personnel[Дней в РФ],$K197),"")</f>
        <v/>
      </c>
      <c r="K197" s="23" t="str">
        <f t="array" ref="K197">IFERROR(_xlfn.AGGREGATE(15,6,(ROW(Personnel[Egtim durumu])-MIN(ROW(Personnel[Egtim durumu]))+1)/((Personnel[Egtim durumu]="Egitime  devem eden")+(Personnel[Egtim durumu]="Egitime alinacak")+(Personnel[Egtim durumu]="sinavi hazir")),ROWS($K$7:K197)),"")</f>
        <v/>
      </c>
    </row>
    <row r="198" spans="1:11" x14ac:dyDescent="0.25">
      <c r="A198" s="28" t="str">
        <f>IFERROR(INDEX(Personnel[Sicil],$K198),"")</f>
        <v/>
      </c>
      <c r="B198" s="29" t="str">
        <f>IFERROR(INDEX(Personnel[Adi Soyadi],$K198),"")</f>
        <v/>
      </c>
      <c r="C198" s="28" t="str">
        <f>IFERROR(INDEX(Personnel[Vatandaslik],$K198),"")</f>
        <v/>
      </c>
      <c r="D198" s="28" t="str">
        <f>IFERROR(INDEX(Personnel[Santiye],$K198),"")</f>
        <v/>
      </c>
      <c r="E198" s="28" t="str">
        <f>IFERROR(INDEX(Personnel[Ogretmen],$K198),"")</f>
        <v/>
      </c>
      <c r="F198" s="29" t="str">
        <f>IFERROR(INDEX(Personnel[[Sinav ]],$K198),"")</f>
        <v/>
      </c>
      <c r="G198" s="29" t="str">
        <f>IFERROR(INDEX(Personnel[Egtim durumu],$K198),"")</f>
        <v/>
      </c>
      <c r="H198" s="29" t="str">
        <f>IFERROR(INDEX(Personnel[Shohruh Not],$K198),"")</f>
        <v/>
      </c>
      <c r="I198" s="28" t="str">
        <f>IFERROR(INDEX(Personnel[Дней в РФ],$K198),"")</f>
        <v/>
      </c>
      <c r="K198" s="23" t="str">
        <f t="array" ref="K198">IFERROR(_xlfn.AGGREGATE(15,6,(ROW(Personnel[Egtim durumu])-MIN(ROW(Personnel[Egtim durumu]))+1)/((Personnel[Egtim durumu]="Egitime  devem eden")+(Personnel[Egtim durumu]="Egitime alinacak")+(Personnel[Egtim durumu]="sinavi hazir")),ROWS($K$7:K198)),"")</f>
        <v/>
      </c>
    </row>
    <row r="199" spans="1:11" x14ac:dyDescent="0.25">
      <c r="A199" s="18" t="str">
        <f>IFERROR(INDEX(Personnel[Sicil],$K199),"")</f>
        <v/>
      </c>
      <c r="B199" s="17" t="str">
        <f>IFERROR(INDEX(Personnel[Adi Soyadi],$K199),"")</f>
        <v/>
      </c>
      <c r="C199" s="18" t="str">
        <f>IFERROR(INDEX(Personnel[Vatandaslik],$K199),"")</f>
        <v/>
      </c>
      <c r="D199" s="18" t="str">
        <f>IFERROR(INDEX(Personnel[Santiye],$K199),"")</f>
        <v/>
      </c>
      <c r="E199" s="18" t="str">
        <f>IFERROR(INDEX(Personnel[Ogretmen],$K199),"")</f>
        <v/>
      </c>
      <c r="F199" s="17" t="str">
        <f>IFERROR(INDEX(Personnel[[Sinav ]],$K199),"")</f>
        <v/>
      </c>
      <c r="G199" s="17" t="str">
        <f>IFERROR(INDEX(Personnel[Egtim durumu],$K199),"")</f>
        <v/>
      </c>
      <c r="H199" s="17" t="str">
        <f>IFERROR(INDEX(Personnel[Shohruh Not],$K199),"")</f>
        <v/>
      </c>
      <c r="I199" s="18" t="str">
        <f>IFERROR(INDEX(Personnel[Дней в РФ],$K199),"")</f>
        <v/>
      </c>
      <c r="K199" s="23" t="str">
        <f t="array" ref="K199">IFERROR(_xlfn.AGGREGATE(15,6,(ROW(Personnel[Egtim durumu])-MIN(ROW(Personnel[Egtim durumu]))+1)/((Personnel[Egtim durumu]="Egitime  devem eden")+(Personnel[Egtim durumu]="Egitime alinacak")+(Personnel[Egtim durumu]="sinavi hazir")),ROWS($K$7:K199)),"")</f>
        <v/>
      </c>
    </row>
    <row r="200" spans="1:11" x14ac:dyDescent="0.25">
      <c r="A200" s="28" t="str">
        <f>IFERROR(INDEX(Personnel[Sicil],$K200),"")</f>
        <v/>
      </c>
      <c r="B200" s="29" t="str">
        <f>IFERROR(INDEX(Personnel[Adi Soyadi],$K200),"")</f>
        <v/>
      </c>
      <c r="C200" s="28" t="str">
        <f>IFERROR(INDEX(Personnel[Vatandaslik],$K200),"")</f>
        <v/>
      </c>
      <c r="D200" s="28" t="str">
        <f>IFERROR(INDEX(Personnel[Santiye],$K200),"")</f>
        <v/>
      </c>
      <c r="E200" s="28" t="str">
        <f>IFERROR(INDEX(Personnel[Ogretmen],$K200),"")</f>
        <v/>
      </c>
      <c r="F200" s="29" t="str">
        <f>IFERROR(INDEX(Personnel[[Sinav ]],$K200),"")</f>
        <v/>
      </c>
      <c r="G200" s="29" t="str">
        <f>IFERROR(INDEX(Personnel[Egtim durumu],$K200),"")</f>
        <v/>
      </c>
      <c r="H200" s="29" t="str">
        <f>IFERROR(INDEX(Personnel[Shohruh Not],$K200),"")</f>
        <v/>
      </c>
      <c r="I200" s="28" t="str">
        <f>IFERROR(INDEX(Personnel[Дней в РФ],$K200),"")</f>
        <v/>
      </c>
      <c r="K200" s="23" t="str">
        <f t="array" ref="K200">IFERROR(_xlfn.AGGREGATE(15,6,(ROW(Personnel[Egtim durumu])-MIN(ROW(Personnel[Egtim durumu]))+1)/((Personnel[Egtim durumu]="Egitime  devem eden")+(Personnel[Egtim durumu]="Egitime alinacak")+(Personnel[Egtim durumu]="sinavi hazir")),ROWS($K$7:K200)),"")</f>
        <v/>
      </c>
    </row>
    <row r="201" spans="1:11" x14ac:dyDescent="0.25">
      <c r="A201" s="18" t="str">
        <f>IFERROR(INDEX(Personnel[Sicil],$K201),"")</f>
        <v/>
      </c>
      <c r="B201" s="17" t="str">
        <f>IFERROR(INDEX(Personnel[Adi Soyadi],$K201),"")</f>
        <v/>
      </c>
      <c r="C201" s="18" t="str">
        <f>IFERROR(INDEX(Personnel[Vatandaslik],$K201),"")</f>
        <v/>
      </c>
      <c r="D201" s="18" t="str">
        <f>IFERROR(INDEX(Personnel[Santiye],$K201),"")</f>
        <v/>
      </c>
      <c r="E201" s="18" t="str">
        <f>IFERROR(INDEX(Personnel[Ogretmen],$K201),"")</f>
        <v/>
      </c>
      <c r="F201" s="17" t="str">
        <f>IFERROR(INDEX(Personnel[[Sinav ]],$K201),"")</f>
        <v/>
      </c>
      <c r="G201" s="17" t="str">
        <f>IFERROR(INDEX(Personnel[Egtim durumu],$K201),"")</f>
        <v/>
      </c>
      <c r="H201" s="17" t="str">
        <f>IFERROR(INDEX(Personnel[Shohruh Not],$K201),"")</f>
        <v/>
      </c>
      <c r="I201" s="18" t="str">
        <f>IFERROR(INDEX(Personnel[Дней в РФ],$K201),"")</f>
        <v/>
      </c>
      <c r="K201" s="23" t="str">
        <f t="array" ref="K201">IFERROR(_xlfn.AGGREGATE(15,6,(ROW(Personnel[Egtim durumu])-MIN(ROW(Personnel[Egtim durumu]))+1)/((Personnel[Egtim durumu]="Egitime  devem eden")+(Personnel[Egtim durumu]="Egitime alinacak")+(Personnel[Egtim durumu]="sinavi hazir")),ROWS($K$7:K201)),"")</f>
        <v/>
      </c>
    </row>
    <row r="202" spans="1:11" x14ac:dyDescent="0.25">
      <c r="A202" s="28" t="str">
        <f>IFERROR(INDEX(Personnel[Sicil],$K202),"")</f>
        <v/>
      </c>
      <c r="B202" s="29" t="str">
        <f>IFERROR(INDEX(Personnel[Adi Soyadi],$K202),"")</f>
        <v/>
      </c>
      <c r="C202" s="28" t="str">
        <f>IFERROR(INDEX(Personnel[Vatandaslik],$K202),"")</f>
        <v/>
      </c>
      <c r="D202" s="28" t="str">
        <f>IFERROR(INDEX(Personnel[Santiye],$K202),"")</f>
        <v/>
      </c>
      <c r="E202" s="28" t="str">
        <f>IFERROR(INDEX(Personnel[Ogretmen],$K202),"")</f>
        <v/>
      </c>
      <c r="F202" s="29" t="str">
        <f>IFERROR(INDEX(Personnel[[Sinav ]],$K202),"")</f>
        <v/>
      </c>
      <c r="G202" s="29" t="str">
        <f>IFERROR(INDEX(Personnel[Egtim durumu],$K202),"")</f>
        <v/>
      </c>
      <c r="H202" s="29" t="str">
        <f>IFERROR(INDEX(Personnel[Shohruh Not],$K202),"")</f>
        <v/>
      </c>
      <c r="I202" s="28" t="str">
        <f>IFERROR(INDEX(Personnel[Дней в РФ],$K202),"")</f>
        <v/>
      </c>
      <c r="K202" s="23" t="str">
        <f t="array" ref="K202">IFERROR(_xlfn.AGGREGATE(15,6,(ROW(Personnel[Egtim durumu])-MIN(ROW(Personnel[Egtim durumu]))+1)/((Personnel[Egtim durumu]="Egitime  devem eden")+(Personnel[Egtim durumu]="Egitime alinacak")+(Personnel[Egtim durumu]="sinavi hazir")),ROWS($K$7:K202)),"")</f>
        <v/>
      </c>
    </row>
    <row r="203" spans="1:11" x14ac:dyDescent="0.25">
      <c r="A203" s="18" t="str">
        <f>IFERROR(INDEX(Personnel[Sicil],$K203),"")</f>
        <v/>
      </c>
      <c r="B203" s="17" t="str">
        <f>IFERROR(INDEX(Personnel[Adi Soyadi],$K203),"")</f>
        <v/>
      </c>
      <c r="C203" s="18" t="str">
        <f>IFERROR(INDEX(Personnel[Vatandaslik],$K203),"")</f>
        <v/>
      </c>
      <c r="D203" s="18" t="str">
        <f>IFERROR(INDEX(Personnel[Santiye],$K203),"")</f>
        <v/>
      </c>
      <c r="E203" s="18" t="str">
        <f>IFERROR(INDEX(Personnel[Ogretmen],$K203),"")</f>
        <v/>
      </c>
      <c r="F203" s="17" t="str">
        <f>IFERROR(INDEX(Personnel[[Sinav ]],$K203),"")</f>
        <v/>
      </c>
      <c r="G203" s="17" t="str">
        <f>IFERROR(INDEX(Personnel[Egtim durumu],$K203),"")</f>
        <v/>
      </c>
      <c r="H203" s="17" t="str">
        <f>IFERROR(INDEX(Personnel[Shohruh Not],$K203),"")</f>
        <v/>
      </c>
      <c r="I203" s="18" t="str">
        <f>IFERROR(INDEX(Personnel[Дней в РФ],$K203),"")</f>
        <v/>
      </c>
      <c r="K203" s="23" t="str">
        <f t="array" ref="K203">IFERROR(_xlfn.AGGREGATE(15,6,(ROW(Personnel[Egtim durumu])-MIN(ROW(Personnel[Egtim durumu]))+1)/((Personnel[Egtim durumu]="Egitime  devem eden")+(Personnel[Egtim durumu]="Egitime alinacak")+(Personnel[Egtim durumu]="sinavi hazir")),ROWS($K$7:K203)),"")</f>
        <v/>
      </c>
    </row>
    <row r="204" spans="1:11" x14ac:dyDescent="0.25">
      <c r="A204" s="28" t="str">
        <f>IFERROR(INDEX(Personnel[Sicil],$K204),"")</f>
        <v/>
      </c>
      <c r="B204" s="29" t="str">
        <f>IFERROR(INDEX(Personnel[Adi Soyadi],$K204),"")</f>
        <v/>
      </c>
      <c r="C204" s="28" t="str">
        <f>IFERROR(INDEX(Personnel[Vatandaslik],$K204),"")</f>
        <v/>
      </c>
      <c r="D204" s="28" t="str">
        <f>IFERROR(INDEX(Personnel[Santiye],$K204),"")</f>
        <v/>
      </c>
      <c r="E204" s="28" t="str">
        <f>IFERROR(INDEX(Personnel[Ogretmen],$K204),"")</f>
        <v/>
      </c>
      <c r="F204" s="29" t="str">
        <f>IFERROR(INDEX(Personnel[[Sinav ]],$K204),"")</f>
        <v/>
      </c>
      <c r="G204" s="29" t="str">
        <f>IFERROR(INDEX(Personnel[Egtim durumu],$K204),"")</f>
        <v/>
      </c>
      <c r="H204" s="29" t="str">
        <f>IFERROR(INDEX(Personnel[Shohruh Not],$K204),"")</f>
        <v/>
      </c>
      <c r="I204" s="28" t="str">
        <f>IFERROR(INDEX(Personnel[Дней в РФ],$K204),"")</f>
        <v/>
      </c>
      <c r="K204" s="23" t="str">
        <f t="array" ref="K204">IFERROR(_xlfn.AGGREGATE(15,6,(ROW(Personnel[Egtim durumu])-MIN(ROW(Personnel[Egtim durumu]))+1)/((Personnel[Egtim durumu]="Egitime  devem eden")+(Personnel[Egtim durumu]="Egitime alinacak")+(Personnel[Egtim durumu]="sinavi hazir")),ROWS($K$7:K204)),"")</f>
        <v/>
      </c>
    </row>
    <row r="205" spans="1:11" x14ac:dyDescent="0.25">
      <c r="A205" s="18" t="str">
        <f>IFERROR(INDEX(Personnel[Sicil],$K205),"")</f>
        <v/>
      </c>
      <c r="B205" s="17" t="str">
        <f>IFERROR(INDEX(Personnel[Adi Soyadi],$K205),"")</f>
        <v/>
      </c>
      <c r="C205" s="18" t="str">
        <f>IFERROR(INDEX(Personnel[Vatandaslik],$K205),"")</f>
        <v/>
      </c>
      <c r="D205" s="18" t="str">
        <f>IFERROR(INDEX(Personnel[Santiye],$K205),"")</f>
        <v/>
      </c>
      <c r="E205" s="18" t="str">
        <f>IFERROR(INDEX(Personnel[Ogretmen],$K205),"")</f>
        <v/>
      </c>
      <c r="F205" s="17" t="str">
        <f>IFERROR(INDEX(Personnel[[Sinav ]],$K205),"")</f>
        <v/>
      </c>
      <c r="G205" s="17" t="str">
        <f>IFERROR(INDEX(Personnel[Egtim durumu],$K205),"")</f>
        <v/>
      </c>
      <c r="H205" s="17" t="str">
        <f>IFERROR(INDEX(Personnel[Shohruh Not],$K205),"")</f>
        <v/>
      </c>
      <c r="I205" s="18" t="str">
        <f>IFERROR(INDEX(Personnel[Дней в РФ],$K205),"")</f>
        <v/>
      </c>
      <c r="K205" s="23" t="str">
        <f t="array" ref="K205">IFERROR(_xlfn.AGGREGATE(15,6,(ROW(Personnel[Egtim durumu])-MIN(ROW(Personnel[Egtim durumu]))+1)/((Personnel[Egtim durumu]="Egitime  devem eden")+(Personnel[Egtim durumu]="Egitime alinacak")+(Personnel[Egtim durumu]="sinavi hazir")),ROWS($K$7:K205)),"")</f>
        <v/>
      </c>
    </row>
    <row r="206" spans="1:11" x14ac:dyDescent="0.25">
      <c r="A206" s="28" t="str">
        <f>IFERROR(INDEX(Personnel[Sicil],$K206),"")</f>
        <v/>
      </c>
      <c r="B206" s="29" t="str">
        <f>IFERROR(INDEX(Personnel[Adi Soyadi],$K206),"")</f>
        <v/>
      </c>
      <c r="C206" s="28" t="str">
        <f>IFERROR(INDEX(Personnel[Vatandaslik],$K206),"")</f>
        <v/>
      </c>
      <c r="D206" s="28" t="str">
        <f>IFERROR(INDEX(Personnel[Santiye],$K206),"")</f>
        <v/>
      </c>
      <c r="E206" s="28" t="str">
        <f>IFERROR(INDEX(Personnel[Ogretmen],$K206),"")</f>
        <v/>
      </c>
      <c r="F206" s="29" t="str">
        <f>IFERROR(INDEX(Personnel[[Sinav ]],$K206),"")</f>
        <v/>
      </c>
      <c r="G206" s="29" t="str">
        <f>IFERROR(INDEX(Personnel[Egtim durumu],$K206),"")</f>
        <v/>
      </c>
      <c r="H206" s="29" t="str">
        <f>IFERROR(INDEX(Personnel[Shohruh Not],$K206),"")</f>
        <v/>
      </c>
      <c r="I206" s="28" t="str">
        <f>IFERROR(INDEX(Personnel[Дней в РФ],$K206),"")</f>
        <v/>
      </c>
      <c r="K206" s="23" t="str">
        <f t="array" ref="K206">IFERROR(_xlfn.AGGREGATE(15,6,(ROW(Personnel[Egtim durumu])-MIN(ROW(Personnel[Egtim durumu]))+1)/((Personnel[Egtim durumu]="Egitime  devem eden")+(Personnel[Egtim durumu]="Egitime alinacak")+(Personnel[Egtim durumu]="sinavi hazir")),ROWS($K$7:K206)),"")</f>
        <v/>
      </c>
    </row>
    <row r="207" spans="1:11" x14ac:dyDescent="0.25">
      <c r="A207" s="18" t="str">
        <f>IFERROR(INDEX(Personnel[Sicil],$K207),"")</f>
        <v/>
      </c>
      <c r="B207" s="17" t="str">
        <f>IFERROR(INDEX(Personnel[Adi Soyadi],$K207),"")</f>
        <v/>
      </c>
      <c r="C207" s="18" t="str">
        <f>IFERROR(INDEX(Personnel[Vatandaslik],$K207),"")</f>
        <v/>
      </c>
      <c r="D207" s="18" t="str">
        <f>IFERROR(INDEX(Personnel[Santiye],$K207),"")</f>
        <v/>
      </c>
      <c r="E207" s="18" t="str">
        <f>IFERROR(INDEX(Personnel[Ogretmen],$K207),"")</f>
        <v/>
      </c>
      <c r="F207" s="17" t="str">
        <f>IFERROR(INDEX(Personnel[[Sinav ]],$K207),"")</f>
        <v/>
      </c>
      <c r="G207" s="17" t="str">
        <f>IFERROR(INDEX(Personnel[Egtim durumu],$K207),"")</f>
        <v/>
      </c>
      <c r="H207" s="17" t="str">
        <f>IFERROR(INDEX(Personnel[Shohruh Not],$K207),"")</f>
        <v/>
      </c>
      <c r="I207" s="18" t="str">
        <f>IFERROR(INDEX(Personnel[Дней в РФ],$K207),"")</f>
        <v/>
      </c>
      <c r="K207" s="23" t="str">
        <f t="array" ref="K207">IFERROR(_xlfn.AGGREGATE(15,6,(ROW(Personnel[Egtim durumu])-MIN(ROW(Personnel[Egtim durumu]))+1)/((Personnel[Egtim durumu]="Egitime  devem eden")+(Personnel[Egtim durumu]="Egitime alinacak")+(Personnel[Egtim durumu]="sinavi hazir")),ROWS($K$7:K207)),"")</f>
        <v/>
      </c>
    </row>
    <row r="208" spans="1:11" x14ac:dyDescent="0.25">
      <c r="A208" s="28" t="str">
        <f>IFERROR(INDEX(Personnel[Sicil],$K208),"")</f>
        <v/>
      </c>
      <c r="B208" s="29" t="str">
        <f>IFERROR(INDEX(Personnel[Adi Soyadi],$K208),"")</f>
        <v/>
      </c>
      <c r="C208" s="28" t="str">
        <f>IFERROR(INDEX(Personnel[Vatandaslik],$K208),"")</f>
        <v/>
      </c>
      <c r="D208" s="28" t="str">
        <f>IFERROR(INDEX(Personnel[Santiye],$K208),"")</f>
        <v/>
      </c>
      <c r="E208" s="28" t="str">
        <f>IFERROR(INDEX(Personnel[Ogretmen],$K208),"")</f>
        <v/>
      </c>
      <c r="F208" s="29" t="str">
        <f>IFERROR(INDEX(Personnel[[Sinav ]],$K208),"")</f>
        <v/>
      </c>
      <c r="G208" s="29" t="str">
        <f>IFERROR(INDEX(Personnel[Egtim durumu],$K208),"")</f>
        <v/>
      </c>
      <c r="H208" s="29" t="str">
        <f>IFERROR(INDEX(Personnel[Shohruh Not],$K208),"")</f>
        <v/>
      </c>
      <c r="I208" s="28" t="str">
        <f>IFERROR(INDEX(Personnel[Дней в РФ],$K208),"")</f>
        <v/>
      </c>
      <c r="K208" s="23" t="str">
        <f t="array" ref="K208">IFERROR(_xlfn.AGGREGATE(15,6,(ROW(Personnel[Egtim durumu])-MIN(ROW(Personnel[Egtim durumu]))+1)/((Personnel[Egtim durumu]="Egitime  devem eden")+(Personnel[Egtim durumu]="Egitime alinacak")+(Personnel[Egtim durumu]="sinavi hazir")),ROWS($K$7:K208)),"")</f>
        <v/>
      </c>
    </row>
    <row r="209" spans="1:11" x14ac:dyDescent="0.25">
      <c r="A209" s="18" t="str">
        <f>IFERROR(INDEX(Personnel[Sicil],$K209),"")</f>
        <v/>
      </c>
      <c r="B209" s="17" t="str">
        <f>IFERROR(INDEX(Personnel[Adi Soyadi],$K209),"")</f>
        <v/>
      </c>
      <c r="C209" s="18" t="str">
        <f>IFERROR(INDEX(Personnel[Vatandaslik],$K209),"")</f>
        <v/>
      </c>
      <c r="D209" s="18" t="str">
        <f>IFERROR(INDEX(Personnel[Santiye],$K209),"")</f>
        <v/>
      </c>
      <c r="E209" s="18" t="str">
        <f>IFERROR(INDEX(Personnel[Ogretmen],$K209),"")</f>
        <v/>
      </c>
      <c r="F209" s="17" t="str">
        <f>IFERROR(INDEX(Personnel[[Sinav ]],$K209),"")</f>
        <v/>
      </c>
      <c r="G209" s="17" t="str">
        <f>IFERROR(INDEX(Personnel[Egtim durumu],$K209),"")</f>
        <v/>
      </c>
      <c r="H209" s="17" t="str">
        <f>IFERROR(INDEX(Personnel[Shohruh Not],$K209),"")</f>
        <v/>
      </c>
      <c r="I209" s="18" t="str">
        <f>IFERROR(INDEX(Personnel[Дней в РФ],$K209),"")</f>
        <v/>
      </c>
      <c r="K209" s="23" t="str">
        <f t="array" ref="K209">IFERROR(_xlfn.AGGREGATE(15,6,(ROW(Personnel[Egtim durumu])-MIN(ROW(Personnel[Egtim durumu]))+1)/((Personnel[Egtim durumu]="Egitime  devem eden")+(Personnel[Egtim durumu]="Egitime alinacak")+(Personnel[Egtim durumu]="sinavi hazir")),ROWS($K$7:K209)),"")</f>
        <v/>
      </c>
    </row>
    <row r="210" spans="1:11" x14ac:dyDescent="0.25">
      <c r="A210" s="28" t="str">
        <f>IFERROR(INDEX(Personnel[Sicil],$K210),"")</f>
        <v/>
      </c>
      <c r="B210" s="29" t="str">
        <f>IFERROR(INDEX(Personnel[Adi Soyadi],$K210),"")</f>
        <v/>
      </c>
      <c r="C210" s="28" t="str">
        <f>IFERROR(INDEX(Personnel[Vatandaslik],$K210),"")</f>
        <v/>
      </c>
      <c r="D210" s="28" t="str">
        <f>IFERROR(INDEX(Personnel[Santiye],$K210),"")</f>
        <v/>
      </c>
      <c r="E210" s="28" t="str">
        <f>IFERROR(INDEX(Personnel[Ogretmen],$K210),"")</f>
        <v/>
      </c>
      <c r="F210" s="29" t="str">
        <f>IFERROR(INDEX(Personnel[[Sinav ]],$K210),"")</f>
        <v/>
      </c>
      <c r="G210" s="29" t="str">
        <f>IFERROR(INDEX(Personnel[Egtim durumu],$K210),"")</f>
        <v/>
      </c>
      <c r="H210" s="29" t="str">
        <f>IFERROR(INDEX(Personnel[Shohruh Not],$K210),"")</f>
        <v/>
      </c>
      <c r="I210" s="28" t="str">
        <f>IFERROR(INDEX(Personnel[Дней в РФ],$K210),"")</f>
        <v/>
      </c>
      <c r="K210" s="23" t="str">
        <f t="array" ref="K210">IFERROR(_xlfn.AGGREGATE(15,6,(ROW(Personnel[Egtim durumu])-MIN(ROW(Personnel[Egtim durumu]))+1)/((Personnel[Egtim durumu]="Egitime  devem eden")+(Personnel[Egtim durumu]="Egitime alinacak")+(Personnel[Egtim durumu]="sinavi hazir")),ROWS($K$7:K210)),"")</f>
        <v/>
      </c>
    </row>
    <row r="211" spans="1:11" x14ac:dyDescent="0.25">
      <c r="A211" s="18" t="str">
        <f>IFERROR(INDEX(Personnel[Sicil],$K211),"")</f>
        <v/>
      </c>
      <c r="B211" s="17" t="str">
        <f>IFERROR(INDEX(Personnel[Adi Soyadi],$K211),"")</f>
        <v/>
      </c>
      <c r="C211" s="18" t="str">
        <f>IFERROR(INDEX(Personnel[Vatandaslik],$K211),"")</f>
        <v/>
      </c>
      <c r="D211" s="18" t="str">
        <f>IFERROR(INDEX(Personnel[Santiye],$K211),"")</f>
        <v/>
      </c>
      <c r="E211" s="18" t="str">
        <f>IFERROR(INDEX(Personnel[Ogretmen],$K211),"")</f>
        <v/>
      </c>
      <c r="F211" s="17" t="str">
        <f>IFERROR(INDEX(Personnel[[Sinav ]],$K211),"")</f>
        <v/>
      </c>
      <c r="G211" s="17" t="str">
        <f>IFERROR(INDEX(Personnel[Egtim durumu],$K211),"")</f>
        <v/>
      </c>
      <c r="H211" s="17" t="str">
        <f>IFERROR(INDEX(Personnel[Shohruh Not],$K211),"")</f>
        <v/>
      </c>
      <c r="I211" s="18" t="str">
        <f>IFERROR(INDEX(Personnel[Дней в РФ],$K211),"")</f>
        <v/>
      </c>
      <c r="K211" s="23" t="str">
        <f t="array" ref="K211">IFERROR(_xlfn.AGGREGATE(15,6,(ROW(Personnel[Egtim durumu])-MIN(ROW(Personnel[Egtim durumu]))+1)/((Personnel[Egtim durumu]="Egitime  devem eden")+(Personnel[Egtim durumu]="Egitime alinacak")+(Personnel[Egtim durumu]="sinavi hazir")),ROWS($K$7:K211)),"")</f>
        <v/>
      </c>
    </row>
    <row r="212" spans="1:11" x14ac:dyDescent="0.25">
      <c r="A212" s="28" t="str">
        <f>IFERROR(INDEX(Personnel[Sicil],$K212),"")</f>
        <v/>
      </c>
      <c r="B212" s="29" t="str">
        <f>IFERROR(INDEX(Personnel[Adi Soyadi],$K212),"")</f>
        <v/>
      </c>
      <c r="C212" s="28" t="str">
        <f>IFERROR(INDEX(Personnel[Vatandaslik],$K212),"")</f>
        <v/>
      </c>
      <c r="D212" s="28" t="str">
        <f>IFERROR(INDEX(Personnel[Santiye],$K212),"")</f>
        <v/>
      </c>
      <c r="E212" s="28" t="str">
        <f>IFERROR(INDEX(Personnel[Ogretmen],$K212),"")</f>
        <v/>
      </c>
      <c r="F212" s="29" t="str">
        <f>IFERROR(INDEX(Personnel[[Sinav ]],$K212),"")</f>
        <v/>
      </c>
      <c r="G212" s="29" t="str">
        <f>IFERROR(INDEX(Personnel[Egtim durumu],$K212),"")</f>
        <v/>
      </c>
      <c r="H212" s="29" t="str">
        <f>IFERROR(INDEX(Personnel[Shohruh Not],$K212),"")</f>
        <v/>
      </c>
      <c r="I212" s="28" t="str">
        <f>IFERROR(INDEX(Personnel[Дней в РФ],$K212),"")</f>
        <v/>
      </c>
      <c r="K212" s="23" t="str">
        <f t="array" ref="K212">IFERROR(_xlfn.AGGREGATE(15,6,(ROW(Personnel[Egtim durumu])-MIN(ROW(Personnel[Egtim durumu]))+1)/((Personnel[Egtim durumu]="Egitime  devem eden")+(Personnel[Egtim durumu]="Egitime alinacak")+(Personnel[Egtim durumu]="sinavi hazir")),ROWS($K$7:K212)),"")</f>
        <v/>
      </c>
    </row>
    <row r="213" spans="1:11" x14ac:dyDescent="0.25">
      <c r="A213" s="18" t="str">
        <f>IFERROR(INDEX(Personnel[Sicil],$K213),"")</f>
        <v/>
      </c>
      <c r="B213" s="17" t="str">
        <f>IFERROR(INDEX(Personnel[Adi Soyadi],$K213),"")</f>
        <v/>
      </c>
      <c r="C213" s="18" t="str">
        <f>IFERROR(INDEX(Personnel[Vatandaslik],$K213),"")</f>
        <v/>
      </c>
      <c r="D213" s="18" t="str">
        <f>IFERROR(INDEX(Personnel[Santiye],$K213),"")</f>
        <v/>
      </c>
      <c r="E213" s="18" t="str">
        <f>IFERROR(INDEX(Personnel[Ogretmen],$K213),"")</f>
        <v/>
      </c>
      <c r="F213" s="17" t="str">
        <f>IFERROR(INDEX(Personnel[[Sinav ]],$K213),"")</f>
        <v/>
      </c>
      <c r="G213" s="17" t="str">
        <f>IFERROR(INDEX(Personnel[Egtim durumu],$K213),"")</f>
        <v/>
      </c>
      <c r="H213" s="17" t="str">
        <f>IFERROR(INDEX(Personnel[Shohruh Not],$K213),"")</f>
        <v/>
      </c>
      <c r="I213" s="18" t="str">
        <f>IFERROR(INDEX(Personnel[Дней в РФ],$K213),"")</f>
        <v/>
      </c>
      <c r="K213" s="23" t="str">
        <f t="array" ref="K213">IFERROR(_xlfn.AGGREGATE(15,6,(ROW(Personnel[Egtim durumu])-MIN(ROW(Personnel[Egtim durumu]))+1)/((Personnel[Egtim durumu]="Egitime  devem eden")+(Personnel[Egtim durumu]="Egitime alinacak")+(Personnel[Egtim durumu]="sinavi hazir")),ROWS($K$7:K213)),"")</f>
        <v/>
      </c>
    </row>
    <row r="214" spans="1:11" x14ac:dyDescent="0.25">
      <c r="A214" s="28" t="str">
        <f>IFERROR(INDEX(Personnel[Sicil],$K214),"")</f>
        <v/>
      </c>
      <c r="B214" s="29" t="str">
        <f>IFERROR(INDEX(Personnel[Adi Soyadi],$K214),"")</f>
        <v/>
      </c>
      <c r="C214" s="28" t="str">
        <f>IFERROR(INDEX(Personnel[Vatandaslik],$K214),"")</f>
        <v/>
      </c>
      <c r="D214" s="28" t="str">
        <f>IFERROR(INDEX(Personnel[Santiye],$K214),"")</f>
        <v/>
      </c>
      <c r="E214" s="28" t="str">
        <f>IFERROR(INDEX(Personnel[Ogretmen],$K214),"")</f>
        <v/>
      </c>
      <c r="F214" s="29" t="str">
        <f>IFERROR(INDEX(Personnel[[Sinav ]],$K214),"")</f>
        <v/>
      </c>
      <c r="G214" s="29" t="str">
        <f>IFERROR(INDEX(Personnel[Egtim durumu],$K214),"")</f>
        <v/>
      </c>
      <c r="H214" s="29" t="str">
        <f>IFERROR(INDEX(Personnel[Shohruh Not],$K214),"")</f>
        <v/>
      </c>
      <c r="I214" s="28" t="str">
        <f>IFERROR(INDEX(Personnel[Дней в РФ],$K214),"")</f>
        <v/>
      </c>
      <c r="K214" s="23" t="str">
        <f t="array" ref="K214">IFERROR(_xlfn.AGGREGATE(15,6,(ROW(Personnel[Egtim durumu])-MIN(ROW(Personnel[Egtim durumu]))+1)/((Personnel[Egtim durumu]="Egitime  devem eden")+(Personnel[Egtim durumu]="Egitime alinacak")+(Personnel[Egtim durumu]="sinavi hazir")),ROWS($K$7:K214)),"")</f>
        <v/>
      </c>
    </row>
    <row r="215" spans="1:11" x14ac:dyDescent="0.25">
      <c r="A215" s="18" t="str">
        <f>IFERROR(INDEX(Personnel[Sicil],$K215),"")</f>
        <v/>
      </c>
      <c r="B215" s="17" t="str">
        <f>IFERROR(INDEX(Personnel[Adi Soyadi],$K215),"")</f>
        <v/>
      </c>
      <c r="C215" s="18" t="str">
        <f>IFERROR(INDEX(Personnel[Vatandaslik],$K215),"")</f>
        <v/>
      </c>
      <c r="D215" s="18" t="str">
        <f>IFERROR(INDEX(Personnel[Santiye],$K215),"")</f>
        <v/>
      </c>
      <c r="E215" s="18" t="str">
        <f>IFERROR(INDEX(Personnel[Ogretmen],$K215),"")</f>
        <v/>
      </c>
      <c r="F215" s="17" t="str">
        <f>IFERROR(INDEX(Personnel[[Sinav ]],$K215),"")</f>
        <v/>
      </c>
      <c r="G215" s="17" t="str">
        <f>IFERROR(INDEX(Personnel[Egtim durumu],$K215),"")</f>
        <v/>
      </c>
      <c r="H215" s="17" t="str">
        <f>IFERROR(INDEX(Personnel[Shohruh Not],$K215),"")</f>
        <v/>
      </c>
      <c r="I215" s="18" t="str">
        <f>IFERROR(INDEX(Personnel[Дней в РФ],$K215),"")</f>
        <v/>
      </c>
      <c r="K215" s="23" t="str">
        <f t="array" ref="K215">IFERROR(_xlfn.AGGREGATE(15,6,(ROW(Personnel[Egtim durumu])-MIN(ROW(Personnel[Egtim durumu]))+1)/((Personnel[Egtim durumu]="Egitime  devem eden")+(Personnel[Egtim durumu]="Egitime alinacak")+(Personnel[Egtim durumu]="sinavi hazir")),ROWS($K$7:K215)),"")</f>
        <v/>
      </c>
    </row>
    <row r="216" spans="1:11" x14ac:dyDescent="0.25">
      <c r="A216" s="28" t="str">
        <f>IFERROR(INDEX(Personnel[Sicil],$K216),"")</f>
        <v/>
      </c>
      <c r="B216" s="29" t="str">
        <f>IFERROR(INDEX(Personnel[Adi Soyadi],$K216),"")</f>
        <v/>
      </c>
      <c r="C216" s="28" t="str">
        <f>IFERROR(INDEX(Personnel[Vatandaslik],$K216),"")</f>
        <v/>
      </c>
      <c r="D216" s="28" t="str">
        <f>IFERROR(INDEX(Personnel[Santiye],$K216),"")</f>
        <v/>
      </c>
      <c r="E216" s="28" t="str">
        <f>IFERROR(INDEX(Personnel[Ogretmen],$K216),"")</f>
        <v/>
      </c>
      <c r="F216" s="29" t="str">
        <f>IFERROR(INDEX(Personnel[[Sinav ]],$K216),"")</f>
        <v/>
      </c>
      <c r="G216" s="29" t="str">
        <f>IFERROR(INDEX(Personnel[Egtim durumu],$K216),"")</f>
        <v/>
      </c>
      <c r="H216" s="29" t="str">
        <f>IFERROR(INDEX(Personnel[Shohruh Not],$K216),"")</f>
        <v/>
      </c>
      <c r="I216" s="28" t="str">
        <f>IFERROR(INDEX(Personnel[Дней в РФ],$K216),"")</f>
        <v/>
      </c>
      <c r="K216" s="23" t="str">
        <f t="array" ref="K216">IFERROR(_xlfn.AGGREGATE(15,6,(ROW(Personnel[Egtim durumu])-MIN(ROW(Personnel[Egtim durumu]))+1)/((Personnel[Egtim durumu]="Egitime  devem eden")+(Personnel[Egtim durumu]="Egitime alinacak")+(Personnel[Egtim durumu]="sinavi hazir")),ROWS($K$7:K216)),"")</f>
        <v/>
      </c>
    </row>
    <row r="217" spans="1:11" x14ac:dyDescent="0.25">
      <c r="A217" s="18" t="str">
        <f>IFERROR(INDEX(Personnel[Sicil],$K217),"")</f>
        <v/>
      </c>
      <c r="B217" s="17" t="str">
        <f>IFERROR(INDEX(Personnel[Adi Soyadi],$K217),"")</f>
        <v/>
      </c>
      <c r="C217" s="18" t="str">
        <f>IFERROR(INDEX(Personnel[Vatandaslik],$K217),"")</f>
        <v/>
      </c>
      <c r="D217" s="18" t="str">
        <f>IFERROR(INDEX(Personnel[Santiye],$K217),"")</f>
        <v/>
      </c>
      <c r="E217" s="18" t="str">
        <f>IFERROR(INDEX(Personnel[Ogretmen],$K217),"")</f>
        <v/>
      </c>
      <c r="F217" s="17" t="str">
        <f>IFERROR(INDEX(Personnel[[Sinav ]],$K217),"")</f>
        <v/>
      </c>
      <c r="G217" s="17" t="str">
        <f>IFERROR(INDEX(Personnel[Egtim durumu],$K217),"")</f>
        <v/>
      </c>
      <c r="H217" s="17" t="str">
        <f>IFERROR(INDEX(Personnel[Shohruh Not],$K217),"")</f>
        <v/>
      </c>
      <c r="I217" s="18" t="str">
        <f>IFERROR(INDEX(Personnel[Дней в РФ],$K217),"")</f>
        <v/>
      </c>
      <c r="K217" s="23" t="str">
        <f t="array" ref="K217">IFERROR(_xlfn.AGGREGATE(15,6,(ROW(Personnel[Egtim durumu])-MIN(ROW(Personnel[Egtim durumu]))+1)/((Personnel[Egtim durumu]="Egitime  devem eden")+(Personnel[Egtim durumu]="Egitime alinacak")+(Personnel[Egtim durumu]="sinavi hazir")),ROWS($K$7:K217)),"")</f>
        <v/>
      </c>
    </row>
    <row r="218" spans="1:11" x14ac:dyDescent="0.25">
      <c r="A218" s="28" t="str">
        <f>IFERROR(INDEX(Personnel[Sicil],$K218),"")</f>
        <v/>
      </c>
      <c r="B218" s="29" t="str">
        <f>IFERROR(INDEX(Personnel[Adi Soyadi],$K218),"")</f>
        <v/>
      </c>
      <c r="C218" s="28" t="str">
        <f>IFERROR(INDEX(Personnel[Vatandaslik],$K218),"")</f>
        <v/>
      </c>
      <c r="D218" s="28" t="str">
        <f>IFERROR(INDEX(Personnel[Santiye],$K218),"")</f>
        <v/>
      </c>
      <c r="E218" s="28" t="str">
        <f>IFERROR(INDEX(Personnel[Ogretmen],$K218),"")</f>
        <v/>
      </c>
      <c r="F218" s="29" t="str">
        <f>IFERROR(INDEX(Personnel[[Sinav ]],$K218),"")</f>
        <v/>
      </c>
      <c r="G218" s="29" t="str">
        <f>IFERROR(INDEX(Personnel[Egtim durumu],$K218),"")</f>
        <v/>
      </c>
      <c r="H218" s="29" t="str">
        <f>IFERROR(INDEX(Personnel[Shohruh Not],$K218),"")</f>
        <v/>
      </c>
      <c r="I218" s="28" t="str">
        <f>IFERROR(INDEX(Personnel[Дней в РФ],$K218),"")</f>
        <v/>
      </c>
      <c r="K218" s="23" t="str">
        <f t="array" ref="K218">IFERROR(_xlfn.AGGREGATE(15,6,(ROW(Personnel[Egtim durumu])-MIN(ROW(Personnel[Egtim durumu]))+1)/((Personnel[Egtim durumu]="Egitime  devem eden")+(Personnel[Egtim durumu]="Egitime alinacak")+(Personnel[Egtim durumu]="sinavi hazir")),ROWS($K$7:K218)),"")</f>
        <v/>
      </c>
    </row>
    <row r="219" spans="1:11" x14ac:dyDescent="0.25">
      <c r="A219" s="18" t="str">
        <f>IFERROR(INDEX(Personnel[Sicil],$K219),"")</f>
        <v/>
      </c>
      <c r="B219" s="17" t="str">
        <f>IFERROR(INDEX(Personnel[Adi Soyadi],$K219),"")</f>
        <v/>
      </c>
      <c r="C219" s="18" t="str">
        <f>IFERROR(INDEX(Personnel[Vatandaslik],$K219),"")</f>
        <v/>
      </c>
      <c r="D219" s="18" t="str">
        <f>IFERROR(INDEX(Personnel[Santiye],$K219),"")</f>
        <v/>
      </c>
      <c r="E219" s="18" t="str">
        <f>IFERROR(INDEX(Personnel[Ogretmen],$K219),"")</f>
        <v/>
      </c>
      <c r="F219" s="17" t="str">
        <f>IFERROR(INDEX(Personnel[[Sinav ]],$K219),"")</f>
        <v/>
      </c>
      <c r="G219" s="17" t="str">
        <f>IFERROR(INDEX(Personnel[Egtim durumu],$K219),"")</f>
        <v/>
      </c>
      <c r="H219" s="17" t="str">
        <f>IFERROR(INDEX(Personnel[Shohruh Not],$K219),"")</f>
        <v/>
      </c>
      <c r="I219" s="18" t="str">
        <f>IFERROR(INDEX(Personnel[Дней в РФ],$K219),"")</f>
        <v/>
      </c>
      <c r="K219" s="23" t="str">
        <f t="array" ref="K219">IFERROR(_xlfn.AGGREGATE(15,6,(ROW(Personnel[Egtim durumu])-MIN(ROW(Personnel[Egtim durumu]))+1)/((Personnel[Egtim durumu]="Egitime  devem eden")+(Personnel[Egtim durumu]="Egitime alinacak")+(Personnel[Egtim durumu]="sinavi hazir")),ROWS($K$7:K219)),"")</f>
        <v/>
      </c>
    </row>
    <row r="220" spans="1:11" x14ac:dyDescent="0.25">
      <c r="A220" s="28" t="str">
        <f>IFERROR(INDEX(Personnel[Sicil],$K220),"")</f>
        <v/>
      </c>
      <c r="B220" s="29" t="str">
        <f>IFERROR(INDEX(Personnel[Adi Soyadi],$K220),"")</f>
        <v/>
      </c>
      <c r="C220" s="28" t="str">
        <f>IFERROR(INDEX(Personnel[Vatandaslik],$K220),"")</f>
        <v/>
      </c>
      <c r="D220" s="28" t="str">
        <f>IFERROR(INDEX(Personnel[Santiye],$K220),"")</f>
        <v/>
      </c>
      <c r="E220" s="28" t="str">
        <f>IFERROR(INDEX(Personnel[Ogretmen],$K220),"")</f>
        <v/>
      </c>
      <c r="F220" s="29" t="str">
        <f>IFERROR(INDEX(Personnel[[Sinav ]],$K220),"")</f>
        <v/>
      </c>
      <c r="G220" s="29" t="str">
        <f>IFERROR(INDEX(Personnel[Egtim durumu],$K220),"")</f>
        <v/>
      </c>
      <c r="H220" s="29" t="str">
        <f>IFERROR(INDEX(Personnel[Shohruh Not],$K220),"")</f>
        <v/>
      </c>
      <c r="I220" s="28" t="str">
        <f>IFERROR(INDEX(Personnel[Дней в РФ],$K220),"")</f>
        <v/>
      </c>
      <c r="K220" s="23" t="str">
        <f t="array" ref="K220">IFERROR(_xlfn.AGGREGATE(15,6,(ROW(Personnel[Egtim durumu])-MIN(ROW(Personnel[Egtim durumu]))+1)/((Personnel[Egtim durumu]="Egitime  devem eden")+(Personnel[Egtim durumu]="Egitime alinacak")+(Personnel[Egtim durumu]="sinavi hazir")),ROWS($K$7:K220)),"")</f>
        <v/>
      </c>
    </row>
    <row r="221" spans="1:11" x14ac:dyDescent="0.25">
      <c r="A221" s="18" t="str">
        <f>IFERROR(INDEX(Personnel[Sicil],$K221),"")</f>
        <v/>
      </c>
      <c r="B221" s="17" t="str">
        <f>IFERROR(INDEX(Personnel[Adi Soyadi],$K221),"")</f>
        <v/>
      </c>
      <c r="C221" s="18" t="str">
        <f>IFERROR(INDEX(Personnel[Vatandaslik],$K221),"")</f>
        <v/>
      </c>
      <c r="D221" s="18" t="str">
        <f>IFERROR(INDEX(Personnel[Santiye],$K221),"")</f>
        <v/>
      </c>
      <c r="E221" s="18" t="str">
        <f>IFERROR(INDEX(Personnel[Ogretmen],$K221),"")</f>
        <v/>
      </c>
      <c r="F221" s="17" t="str">
        <f>IFERROR(INDEX(Personnel[[Sinav ]],$K221),"")</f>
        <v/>
      </c>
      <c r="G221" s="17" t="str">
        <f>IFERROR(INDEX(Personnel[Egtim durumu],$K221),"")</f>
        <v/>
      </c>
      <c r="H221" s="17" t="str">
        <f>IFERROR(INDEX(Personnel[Shohruh Not],$K221),"")</f>
        <v/>
      </c>
      <c r="I221" s="18" t="str">
        <f>IFERROR(INDEX(Personnel[Дней в РФ],$K221),"")</f>
        <v/>
      </c>
      <c r="K221" s="23" t="str">
        <f t="array" ref="K221">IFERROR(_xlfn.AGGREGATE(15,6,(ROW(Personnel[Egtim durumu])-MIN(ROW(Personnel[Egtim durumu]))+1)/((Personnel[Egtim durumu]="Egitime  devem eden")+(Personnel[Egtim durumu]="Egitime alinacak")+(Personnel[Egtim durumu]="sinavi hazir")),ROWS($K$7:K221)),"")</f>
        <v/>
      </c>
    </row>
    <row r="222" spans="1:11" x14ac:dyDescent="0.25">
      <c r="A222" s="28" t="str">
        <f>IFERROR(INDEX(Personnel[Sicil],$K222),"")</f>
        <v/>
      </c>
      <c r="B222" s="29" t="str">
        <f>IFERROR(INDEX(Personnel[Adi Soyadi],$K222),"")</f>
        <v/>
      </c>
      <c r="C222" s="28" t="str">
        <f>IFERROR(INDEX(Personnel[Vatandaslik],$K222),"")</f>
        <v/>
      </c>
      <c r="D222" s="28" t="str">
        <f>IFERROR(INDEX(Personnel[Santiye],$K222),"")</f>
        <v/>
      </c>
      <c r="E222" s="28" t="str">
        <f>IFERROR(INDEX(Personnel[Ogretmen],$K222),"")</f>
        <v/>
      </c>
      <c r="F222" s="29" t="str">
        <f>IFERROR(INDEX(Personnel[[Sinav ]],$K222),"")</f>
        <v/>
      </c>
      <c r="G222" s="29" t="str">
        <f>IFERROR(INDEX(Personnel[Egtim durumu],$K222),"")</f>
        <v/>
      </c>
      <c r="H222" s="29" t="str">
        <f>IFERROR(INDEX(Personnel[Shohruh Not],$K222),"")</f>
        <v/>
      </c>
      <c r="I222" s="28" t="str">
        <f>IFERROR(INDEX(Personnel[Дней в РФ],$K222),"")</f>
        <v/>
      </c>
      <c r="K222" s="23" t="str">
        <f t="array" ref="K222">IFERROR(_xlfn.AGGREGATE(15,6,(ROW(Personnel[Egtim durumu])-MIN(ROW(Personnel[Egtim durumu]))+1)/((Personnel[Egtim durumu]="Egitime  devem eden")+(Personnel[Egtim durumu]="Egitime alinacak")+(Personnel[Egtim durumu]="sinavi hazir")),ROWS($K$7:K222)),"")</f>
        <v/>
      </c>
    </row>
    <row r="223" spans="1:11" x14ac:dyDescent="0.25">
      <c r="A223" s="18" t="str">
        <f>IFERROR(INDEX(Personnel[Sicil],$K223),"")</f>
        <v/>
      </c>
      <c r="B223" s="17" t="str">
        <f>IFERROR(INDEX(Personnel[Adi Soyadi],$K223),"")</f>
        <v/>
      </c>
      <c r="C223" s="18" t="str">
        <f>IFERROR(INDEX(Personnel[Vatandaslik],$K223),"")</f>
        <v/>
      </c>
      <c r="D223" s="18" t="str">
        <f>IFERROR(INDEX(Personnel[Santiye],$K223),"")</f>
        <v/>
      </c>
      <c r="E223" s="18" t="str">
        <f>IFERROR(INDEX(Personnel[Ogretmen],$K223),"")</f>
        <v/>
      </c>
      <c r="F223" s="17" t="str">
        <f>IFERROR(INDEX(Personnel[[Sinav ]],$K223),"")</f>
        <v/>
      </c>
      <c r="G223" s="17" t="str">
        <f>IFERROR(INDEX(Personnel[Egtim durumu],$K223),"")</f>
        <v/>
      </c>
      <c r="H223" s="17" t="str">
        <f>IFERROR(INDEX(Personnel[Shohruh Not],$K223),"")</f>
        <v/>
      </c>
      <c r="I223" s="18" t="str">
        <f>IFERROR(INDEX(Personnel[Дней в РФ],$K223),"")</f>
        <v/>
      </c>
      <c r="K223" s="23" t="str">
        <f t="array" ref="K223">IFERROR(_xlfn.AGGREGATE(15,6,(ROW(Personnel[Egtim durumu])-MIN(ROW(Personnel[Egtim durumu]))+1)/((Personnel[Egtim durumu]="Egitime  devem eden")+(Personnel[Egtim durumu]="Egitime alinacak")+(Personnel[Egtim durumu]="sinavi hazir")),ROWS($K$7:K223)),"")</f>
        <v/>
      </c>
    </row>
    <row r="224" spans="1:11" x14ac:dyDescent="0.25">
      <c r="A224" s="28" t="str">
        <f>IFERROR(INDEX(Personnel[Sicil],$K224),"")</f>
        <v/>
      </c>
      <c r="B224" s="29" t="str">
        <f>IFERROR(INDEX(Personnel[Adi Soyadi],$K224),"")</f>
        <v/>
      </c>
      <c r="C224" s="28" t="str">
        <f>IFERROR(INDEX(Personnel[Vatandaslik],$K224),"")</f>
        <v/>
      </c>
      <c r="D224" s="28" t="str">
        <f>IFERROR(INDEX(Personnel[Santiye],$K224),"")</f>
        <v/>
      </c>
      <c r="E224" s="28" t="str">
        <f>IFERROR(INDEX(Personnel[Ogretmen],$K224),"")</f>
        <v/>
      </c>
      <c r="F224" s="29" t="str">
        <f>IFERROR(INDEX(Personnel[[Sinav ]],$K224),"")</f>
        <v/>
      </c>
      <c r="G224" s="29" t="str">
        <f>IFERROR(INDEX(Personnel[Egtim durumu],$K224),"")</f>
        <v/>
      </c>
      <c r="H224" s="29" t="str">
        <f>IFERROR(INDEX(Personnel[Shohruh Not],$K224),"")</f>
        <v/>
      </c>
      <c r="I224" s="28" t="str">
        <f>IFERROR(INDEX(Personnel[Дней в РФ],$K224),"")</f>
        <v/>
      </c>
      <c r="K224" s="23" t="str">
        <f t="array" ref="K224">IFERROR(_xlfn.AGGREGATE(15,6,(ROW(Personnel[Egtim durumu])-MIN(ROW(Personnel[Egtim durumu]))+1)/((Personnel[Egtim durumu]="Egitime  devem eden")+(Personnel[Egtim durumu]="Egitime alinacak")+(Personnel[Egtim durumu]="sinavi hazir")),ROWS($K$7:K224)),"")</f>
        <v/>
      </c>
    </row>
    <row r="225" spans="1:11" x14ac:dyDescent="0.25">
      <c r="A225" s="18" t="str">
        <f>IFERROR(INDEX(Personnel[Sicil],$K225),"")</f>
        <v/>
      </c>
      <c r="B225" s="17" t="str">
        <f>IFERROR(INDEX(Personnel[Adi Soyadi],$K225),"")</f>
        <v/>
      </c>
      <c r="C225" s="18" t="str">
        <f>IFERROR(INDEX(Personnel[Vatandaslik],$K225),"")</f>
        <v/>
      </c>
      <c r="D225" s="18" t="str">
        <f>IFERROR(INDEX(Personnel[Santiye],$K225),"")</f>
        <v/>
      </c>
      <c r="E225" s="18" t="str">
        <f>IFERROR(INDEX(Personnel[Ogretmen],$K225),"")</f>
        <v/>
      </c>
      <c r="F225" s="17" t="str">
        <f>IFERROR(INDEX(Personnel[[Sinav ]],$K225),"")</f>
        <v/>
      </c>
      <c r="G225" s="17" t="str">
        <f>IFERROR(INDEX(Personnel[Egtim durumu],$K225),"")</f>
        <v/>
      </c>
      <c r="H225" s="17" t="str">
        <f>IFERROR(INDEX(Personnel[Shohruh Not],$K225),"")</f>
        <v/>
      </c>
      <c r="I225" s="18" t="str">
        <f>IFERROR(INDEX(Personnel[Дней в РФ],$K225),"")</f>
        <v/>
      </c>
      <c r="K225" s="23" t="str">
        <f t="array" ref="K225">IFERROR(_xlfn.AGGREGATE(15,6,(ROW(Personnel[Egtim durumu])-MIN(ROW(Personnel[Egtim durumu]))+1)/((Personnel[Egtim durumu]="Egitime  devem eden")+(Personnel[Egtim durumu]="Egitime alinacak")+(Personnel[Egtim durumu]="sinavi hazir")),ROWS($K$7:K225)),"")</f>
        <v/>
      </c>
    </row>
    <row r="226" spans="1:11" x14ac:dyDescent="0.25">
      <c r="A226" s="28" t="str">
        <f>IFERROR(INDEX(Personnel[Sicil],$K226),"")</f>
        <v/>
      </c>
      <c r="B226" s="29" t="str">
        <f>IFERROR(INDEX(Personnel[Adi Soyadi],$K226),"")</f>
        <v/>
      </c>
      <c r="C226" s="28" t="str">
        <f>IFERROR(INDEX(Personnel[Vatandaslik],$K226),"")</f>
        <v/>
      </c>
      <c r="D226" s="28" t="str">
        <f>IFERROR(INDEX(Personnel[Santiye],$K226),"")</f>
        <v/>
      </c>
      <c r="E226" s="28" t="str">
        <f>IFERROR(INDEX(Personnel[Ogretmen],$K226),"")</f>
        <v/>
      </c>
      <c r="F226" s="29" t="str">
        <f>IFERROR(INDEX(Personnel[[Sinav ]],$K226),"")</f>
        <v/>
      </c>
      <c r="G226" s="29" t="str">
        <f>IFERROR(INDEX(Personnel[Egtim durumu],$K226),"")</f>
        <v/>
      </c>
      <c r="H226" s="29" t="str">
        <f>IFERROR(INDEX(Personnel[Shohruh Not],$K226),"")</f>
        <v/>
      </c>
      <c r="I226" s="28" t="str">
        <f>IFERROR(INDEX(Personnel[Дней в РФ],$K226),"")</f>
        <v/>
      </c>
      <c r="K226" s="23" t="str">
        <f t="array" ref="K226">IFERROR(_xlfn.AGGREGATE(15,6,(ROW(Personnel[Egtim durumu])-MIN(ROW(Personnel[Egtim durumu]))+1)/((Personnel[Egtim durumu]="Egitime  devem eden")+(Personnel[Egtim durumu]="Egitime alinacak")+(Personnel[Egtim durumu]="sinavi hazir")),ROWS($K$7:K226)),"")</f>
        <v/>
      </c>
    </row>
    <row r="227" spans="1:11" x14ac:dyDescent="0.25">
      <c r="A227" s="18" t="str">
        <f>IFERROR(INDEX(Personnel[Sicil],$K227),"")</f>
        <v/>
      </c>
      <c r="B227" s="17" t="str">
        <f>IFERROR(INDEX(Personnel[Adi Soyadi],$K227),"")</f>
        <v/>
      </c>
      <c r="C227" s="18" t="str">
        <f>IFERROR(INDEX(Personnel[Vatandaslik],$K227),"")</f>
        <v/>
      </c>
      <c r="D227" s="18" t="str">
        <f>IFERROR(INDEX(Personnel[Santiye],$K227),"")</f>
        <v/>
      </c>
      <c r="E227" s="18" t="str">
        <f>IFERROR(INDEX(Personnel[Ogretmen],$K227),"")</f>
        <v/>
      </c>
      <c r="F227" s="17" t="str">
        <f>IFERROR(INDEX(Personnel[[Sinav ]],$K227),"")</f>
        <v/>
      </c>
      <c r="G227" s="17" t="str">
        <f>IFERROR(INDEX(Personnel[Egtim durumu],$K227),"")</f>
        <v/>
      </c>
      <c r="H227" s="17" t="str">
        <f>IFERROR(INDEX(Personnel[Shohruh Not],$K227),"")</f>
        <v/>
      </c>
      <c r="I227" s="18" t="str">
        <f>IFERROR(INDEX(Personnel[Дней в РФ],$K227),"")</f>
        <v/>
      </c>
      <c r="K227" s="23" t="str">
        <f t="array" ref="K227">IFERROR(_xlfn.AGGREGATE(15,6,(ROW(Personnel[Egtim durumu])-MIN(ROW(Personnel[Egtim durumu]))+1)/((Personnel[Egtim durumu]="Egitime  devem eden")+(Personnel[Egtim durumu]="Egitime alinacak")+(Personnel[Egtim durumu]="sinavi hazir")),ROWS($K$7:K227)),"")</f>
        <v/>
      </c>
    </row>
    <row r="228" spans="1:11" x14ac:dyDescent="0.25">
      <c r="A228" s="28" t="str">
        <f>IFERROR(INDEX(Personnel[Sicil],$K228),"")</f>
        <v/>
      </c>
      <c r="B228" s="29" t="str">
        <f>IFERROR(INDEX(Personnel[Adi Soyadi],$K228),"")</f>
        <v/>
      </c>
      <c r="C228" s="28" t="str">
        <f>IFERROR(INDEX(Personnel[Vatandaslik],$K228),"")</f>
        <v/>
      </c>
      <c r="D228" s="28" t="str">
        <f>IFERROR(INDEX(Personnel[Santiye],$K228),"")</f>
        <v/>
      </c>
      <c r="E228" s="28" t="str">
        <f>IFERROR(INDEX(Personnel[Ogretmen],$K228),"")</f>
        <v/>
      </c>
      <c r="F228" s="29" t="str">
        <f>IFERROR(INDEX(Personnel[[Sinav ]],$K228),"")</f>
        <v/>
      </c>
      <c r="G228" s="29" t="str">
        <f>IFERROR(INDEX(Personnel[Egtim durumu],$K228),"")</f>
        <v/>
      </c>
      <c r="H228" s="29" t="str">
        <f>IFERROR(INDEX(Personnel[Shohruh Not],$K228),"")</f>
        <v/>
      </c>
      <c r="I228" s="28" t="str">
        <f>IFERROR(INDEX(Personnel[Дней в РФ],$K228),"")</f>
        <v/>
      </c>
      <c r="K228" s="23" t="str">
        <f t="array" ref="K228">IFERROR(_xlfn.AGGREGATE(15,6,(ROW(Personnel[Egtim durumu])-MIN(ROW(Personnel[Egtim durumu]))+1)/((Personnel[Egtim durumu]="Egitime  devem eden")+(Personnel[Egtim durumu]="Egitime alinacak")+(Personnel[Egtim durumu]="sinavi hazir")),ROWS($K$7:K228)),"")</f>
        <v/>
      </c>
    </row>
    <row r="229" spans="1:11" x14ac:dyDescent="0.25">
      <c r="A229" s="18" t="str">
        <f>IFERROR(INDEX(Personnel[Sicil],$K229),"")</f>
        <v/>
      </c>
      <c r="B229" s="17" t="str">
        <f>IFERROR(INDEX(Personnel[Adi Soyadi],$K229),"")</f>
        <v/>
      </c>
      <c r="C229" s="18" t="str">
        <f>IFERROR(INDEX(Personnel[Vatandaslik],$K229),"")</f>
        <v/>
      </c>
      <c r="D229" s="18" t="str">
        <f>IFERROR(INDEX(Personnel[Santiye],$K229),"")</f>
        <v/>
      </c>
      <c r="E229" s="18" t="str">
        <f>IFERROR(INDEX(Personnel[Ogretmen],$K229),"")</f>
        <v/>
      </c>
      <c r="F229" s="17" t="str">
        <f>IFERROR(INDEX(Personnel[[Sinav ]],$K229),"")</f>
        <v/>
      </c>
      <c r="G229" s="17" t="str">
        <f>IFERROR(INDEX(Personnel[Egtim durumu],$K229),"")</f>
        <v/>
      </c>
      <c r="H229" s="17" t="str">
        <f>IFERROR(INDEX(Personnel[Shohruh Not],$K229),"")</f>
        <v/>
      </c>
      <c r="I229" s="18" t="str">
        <f>IFERROR(INDEX(Personnel[Дней в РФ],$K229),"")</f>
        <v/>
      </c>
      <c r="K229" s="23" t="str">
        <f t="array" ref="K229">IFERROR(_xlfn.AGGREGATE(15,6,(ROW(Personnel[Egtim durumu])-MIN(ROW(Personnel[Egtim durumu]))+1)/((Personnel[Egtim durumu]="Egitime  devem eden")+(Personnel[Egtim durumu]="Egitime alinacak")+(Personnel[Egtim durumu]="sinavi hazir")),ROWS($K$7:K229)),"")</f>
        <v/>
      </c>
    </row>
    <row r="230" spans="1:11" x14ac:dyDescent="0.25">
      <c r="A230" s="28" t="str">
        <f>IFERROR(INDEX(Personnel[Sicil],$K230),"")</f>
        <v/>
      </c>
      <c r="B230" s="29" t="str">
        <f>IFERROR(INDEX(Personnel[Adi Soyadi],$K230),"")</f>
        <v/>
      </c>
      <c r="C230" s="28" t="str">
        <f>IFERROR(INDEX(Personnel[Vatandaslik],$K230),"")</f>
        <v/>
      </c>
      <c r="D230" s="28" t="str">
        <f>IFERROR(INDEX(Personnel[Santiye],$K230),"")</f>
        <v/>
      </c>
      <c r="E230" s="28" t="str">
        <f>IFERROR(INDEX(Personnel[Ogretmen],$K230),"")</f>
        <v/>
      </c>
      <c r="F230" s="29" t="str">
        <f>IFERROR(INDEX(Personnel[[Sinav ]],$K230),"")</f>
        <v/>
      </c>
      <c r="G230" s="29" t="str">
        <f>IFERROR(INDEX(Personnel[Egtim durumu],$K230),"")</f>
        <v/>
      </c>
      <c r="H230" s="29" t="str">
        <f>IFERROR(INDEX(Personnel[Shohruh Not],$K230),"")</f>
        <v/>
      </c>
      <c r="I230" s="28" t="str">
        <f>IFERROR(INDEX(Personnel[Дней в РФ],$K230),"")</f>
        <v/>
      </c>
      <c r="K230" s="23" t="str">
        <f t="array" ref="K230">IFERROR(_xlfn.AGGREGATE(15,6,(ROW(Personnel[Egtim durumu])-MIN(ROW(Personnel[Egtim durumu]))+1)/((Personnel[Egtim durumu]="Egitime  devem eden")+(Personnel[Egtim durumu]="Egitime alinacak")+(Personnel[Egtim durumu]="sinavi hazir")),ROWS($K$7:K230)),"")</f>
        <v/>
      </c>
    </row>
    <row r="231" spans="1:11" x14ac:dyDescent="0.25">
      <c r="A231" s="18" t="str">
        <f>IFERROR(INDEX(Personnel[Sicil],$K231),"")</f>
        <v/>
      </c>
      <c r="B231" s="17" t="str">
        <f>IFERROR(INDEX(Personnel[Adi Soyadi],$K231),"")</f>
        <v/>
      </c>
      <c r="C231" s="18" t="str">
        <f>IFERROR(INDEX(Personnel[Vatandaslik],$K231),"")</f>
        <v/>
      </c>
      <c r="D231" s="18" t="str">
        <f>IFERROR(INDEX(Personnel[Santiye],$K231),"")</f>
        <v/>
      </c>
      <c r="E231" s="18" t="str">
        <f>IFERROR(INDEX(Personnel[Ogretmen],$K231),"")</f>
        <v/>
      </c>
      <c r="F231" s="17" t="str">
        <f>IFERROR(INDEX(Personnel[[Sinav ]],$K231),"")</f>
        <v/>
      </c>
      <c r="G231" s="17" t="str">
        <f>IFERROR(INDEX(Personnel[Egtim durumu],$K231),"")</f>
        <v/>
      </c>
      <c r="H231" s="17" t="str">
        <f>IFERROR(INDEX(Personnel[Shohruh Not],$K231),"")</f>
        <v/>
      </c>
      <c r="I231" s="18" t="str">
        <f>IFERROR(INDEX(Personnel[Дней в РФ],$K231),"")</f>
        <v/>
      </c>
      <c r="K231" s="23" t="str">
        <f t="array" ref="K231">IFERROR(_xlfn.AGGREGATE(15,6,(ROW(Personnel[Egtim durumu])-MIN(ROW(Personnel[Egtim durumu]))+1)/((Personnel[Egtim durumu]="Egitime  devem eden")+(Personnel[Egtim durumu]="Egitime alinacak")+(Personnel[Egtim durumu]="sinavi hazir")),ROWS($K$7:K231)),"")</f>
        <v/>
      </c>
    </row>
    <row r="232" spans="1:11" x14ac:dyDescent="0.25">
      <c r="A232" s="28" t="str">
        <f>IFERROR(INDEX(Personnel[Sicil],$K232),"")</f>
        <v/>
      </c>
      <c r="B232" s="29" t="str">
        <f>IFERROR(INDEX(Personnel[Adi Soyadi],$K232),"")</f>
        <v/>
      </c>
      <c r="C232" s="28" t="str">
        <f>IFERROR(INDEX(Personnel[Vatandaslik],$K232),"")</f>
        <v/>
      </c>
      <c r="D232" s="28" t="str">
        <f>IFERROR(INDEX(Personnel[Santiye],$K232),"")</f>
        <v/>
      </c>
      <c r="E232" s="28" t="str">
        <f>IFERROR(INDEX(Personnel[Ogretmen],$K232),"")</f>
        <v/>
      </c>
      <c r="F232" s="29" t="str">
        <f>IFERROR(INDEX(Personnel[[Sinav ]],$K232),"")</f>
        <v/>
      </c>
      <c r="G232" s="29" t="str">
        <f>IFERROR(INDEX(Personnel[Egtim durumu],$K232),"")</f>
        <v/>
      </c>
      <c r="H232" s="29" t="str">
        <f>IFERROR(INDEX(Personnel[Shohruh Not],$K232),"")</f>
        <v/>
      </c>
      <c r="I232" s="28" t="str">
        <f>IFERROR(INDEX(Personnel[Дней в РФ],$K232),"")</f>
        <v/>
      </c>
      <c r="K232" s="23" t="str">
        <f t="array" ref="K232">IFERROR(_xlfn.AGGREGATE(15,6,(ROW(Personnel[Egtim durumu])-MIN(ROW(Personnel[Egtim durumu]))+1)/((Personnel[Egtim durumu]="Egitime  devem eden")+(Personnel[Egtim durumu]="Egitime alinacak")+(Personnel[Egtim durumu]="sinavi hazir")),ROWS($K$7:K232)),"")</f>
        <v/>
      </c>
    </row>
    <row r="233" spans="1:11" x14ac:dyDescent="0.25">
      <c r="A233" s="18" t="str">
        <f>IFERROR(INDEX(Personnel[Sicil],$K233),"")</f>
        <v/>
      </c>
      <c r="B233" s="17" t="str">
        <f>IFERROR(INDEX(Personnel[Adi Soyadi],$K233),"")</f>
        <v/>
      </c>
      <c r="C233" s="18" t="str">
        <f>IFERROR(INDEX(Personnel[Vatandaslik],$K233),"")</f>
        <v/>
      </c>
      <c r="D233" s="18" t="str">
        <f>IFERROR(INDEX(Personnel[Santiye],$K233),"")</f>
        <v/>
      </c>
      <c r="E233" s="18" t="str">
        <f>IFERROR(INDEX(Personnel[Ogretmen],$K233),"")</f>
        <v/>
      </c>
      <c r="F233" s="17" t="str">
        <f>IFERROR(INDEX(Personnel[[Sinav ]],$K233),"")</f>
        <v/>
      </c>
      <c r="G233" s="17" t="str">
        <f>IFERROR(INDEX(Personnel[Egtim durumu],$K233),"")</f>
        <v/>
      </c>
      <c r="H233" s="17" t="str">
        <f>IFERROR(INDEX(Personnel[Shohruh Not],$K233),"")</f>
        <v/>
      </c>
      <c r="I233" s="18" t="str">
        <f>IFERROR(INDEX(Personnel[Дней в РФ],$K233),"")</f>
        <v/>
      </c>
      <c r="K233" s="23" t="str">
        <f t="array" ref="K233">IFERROR(_xlfn.AGGREGATE(15,6,(ROW(Personnel[Egtim durumu])-MIN(ROW(Personnel[Egtim durumu]))+1)/((Personnel[Egtim durumu]="Egitime  devem eden")+(Personnel[Egtim durumu]="Egitime alinacak")+(Personnel[Egtim durumu]="sinavi hazir")),ROWS($K$7:K233)),"")</f>
        <v/>
      </c>
    </row>
    <row r="234" spans="1:11" x14ac:dyDescent="0.25">
      <c r="A234" s="28" t="str">
        <f>IFERROR(INDEX(Personnel[Sicil],$K234),"")</f>
        <v/>
      </c>
      <c r="B234" s="29" t="str">
        <f>IFERROR(INDEX(Personnel[Adi Soyadi],$K234),"")</f>
        <v/>
      </c>
      <c r="C234" s="28" t="str">
        <f>IFERROR(INDEX(Personnel[Vatandaslik],$K234),"")</f>
        <v/>
      </c>
      <c r="D234" s="28" t="str">
        <f>IFERROR(INDEX(Personnel[Santiye],$K234),"")</f>
        <v/>
      </c>
      <c r="E234" s="28" t="str">
        <f>IFERROR(INDEX(Personnel[Ogretmen],$K234),"")</f>
        <v/>
      </c>
      <c r="F234" s="29" t="str">
        <f>IFERROR(INDEX(Personnel[[Sinav ]],$K234),"")</f>
        <v/>
      </c>
      <c r="G234" s="29" t="str">
        <f>IFERROR(INDEX(Personnel[Egtim durumu],$K234),"")</f>
        <v/>
      </c>
      <c r="H234" s="29" t="str">
        <f>IFERROR(INDEX(Personnel[Shohruh Not],$K234),"")</f>
        <v/>
      </c>
      <c r="I234" s="28" t="str">
        <f>IFERROR(INDEX(Personnel[Дней в РФ],$K234),"")</f>
        <v/>
      </c>
      <c r="K234" s="23" t="str">
        <f t="array" ref="K234">IFERROR(_xlfn.AGGREGATE(15,6,(ROW(Personnel[Egtim durumu])-MIN(ROW(Personnel[Egtim durumu]))+1)/((Personnel[Egtim durumu]="Egitime  devem eden")+(Personnel[Egtim durumu]="Egitime alinacak")+(Personnel[Egtim durumu]="sinavi hazir")),ROWS($K$7:K234)),"")</f>
        <v/>
      </c>
    </row>
    <row r="235" spans="1:11" x14ac:dyDescent="0.25">
      <c r="A235" s="18" t="str">
        <f>IFERROR(INDEX(Personnel[Sicil],$K235),"")</f>
        <v/>
      </c>
      <c r="B235" s="17" t="str">
        <f>IFERROR(INDEX(Personnel[Adi Soyadi],$K235),"")</f>
        <v/>
      </c>
      <c r="C235" s="18" t="str">
        <f>IFERROR(INDEX(Personnel[Vatandaslik],$K235),"")</f>
        <v/>
      </c>
      <c r="D235" s="18" t="str">
        <f>IFERROR(INDEX(Personnel[Santiye],$K235),"")</f>
        <v/>
      </c>
      <c r="E235" s="18" t="str">
        <f>IFERROR(INDEX(Personnel[Ogretmen],$K235),"")</f>
        <v/>
      </c>
      <c r="F235" s="17" t="str">
        <f>IFERROR(INDEX(Personnel[[Sinav ]],$K235),"")</f>
        <v/>
      </c>
      <c r="G235" s="17" t="str">
        <f>IFERROR(INDEX(Personnel[Egtim durumu],$K235),"")</f>
        <v/>
      </c>
      <c r="H235" s="17" t="str">
        <f>IFERROR(INDEX(Personnel[Shohruh Not],$K235),"")</f>
        <v/>
      </c>
      <c r="I235" s="18" t="str">
        <f>IFERROR(INDEX(Personnel[Дней в РФ],$K235),"")</f>
        <v/>
      </c>
      <c r="K235" s="23" t="str">
        <f t="array" ref="K235">IFERROR(_xlfn.AGGREGATE(15,6,(ROW(Personnel[Egtim durumu])-MIN(ROW(Personnel[Egtim durumu]))+1)/((Personnel[Egtim durumu]="Egitime  devem eden")+(Personnel[Egtim durumu]="Egitime alinacak")+(Personnel[Egtim durumu]="sinavi hazir")),ROWS($K$7:K235)),"")</f>
        <v/>
      </c>
    </row>
    <row r="236" spans="1:11" x14ac:dyDescent="0.25">
      <c r="A236" s="28" t="str">
        <f>IFERROR(INDEX(Personnel[Sicil],$K236),"")</f>
        <v/>
      </c>
      <c r="B236" s="29" t="str">
        <f>IFERROR(INDEX(Personnel[Adi Soyadi],$K236),"")</f>
        <v/>
      </c>
      <c r="C236" s="28" t="str">
        <f>IFERROR(INDEX(Personnel[Vatandaslik],$K236),"")</f>
        <v/>
      </c>
      <c r="D236" s="28" t="str">
        <f>IFERROR(INDEX(Personnel[Santiye],$K236),"")</f>
        <v/>
      </c>
      <c r="E236" s="28" t="str">
        <f>IFERROR(INDEX(Personnel[Ogretmen],$K236),"")</f>
        <v/>
      </c>
      <c r="F236" s="29" t="str">
        <f>IFERROR(INDEX(Personnel[[Sinav ]],$K236),"")</f>
        <v/>
      </c>
      <c r="G236" s="29" t="str">
        <f>IFERROR(INDEX(Personnel[Egtim durumu],$K236),"")</f>
        <v/>
      </c>
      <c r="H236" s="29" t="str">
        <f>IFERROR(INDEX(Personnel[Shohruh Not],$K236),"")</f>
        <v/>
      </c>
      <c r="I236" s="28" t="str">
        <f>IFERROR(INDEX(Personnel[Дней в РФ],$K236),"")</f>
        <v/>
      </c>
      <c r="K236" s="23" t="str">
        <f t="array" ref="K236">IFERROR(_xlfn.AGGREGATE(15,6,(ROW(Personnel[Egtim durumu])-MIN(ROW(Personnel[Egtim durumu]))+1)/((Personnel[Egtim durumu]="Egitime  devem eden")+(Personnel[Egtim durumu]="Egitime alinacak")+(Personnel[Egtim durumu]="sinavi hazir")),ROWS($K$7:K236)),"")</f>
        <v/>
      </c>
    </row>
    <row r="237" spans="1:11" x14ac:dyDescent="0.25">
      <c r="A237" s="18" t="str">
        <f>IFERROR(INDEX(Personnel[Sicil],$K237),"")</f>
        <v/>
      </c>
      <c r="B237" s="17" t="str">
        <f>IFERROR(INDEX(Personnel[Adi Soyadi],$K237),"")</f>
        <v/>
      </c>
      <c r="C237" s="18" t="str">
        <f>IFERROR(INDEX(Personnel[Vatandaslik],$K237),"")</f>
        <v/>
      </c>
      <c r="D237" s="18" t="str">
        <f>IFERROR(INDEX(Personnel[Santiye],$K237),"")</f>
        <v/>
      </c>
      <c r="E237" s="18" t="str">
        <f>IFERROR(INDEX(Personnel[Ogretmen],$K237),"")</f>
        <v/>
      </c>
      <c r="F237" s="17" t="str">
        <f>IFERROR(INDEX(Personnel[[Sinav ]],$K237),"")</f>
        <v/>
      </c>
      <c r="G237" s="17" t="str">
        <f>IFERROR(INDEX(Personnel[Egtim durumu],$K237),"")</f>
        <v/>
      </c>
      <c r="H237" s="17" t="str">
        <f>IFERROR(INDEX(Personnel[Shohruh Not],$K237),"")</f>
        <v/>
      </c>
      <c r="I237" s="18" t="str">
        <f>IFERROR(INDEX(Personnel[Дней в РФ],$K237),"")</f>
        <v/>
      </c>
      <c r="K237" s="23" t="str">
        <f t="array" ref="K237">IFERROR(_xlfn.AGGREGATE(15,6,(ROW(Personnel[Egtim durumu])-MIN(ROW(Personnel[Egtim durumu]))+1)/((Personnel[Egtim durumu]="Egitime  devem eden")+(Personnel[Egtim durumu]="Egitime alinacak")+(Personnel[Egtim durumu]="sinavi hazir")),ROWS($K$7:K237)),"")</f>
        <v/>
      </c>
    </row>
    <row r="238" spans="1:11" x14ac:dyDescent="0.25">
      <c r="A238" s="28" t="str">
        <f>IFERROR(INDEX(Personnel[Sicil],$K238),"")</f>
        <v/>
      </c>
      <c r="B238" s="29" t="str">
        <f>IFERROR(INDEX(Personnel[Adi Soyadi],$K238),"")</f>
        <v/>
      </c>
      <c r="C238" s="28" t="str">
        <f>IFERROR(INDEX(Personnel[Vatandaslik],$K238),"")</f>
        <v/>
      </c>
      <c r="D238" s="28" t="str">
        <f>IFERROR(INDEX(Personnel[Santiye],$K238),"")</f>
        <v/>
      </c>
      <c r="E238" s="28" t="str">
        <f>IFERROR(INDEX(Personnel[Ogretmen],$K238),"")</f>
        <v/>
      </c>
      <c r="F238" s="29" t="str">
        <f>IFERROR(INDEX(Personnel[[Sinav ]],$K238),"")</f>
        <v/>
      </c>
      <c r="G238" s="29" t="str">
        <f>IFERROR(INDEX(Personnel[Egtim durumu],$K238),"")</f>
        <v/>
      </c>
      <c r="H238" s="29" t="str">
        <f>IFERROR(INDEX(Personnel[Shohruh Not],$K238),"")</f>
        <v/>
      </c>
      <c r="I238" s="28" t="str">
        <f>IFERROR(INDEX(Personnel[Дней в РФ],$K238),"")</f>
        <v/>
      </c>
      <c r="K238" s="23" t="str">
        <f t="array" ref="K238">IFERROR(_xlfn.AGGREGATE(15,6,(ROW(Personnel[Egtim durumu])-MIN(ROW(Personnel[Egtim durumu]))+1)/((Personnel[Egtim durumu]="Egitime  devem eden")+(Personnel[Egtim durumu]="Egitime alinacak")+(Personnel[Egtim durumu]="sinavi hazir")),ROWS($K$7:K238)),"")</f>
        <v/>
      </c>
    </row>
    <row r="239" spans="1:11" x14ac:dyDescent="0.25">
      <c r="A239" s="18" t="str">
        <f>IFERROR(INDEX(Personnel[Sicil],$K239),"")</f>
        <v/>
      </c>
      <c r="B239" s="17" t="str">
        <f>IFERROR(INDEX(Personnel[Adi Soyadi],$K239),"")</f>
        <v/>
      </c>
      <c r="C239" s="18" t="str">
        <f>IFERROR(INDEX(Personnel[Vatandaslik],$K239),"")</f>
        <v/>
      </c>
      <c r="D239" s="18" t="str">
        <f>IFERROR(INDEX(Personnel[Santiye],$K239),"")</f>
        <v/>
      </c>
      <c r="E239" s="18" t="str">
        <f>IFERROR(INDEX(Personnel[Ogretmen],$K239),"")</f>
        <v/>
      </c>
      <c r="F239" s="17" t="str">
        <f>IFERROR(INDEX(Personnel[[Sinav ]],$K239),"")</f>
        <v/>
      </c>
      <c r="G239" s="17" t="str">
        <f>IFERROR(INDEX(Personnel[Egtim durumu],$K239),"")</f>
        <v/>
      </c>
      <c r="H239" s="17" t="str">
        <f>IFERROR(INDEX(Personnel[Shohruh Not],$K239),"")</f>
        <v/>
      </c>
      <c r="I239" s="18" t="str">
        <f>IFERROR(INDEX(Personnel[Дней в РФ],$K239),"")</f>
        <v/>
      </c>
      <c r="K239" s="23" t="str">
        <f t="array" ref="K239">IFERROR(_xlfn.AGGREGATE(15,6,(ROW(Personnel[Egtim durumu])-MIN(ROW(Personnel[Egtim durumu]))+1)/((Personnel[Egtim durumu]="Egitime  devem eden")+(Personnel[Egtim durumu]="Egitime alinacak")+(Personnel[Egtim durumu]="sinavi hazir")),ROWS($K$7:K239)),"")</f>
        <v/>
      </c>
    </row>
    <row r="240" spans="1:11" x14ac:dyDescent="0.25">
      <c r="A240" s="28" t="str">
        <f>IFERROR(INDEX(Personnel[Sicil],$K240),"")</f>
        <v/>
      </c>
      <c r="B240" s="29" t="str">
        <f>IFERROR(INDEX(Personnel[Adi Soyadi],$K240),"")</f>
        <v/>
      </c>
      <c r="C240" s="28" t="str">
        <f>IFERROR(INDEX(Personnel[Vatandaslik],$K240),"")</f>
        <v/>
      </c>
      <c r="D240" s="28" t="str">
        <f>IFERROR(INDEX(Personnel[Santiye],$K240),"")</f>
        <v/>
      </c>
      <c r="E240" s="28" t="str">
        <f>IFERROR(INDEX(Personnel[Ogretmen],$K240),"")</f>
        <v/>
      </c>
      <c r="F240" s="29" t="str">
        <f>IFERROR(INDEX(Personnel[[Sinav ]],$K240),"")</f>
        <v/>
      </c>
      <c r="G240" s="29" t="str">
        <f>IFERROR(INDEX(Personnel[Egtim durumu],$K240),"")</f>
        <v/>
      </c>
      <c r="H240" s="29" t="str">
        <f>IFERROR(INDEX(Personnel[Shohruh Not],$K240),"")</f>
        <v/>
      </c>
      <c r="I240" s="28" t="str">
        <f>IFERROR(INDEX(Personnel[Дней в РФ],$K240),"")</f>
        <v/>
      </c>
      <c r="K240" s="23" t="str">
        <f t="array" ref="K240">IFERROR(_xlfn.AGGREGATE(15,6,(ROW(Personnel[Egtim durumu])-MIN(ROW(Personnel[Egtim durumu]))+1)/((Personnel[Egtim durumu]="Egitime  devem eden")+(Personnel[Egtim durumu]="Egitime alinacak")+(Personnel[Egtim durumu]="sinavi hazir")),ROWS($K$7:K240)),"")</f>
        <v/>
      </c>
    </row>
    <row r="241" spans="1:11" x14ac:dyDescent="0.25">
      <c r="A241" s="18" t="str">
        <f>IFERROR(INDEX(Personnel[Sicil],$K241),"")</f>
        <v/>
      </c>
      <c r="B241" s="17" t="str">
        <f>IFERROR(INDEX(Personnel[Adi Soyadi],$K241),"")</f>
        <v/>
      </c>
      <c r="C241" s="18" t="str">
        <f>IFERROR(INDEX(Personnel[Vatandaslik],$K241),"")</f>
        <v/>
      </c>
      <c r="D241" s="18" t="str">
        <f>IFERROR(INDEX(Personnel[Santiye],$K241),"")</f>
        <v/>
      </c>
      <c r="E241" s="18" t="str">
        <f>IFERROR(INDEX(Personnel[Ogretmen],$K241),"")</f>
        <v/>
      </c>
      <c r="F241" s="17" t="str">
        <f>IFERROR(INDEX(Personnel[[Sinav ]],$K241),"")</f>
        <v/>
      </c>
      <c r="G241" s="17" t="str">
        <f>IFERROR(INDEX(Personnel[Egtim durumu],$K241),"")</f>
        <v/>
      </c>
      <c r="H241" s="17" t="str">
        <f>IFERROR(INDEX(Personnel[Shohruh Not],$K241),"")</f>
        <v/>
      </c>
      <c r="I241" s="18" t="str">
        <f>IFERROR(INDEX(Personnel[Дней в РФ],$K241),"")</f>
        <v/>
      </c>
      <c r="K241" s="23" t="str">
        <f t="array" ref="K241">IFERROR(_xlfn.AGGREGATE(15,6,(ROW(Personnel[Egtim durumu])-MIN(ROW(Personnel[Egtim durumu]))+1)/((Personnel[Egtim durumu]="Egitime  devem eden")+(Personnel[Egtim durumu]="Egitime alinacak")+(Personnel[Egtim durumu]="sinavi hazir")),ROWS($K$7:K241)),"")</f>
        <v/>
      </c>
    </row>
    <row r="242" spans="1:11" x14ac:dyDescent="0.25">
      <c r="A242" s="28" t="str">
        <f>IFERROR(INDEX(Personnel[Sicil],$K242),"")</f>
        <v/>
      </c>
      <c r="B242" s="29" t="str">
        <f>IFERROR(INDEX(Personnel[Adi Soyadi],$K242),"")</f>
        <v/>
      </c>
      <c r="C242" s="28" t="str">
        <f>IFERROR(INDEX(Personnel[Vatandaslik],$K242),"")</f>
        <v/>
      </c>
      <c r="D242" s="28" t="str">
        <f>IFERROR(INDEX(Personnel[Santiye],$K242),"")</f>
        <v/>
      </c>
      <c r="E242" s="28" t="str">
        <f>IFERROR(INDEX(Personnel[Ogretmen],$K242),"")</f>
        <v/>
      </c>
      <c r="F242" s="29" t="str">
        <f>IFERROR(INDEX(Personnel[[Sinav ]],$K242),"")</f>
        <v/>
      </c>
      <c r="G242" s="29" t="str">
        <f>IFERROR(INDEX(Personnel[Egtim durumu],$K242),"")</f>
        <v/>
      </c>
      <c r="H242" s="29" t="str">
        <f>IFERROR(INDEX(Personnel[Shohruh Not],$K242),"")</f>
        <v/>
      </c>
      <c r="I242" s="28" t="str">
        <f>IFERROR(INDEX(Personnel[Дней в РФ],$K242),"")</f>
        <v/>
      </c>
      <c r="K242" s="23" t="str">
        <f t="array" ref="K242">IFERROR(_xlfn.AGGREGATE(15,6,(ROW(Personnel[Egtim durumu])-MIN(ROW(Personnel[Egtim durumu]))+1)/((Personnel[Egtim durumu]="Egitime  devem eden")+(Personnel[Egtim durumu]="Egitime alinacak")+(Personnel[Egtim durumu]="sinavi hazir")),ROWS($K$7:K242)),"")</f>
        <v/>
      </c>
    </row>
    <row r="243" spans="1:11" x14ac:dyDescent="0.25">
      <c r="A243" s="18" t="str">
        <f>IFERROR(INDEX(Personnel[Sicil],$K243),"")</f>
        <v/>
      </c>
      <c r="B243" s="17" t="str">
        <f>IFERROR(INDEX(Personnel[Adi Soyadi],$K243),"")</f>
        <v/>
      </c>
      <c r="C243" s="18" t="str">
        <f>IFERROR(INDEX(Personnel[Vatandaslik],$K243),"")</f>
        <v/>
      </c>
      <c r="D243" s="18" t="str">
        <f>IFERROR(INDEX(Personnel[Santiye],$K243),"")</f>
        <v/>
      </c>
      <c r="E243" s="18" t="str">
        <f>IFERROR(INDEX(Personnel[Ogretmen],$K243),"")</f>
        <v/>
      </c>
      <c r="F243" s="17" t="str">
        <f>IFERROR(INDEX(Personnel[[Sinav ]],$K243),"")</f>
        <v/>
      </c>
      <c r="G243" s="17" t="str">
        <f>IFERROR(INDEX(Personnel[Egtim durumu],$K243),"")</f>
        <v/>
      </c>
      <c r="H243" s="17" t="str">
        <f>IFERROR(INDEX(Personnel[Shohruh Not],$K243),"")</f>
        <v/>
      </c>
      <c r="I243" s="18" t="str">
        <f>IFERROR(INDEX(Personnel[Дней в РФ],$K243),"")</f>
        <v/>
      </c>
      <c r="K243" s="23" t="str">
        <f t="array" ref="K243">IFERROR(_xlfn.AGGREGATE(15,6,(ROW(Personnel[Egtim durumu])-MIN(ROW(Personnel[Egtim durumu]))+1)/((Personnel[Egtim durumu]="Egitime  devem eden")+(Personnel[Egtim durumu]="Egitime alinacak")+(Personnel[Egtim durumu]="sinavi hazir")),ROWS($K$7:K243)),"")</f>
        <v/>
      </c>
    </row>
    <row r="244" spans="1:11" x14ac:dyDescent="0.25">
      <c r="A244" s="28" t="str">
        <f>IFERROR(INDEX(Personnel[Sicil],$K244),"")</f>
        <v/>
      </c>
      <c r="B244" s="29" t="str">
        <f>IFERROR(INDEX(Personnel[Adi Soyadi],$K244),"")</f>
        <v/>
      </c>
      <c r="C244" s="28" t="str">
        <f>IFERROR(INDEX(Personnel[Vatandaslik],$K244),"")</f>
        <v/>
      </c>
      <c r="D244" s="28" t="str">
        <f>IFERROR(INDEX(Personnel[Santiye],$K244),"")</f>
        <v/>
      </c>
      <c r="E244" s="28" t="str">
        <f>IFERROR(INDEX(Personnel[Ogretmen],$K244),"")</f>
        <v/>
      </c>
      <c r="F244" s="29" t="str">
        <f>IFERROR(INDEX(Personnel[[Sinav ]],$K244),"")</f>
        <v/>
      </c>
      <c r="G244" s="29" t="str">
        <f>IFERROR(INDEX(Personnel[Egtim durumu],$K244),"")</f>
        <v/>
      </c>
      <c r="H244" s="29" t="str">
        <f>IFERROR(INDEX(Personnel[Shohruh Not],$K244),"")</f>
        <v/>
      </c>
      <c r="I244" s="28" t="str">
        <f>IFERROR(INDEX(Personnel[Дней в РФ],$K244),"")</f>
        <v/>
      </c>
      <c r="K244" s="23" t="str">
        <f t="array" ref="K244">IFERROR(_xlfn.AGGREGATE(15,6,(ROW(Personnel[Egtim durumu])-MIN(ROW(Personnel[Egtim durumu]))+1)/((Personnel[Egtim durumu]="Egitime  devem eden")+(Personnel[Egtim durumu]="Egitime alinacak")+(Personnel[Egtim durumu]="sinavi hazir")),ROWS($K$7:K244)),"")</f>
        <v/>
      </c>
    </row>
    <row r="245" spans="1:11" x14ac:dyDescent="0.25">
      <c r="A245" s="18" t="str">
        <f>IFERROR(INDEX(Personnel[Sicil],$K245),"")</f>
        <v/>
      </c>
      <c r="B245" s="17" t="str">
        <f>IFERROR(INDEX(Personnel[Adi Soyadi],$K245),"")</f>
        <v/>
      </c>
      <c r="C245" s="18" t="str">
        <f>IFERROR(INDEX(Personnel[Vatandaslik],$K245),"")</f>
        <v/>
      </c>
      <c r="D245" s="18" t="str">
        <f>IFERROR(INDEX(Personnel[Santiye],$K245),"")</f>
        <v/>
      </c>
      <c r="E245" s="18" t="str">
        <f>IFERROR(INDEX(Personnel[Ogretmen],$K245),"")</f>
        <v/>
      </c>
      <c r="F245" s="17" t="str">
        <f>IFERROR(INDEX(Personnel[[Sinav ]],$K245),"")</f>
        <v/>
      </c>
      <c r="G245" s="17" t="str">
        <f>IFERROR(INDEX(Personnel[Egtim durumu],$K245),"")</f>
        <v/>
      </c>
      <c r="H245" s="17" t="str">
        <f>IFERROR(INDEX(Personnel[Shohruh Not],$K245),"")</f>
        <v/>
      </c>
      <c r="I245" s="18" t="str">
        <f>IFERROR(INDEX(Personnel[Дней в РФ],$K245),"")</f>
        <v/>
      </c>
      <c r="K245" s="23" t="str">
        <f t="array" ref="K245">IFERROR(_xlfn.AGGREGATE(15,6,(ROW(Personnel[Egtim durumu])-MIN(ROW(Personnel[Egtim durumu]))+1)/((Personnel[Egtim durumu]="Egitime  devem eden")+(Personnel[Egtim durumu]="Egitime alinacak")+(Personnel[Egtim durumu]="sinavi hazir")),ROWS($K$7:K245)),"")</f>
        <v/>
      </c>
    </row>
    <row r="246" spans="1:11" x14ac:dyDescent="0.25">
      <c r="A246" s="28" t="str">
        <f>IFERROR(INDEX(Personnel[Sicil],$K246),"")</f>
        <v/>
      </c>
      <c r="B246" s="29" t="str">
        <f>IFERROR(INDEX(Personnel[Adi Soyadi],$K246),"")</f>
        <v/>
      </c>
      <c r="C246" s="28" t="str">
        <f>IFERROR(INDEX(Personnel[Vatandaslik],$K246),"")</f>
        <v/>
      </c>
      <c r="D246" s="28" t="str">
        <f>IFERROR(INDEX(Personnel[Santiye],$K246),"")</f>
        <v/>
      </c>
      <c r="E246" s="28" t="str">
        <f>IFERROR(INDEX(Personnel[Ogretmen],$K246),"")</f>
        <v/>
      </c>
      <c r="F246" s="29" t="str">
        <f>IFERROR(INDEX(Personnel[[Sinav ]],$K246),"")</f>
        <v/>
      </c>
      <c r="G246" s="29" t="str">
        <f>IFERROR(INDEX(Personnel[Egtim durumu],$K246),"")</f>
        <v/>
      </c>
      <c r="H246" s="29" t="str">
        <f>IFERROR(INDEX(Personnel[Shohruh Not],$K246),"")</f>
        <v/>
      </c>
      <c r="I246" s="28" t="str">
        <f>IFERROR(INDEX(Personnel[Дней в РФ],$K246),"")</f>
        <v/>
      </c>
      <c r="K246" s="23" t="str">
        <f t="array" ref="K246">IFERROR(_xlfn.AGGREGATE(15,6,(ROW(Personnel[Egtim durumu])-MIN(ROW(Personnel[Egtim durumu]))+1)/((Personnel[Egtim durumu]="Egitime  devem eden")+(Personnel[Egtim durumu]="Egitime alinacak")+(Personnel[Egtim durumu]="sinavi hazir")),ROWS($K$7:K246)),"")</f>
        <v/>
      </c>
    </row>
    <row r="247" spans="1:11" x14ac:dyDescent="0.25">
      <c r="A247" s="18" t="str">
        <f>IFERROR(INDEX(Personnel[Sicil],$K247),"")</f>
        <v/>
      </c>
      <c r="B247" s="17" t="str">
        <f>IFERROR(INDEX(Personnel[Adi Soyadi],$K247),"")</f>
        <v/>
      </c>
      <c r="C247" s="18" t="str">
        <f>IFERROR(INDEX(Personnel[Vatandaslik],$K247),"")</f>
        <v/>
      </c>
      <c r="D247" s="18" t="str">
        <f>IFERROR(INDEX(Personnel[Santiye],$K247),"")</f>
        <v/>
      </c>
      <c r="E247" s="18" t="str">
        <f>IFERROR(INDEX(Personnel[Ogretmen],$K247),"")</f>
        <v/>
      </c>
      <c r="F247" s="17" t="str">
        <f>IFERROR(INDEX(Personnel[[Sinav ]],$K247),"")</f>
        <v/>
      </c>
      <c r="G247" s="17" t="str">
        <f>IFERROR(INDEX(Personnel[Egtim durumu],$K247),"")</f>
        <v/>
      </c>
      <c r="H247" s="17" t="str">
        <f>IFERROR(INDEX(Personnel[Shohruh Not],$K247),"")</f>
        <v/>
      </c>
      <c r="I247" s="18" t="str">
        <f>IFERROR(INDEX(Personnel[Дней в РФ],$K247),"")</f>
        <v/>
      </c>
      <c r="K247" s="23" t="str">
        <f t="array" ref="K247">IFERROR(_xlfn.AGGREGATE(15,6,(ROW(Personnel[Egtim durumu])-MIN(ROW(Personnel[Egtim durumu]))+1)/((Personnel[Egtim durumu]="Egitime  devem eden")+(Personnel[Egtim durumu]="Egitime alinacak")+(Personnel[Egtim durumu]="sinavi hazir")),ROWS($K$7:K247)),"")</f>
        <v/>
      </c>
    </row>
    <row r="248" spans="1:11" x14ac:dyDescent="0.25">
      <c r="A248" s="28" t="str">
        <f>IFERROR(INDEX(Personnel[Sicil],$K248),"")</f>
        <v/>
      </c>
      <c r="B248" s="29" t="str">
        <f>IFERROR(INDEX(Personnel[Adi Soyadi],$K248),"")</f>
        <v/>
      </c>
      <c r="C248" s="28" t="str">
        <f>IFERROR(INDEX(Personnel[Vatandaslik],$K248),"")</f>
        <v/>
      </c>
      <c r="D248" s="28" t="str">
        <f>IFERROR(INDEX(Personnel[Santiye],$K248),"")</f>
        <v/>
      </c>
      <c r="E248" s="28" t="str">
        <f>IFERROR(INDEX(Personnel[Ogretmen],$K248),"")</f>
        <v/>
      </c>
      <c r="F248" s="29" t="str">
        <f>IFERROR(INDEX(Personnel[[Sinav ]],$K248),"")</f>
        <v/>
      </c>
      <c r="G248" s="29" t="str">
        <f>IFERROR(INDEX(Personnel[Egtim durumu],$K248),"")</f>
        <v/>
      </c>
      <c r="H248" s="29" t="str">
        <f>IFERROR(INDEX(Personnel[Shohruh Not],$K248),"")</f>
        <v/>
      </c>
      <c r="I248" s="28" t="str">
        <f>IFERROR(INDEX(Personnel[Дней в РФ],$K248),"")</f>
        <v/>
      </c>
      <c r="K248" s="23" t="str">
        <f t="array" ref="K248">IFERROR(_xlfn.AGGREGATE(15,6,(ROW(Personnel[Egtim durumu])-MIN(ROW(Personnel[Egtim durumu]))+1)/((Personnel[Egtim durumu]="Egitime  devem eden")+(Personnel[Egtim durumu]="Egitime alinacak")+(Personnel[Egtim durumu]="sinavi hazir")),ROWS($K$7:K248)),"")</f>
        <v/>
      </c>
    </row>
    <row r="249" spans="1:11" x14ac:dyDescent="0.25">
      <c r="A249" s="18" t="str">
        <f>IFERROR(INDEX(Personnel[Sicil],$K249),"")</f>
        <v/>
      </c>
      <c r="B249" s="17" t="str">
        <f>IFERROR(INDEX(Personnel[Adi Soyadi],$K249),"")</f>
        <v/>
      </c>
      <c r="C249" s="18" t="str">
        <f>IFERROR(INDEX(Personnel[Vatandaslik],$K249),"")</f>
        <v/>
      </c>
      <c r="D249" s="18" t="str">
        <f>IFERROR(INDEX(Personnel[Santiye],$K249),"")</f>
        <v/>
      </c>
      <c r="E249" s="18" t="str">
        <f>IFERROR(INDEX(Personnel[Ogretmen],$K249),"")</f>
        <v/>
      </c>
      <c r="F249" s="17" t="str">
        <f>IFERROR(INDEX(Personnel[[Sinav ]],$K249),"")</f>
        <v/>
      </c>
      <c r="G249" s="17" t="str">
        <f>IFERROR(INDEX(Personnel[Egtim durumu],$K249),"")</f>
        <v/>
      </c>
      <c r="H249" s="17" t="str">
        <f>IFERROR(INDEX(Personnel[Shohruh Not],$K249),"")</f>
        <v/>
      </c>
      <c r="I249" s="18" t="str">
        <f>IFERROR(INDEX(Personnel[Дней в РФ],$K249),"")</f>
        <v/>
      </c>
      <c r="K249" s="23" t="str">
        <f t="array" ref="K249">IFERROR(_xlfn.AGGREGATE(15,6,(ROW(Personnel[Egtim durumu])-MIN(ROW(Personnel[Egtim durumu]))+1)/((Personnel[Egtim durumu]="Egitime  devem eden")+(Personnel[Egtim durumu]="Egitime alinacak")+(Personnel[Egtim durumu]="sinavi hazir")),ROWS($K$7:K249)),"")</f>
        <v/>
      </c>
    </row>
    <row r="250" spans="1:11" x14ac:dyDescent="0.25">
      <c r="A250" s="28" t="str">
        <f>IFERROR(INDEX(Personnel[Sicil],$K250),"")</f>
        <v/>
      </c>
      <c r="B250" s="29" t="str">
        <f>IFERROR(INDEX(Personnel[Adi Soyadi],$K250),"")</f>
        <v/>
      </c>
      <c r="C250" s="28" t="str">
        <f>IFERROR(INDEX(Personnel[Vatandaslik],$K250),"")</f>
        <v/>
      </c>
      <c r="D250" s="28" t="str">
        <f>IFERROR(INDEX(Personnel[Santiye],$K250),"")</f>
        <v/>
      </c>
      <c r="E250" s="28" t="str">
        <f>IFERROR(INDEX(Personnel[Ogretmen],$K250),"")</f>
        <v/>
      </c>
      <c r="F250" s="29" t="str">
        <f>IFERROR(INDEX(Personnel[[Sinav ]],$K250),"")</f>
        <v/>
      </c>
      <c r="G250" s="29" t="str">
        <f>IFERROR(INDEX(Personnel[Egtim durumu],$K250),"")</f>
        <v/>
      </c>
      <c r="H250" s="29" t="str">
        <f>IFERROR(INDEX(Personnel[Shohruh Not],$K250),"")</f>
        <v/>
      </c>
      <c r="I250" s="28" t="str">
        <f>IFERROR(INDEX(Personnel[Дней в РФ],$K250),"")</f>
        <v/>
      </c>
      <c r="K250" s="23" t="str">
        <f t="array" ref="K250">IFERROR(_xlfn.AGGREGATE(15,6,(ROW(Personnel[Egtim durumu])-MIN(ROW(Personnel[Egtim durumu]))+1)/((Personnel[Egtim durumu]="Egitime  devem eden")+(Personnel[Egtim durumu]="Egitime alinacak")+(Personnel[Egtim durumu]="sinavi hazir")),ROWS($K$7:K250)),"")</f>
        <v/>
      </c>
    </row>
    <row r="251" spans="1:11" x14ac:dyDescent="0.25">
      <c r="A251" s="18" t="str">
        <f>IFERROR(INDEX(Personnel[Sicil],$K251),"")</f>
        <v/>
      </c>
      <c r="B251" s="17" t="str">
        <f>IFERROR(INDEX(Personnel[Adi Soyadi],$K251),"")</f>
        <v/>
      </c>
      <c r="C251" s="18" t="str">
        <f>IFERROR(INDEX(Personnel[Vatandaslik],$K251),"")</f>
        <v/>
      </c>
      <c r="D251" s="18" t="str">
        <f>IFERROR(INDEX(Personnel[Santiye],$K251),"")</f>
        <v/>
      </c>
      <c r="E251" s="18" t="str">
        <f>IFERROR(INDEX(Personnel[Ogretmen],$K251),"")</f>
        <v/>
      </c>
      <c r="F251" s="17" t="str">
        <f>IFERROR(INDEX(Personnel[[Sinav ]],$K251),"")</f>
        <v/>
      </c>
      <c r="G251" s="17" t="str">
        <f>IFERROR(INDEX(Personnel[Egtim durumu],$K251),"")</f>
        <v/>
      </c>
      <c r="H251" s="17" t="str">
        <f>IFERROR(INDEX(Personnel[Shohruh Not],$K251),"")</f>
        <v/>
      </c>
      <c r="I251" s="18" t="str">
        <f>IFERROR(INDEX(Personnel[Дней в РФ],$K251),"")</f>
        <v/>
      </c>
      <c r="K251" s="23" t="str">
        <f t="array" ref="K251">IFERROR(_xlfn.AGGREGATE(15,6,(ROW(Personnel[Egtim durumu])-MIN(ROW(Personnel[Egtim durumu]))+1)/((Personnel[Egtim durumu]="Egitime  devem eden")+(Personnel[Egtim durumu]="Egitime alinacak")+(Personnel[Egtim durumu]="sinavi hazir")),ROWS($K$7:K251)),"")</f>
        <v/>
      </c>
    </row>
    <row r="252" spans="1:11" x14ac:dyDescent="0.25">
      <c r="A252" s="28" t="str">
        <f>IFERROR(INDEX(Personnel[Sicil],$K252),"")</f>
        <v/>
      </c>
      <c r="B252" s="29" t="str">
        <f>IFERROR(INDEX(Personnel[Adi Soyadi],$K252),"")</f>
        <v/>
      </c>
      <c r="C252" s="28" t="str">
        <f>IFERROR(INDEX(Personnel[Vatandaslik],$K252),"")</f>
        <v/>
      </c>
      <c r="D252" s="28" t="str">
        <f>IFERROR(INDEX(Personnel[Santiye],$K252),"")</f>
        <v/>
      </c>
      <c r="E252" s="28" t="str">
        <f>IFERROR(INDEX(Personnel[Ogretmen],$K252),"")</f>
        <v/>
      </c>
      <c r="F252" s="29" t="str">
        <f>IFERROR(INDEX(Personnel[[Sinav ]],$K252),"")</f>
        <v/>
      </c>
      <c r="G252" s="29" t="str">
        <f>IFERROR(INDEX(Personnel[Egtim durumu],$K252),"")</f>
        <v/>
      </c>
      <c r="H252" s="29" t="str">
        <f>IFERROR(INDEX(Personnel[Shohruh Not],$K252),"")</f>
        <v/>
      </c>
      <c r="I252" s="28" t="str">
        <f>IFERROR(INDEX(Personnel[Дней в РФ],$K252),"")</f>
        <v/>
      </c>
      <c r="K252" s="23" t="str">
        <f t="array" ref="K252">IFERROR(_xlfn.AGGREGATE(15,6,(ROW(Personnel[Egtim durumu])-MIN(ROW(Personnel[Egtim durumu]))+1)/((Personnel[Egtim durumu]="Egitime  devem eden")+(Personnel[Egtim durumu]="Egitime alinacak")+(Personnel[Egtim durumu]="sinavi hazir")),ROWS($K$7:K252)),"")</f>
        <v/>
      </c>
    </row>
    <row r="253" spans="1:11" x14ac:dyDescent="0.25">
      <c r="A253" s="18" t="str">
        <f>IFERROR(INDEX(Personnel[Sicil],$K253),"")</f>
        <v/>
      </c>
      <c r="B253" s="17" t="str">
        <f>IFERROR(INDEX(Personnel[Adi Soyadi],$K253),"")</f>
        <v/>
      </c>
      <c r="C253" s="18" t="str">
        <f>IFERROR(INDEX(Personnel[Vatandaslik],$K253),"")</f>
        <v/>
      </c>
      <c r="D253" s="18" t="str">
        <f>IFERROR(INDEX(Personnel[Santiye],$K253),"")</f>
        <v/>
      </c>
      <c r="E253" s="18" t="str">
        <f>IFERROR(INDEX(Personnel[Ogretmen],$K253),"")</f>
        <v/>
      </c>
      <c r="F253" s="17" t="str">
        <f>IFERROR(INDEX(Personnel[[Sinav ]],$K253),"")</f>
        <v/>
      </c>
      <c r="G253" s="17" t="str">
        <f>IFERROR(INDEX(Personnel[Egtim durumu],$K253),"")</f>
        <v/>
      </c>
      <c r="H253" s="17" t="str">
        <f>IFERROR(INDEX(Personnel[Shohruh Not],$K253),"")</f>
        <v/>
      </c>
      <c r="I253" s="18" t="str">
        <f>IFERROR(INDEX(Personnel[Дней в РФ],$K253),"")</f>
        <v/>
      </c>
      <c r="K253" s="23" t="str">
        <f t="array" ref="K253">IFERROR(_xlfn.AGGREGATE(15,6,(ROW(Personnel[Egtim durumu])-MIN(ROW(Personnel[Egtim durumu]))+1)/((Personnel[Egtim durumu]="Egitime  devem eden")+(Personnel[Egtim durumu]="Egitime alinacak")+(Personnel[Egtim durumu]="sinavi hazir")),ROWS($K$7:K253)),"")</f>
        <v/>
      </c>
    </row>
    <row r="254" spans="1:11" x14ac:dyDescent="0.25">
      <c r="A254" s="28" t="str">
        <f>IFERROR(INDEX(Personnel[Sicil],$K254),"")</f>
        <v/>
      </c>
      <c r="B254" s="29" t="str">
        <f>IFERROR(INDEX(Personnel[Adi Soyadi],$K254),"")</f>
        <v/>
      </c>
      <c r="C254" s="28" t="str">
        <f>IFERROR(INDEX(Personnel[Vatandaslik],$K254),"")</f>
        <v/>
      </c>
      <c r="D254" s="28" t="str">
        <f>IFERROR(INDEX(Personnel[Santiye],$K254),"")</f>
        <v/>
      </c>
      <c r="E254" s="28" t="str">
        <f>IFERROR(INDEX(Personnel[Ogretmen],$K254),"")</f>
        <v/>
      </c>
      <c r="F254" s="29" t="str">
        <f>IFERROR(INDEX(Personnel[[Sinav ]],$K254),"")</f>
        <v/>
      </c>
      <c r="G254" s="29" t="str">
        <f>IFERROR(INDEX(Personnel[Egtim durumu],$K254),"")</f>
        <v/>
      </c>
      <c r="H254" s="29" t="str">
        <f>IFERROR(INDEX(Personnel[Shohruh Not],$K254),"")</f>
        <v/>
      </c>
      <c r="I254" s="28" t="str">
        <f>IFERROR(INDEX(Personnel[Дней в РФ],$K254),"")</f>
        <v/>
      </c>
      <c r="K254" s="23" t="str">
        <f t="array" ref="K254">IFERROR(_xlfn.AGGREGATE(15,6,(ROW(Personnel[Egtim durumu])-MIN(ROW(Personnel[Egtim durumu]))+1)/((Personnel[Egtim durumu]="Egitime  devem eden")+(Personnel[Egtim durumu]="Egitime alinacak")+(Personnel[Egtim durumu]="sinavi hazir")),ROWS($K$7:K254)),"")</f>
        <v/>
      </c>
    </row>
    <row r="255" spans="1:11" x14ac:dyDescent="0.25">
      <c r="A255" s="18" t="str">
        <f>IFERROR(INDEX(Personnel[Sicil],$K255),"")</f>
        <v/>
      </c>
      <c r="B255" s="17" t="str">
        <f>IFERROR(INDEX(Personnel[Adi Soyadi],$K255),"")</f>
        <v/>
      </c>
      <c r="C255" s="18" t="str">
        <f>IFERROR(INDEX(Personnel[Vatandaslik],$K255),"")</f>
        <v/>
      </c>
      <c r="D255" s="18" t="str">
        <f>IFERROR(INDEX(Personnel[Santiye],$K255),"")</f>
        <v/>
      </c>
      <c r="E255" s="18" t="str">
        <f>IFERROR(INDEX(Personnel[Ogretmen],$K255),"")</f>
        <v/>
      </c>
      <c r="F255" s="17" t="str">
        <f>IFERROR(INDEX(Personnel[[Sinav ]],$K255),"")</f>
        <v/>
      </c>
      <c r="G255" s="17" t="str">
        <f>IFERROR(INDEX(Personnel[Egtim durumu],$K255),"")</f>
        <v/>
      </c>
      <c r="H255" s="17" t="str">
        <f>IFERROR(INDEX(Personnel[Shohruh Not],$K255),"")</f>
        <v/>
      </c>
      <c r="I255" s="18" t="str">
        <f>IFERROR(INDEX(Personnel[Дней в РФ],$K255),"")</f>
        <v/>
      </c>
      <c r="K255" s="23" t="str">
        <f t="array" ref="K255">IFERROR(_xlfn.AGGREGATE(15,6,(ROW(Personnel[Egtim durumu])-MIN(ROW(Personnel[Egtim durumu]))+1)/((Personnel[Egtim durumu]="Egitime  devem eden")+(Personnel[Egtim durumu]="Egitime alinacak")+(Personnel[Egtim durumu]="sinavi hazir")),ROWS($K$7:K255)),"")</f>
        <v/>
      </c>
    </row>
    <row r="256" spans="1:11" x14ac:dyDescent="0.25">
      <c r="A256" s="28" t="str">
        <f>IFERROR(INDEX(Personnel[Sicil],$K256),"")</f>
        <v/>
      </c>
      <c r="B256" s="29" t="str">
        <f>IFERROR(INDEX(Personnel[Adi Soyadi],$K256),"")</f>
        <v/>
      </c>
      <c r="C256" s="28" t="str">
        <f>IFERROR(INDEX(Personnel[Vatandaslik],$K256),"")</f>
        <v/>
      </c>
      <c r="D256" s="28" t="str">
        <f>IFERROR(INDEX(Personnel[Santiye],$K256),"")</f>
        <v/>
      </c>
      <c r="E256" s="28" t="str">
        <f>IFERROR(INDEX(Personnel[Ogretmen],$K256),"")</f>
        <v/>
      </c>
      <c r="F256" s="29" t="str">
        <f>IFERROR(INDEX(Personnel[[Sinav ]],$K256),"")</f>
        <v/>
      </c>
      <c r="G256" s="29" t="str">
        <f>IFERROR(INDEX(Personnel[Egtim durumu],$K256),"")</f>
        <v/>
      </c>
      <c r="H256" s="29" t="str">
        <f>IFERROR(INDEX(Personnel[Shohruh Not],$K256),"")</f>
        <v/>
      </c>
      <c r="I256" s="28" t="str">
        <f>IFERROR(INDEX(Personnel[Дней в РФ],$K256),"")</f>
        <v/>
      </c>
      <c r="K256" s="23" t="str">
        <f t="array" ref="K256">IFERROR(_xlfn.AGGREGATE(15,6,(ROW(Personnel[Egtim durumu])-MIN(ROW(Personnel[Egtim durumu]))+1)/((Personnel[Egtim durumu]="Egitime  devem eden")+(Personnel[Egtim durumu]="Egitime alinacak")+(Personnel[Egtim durumu]="sinavi hazir")),ROWS($K$7:K256)),"")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D35400"/>
  </sheetPr>
  <dimension ref="A1:K156"/>
  <sheetViews>
    <sheetView showGridLines="0" zoomScaleNormal="100" workbookViewId="0">
      <pane ySplit="6" topLeftCell="A7" activePane="bottomLeft" state="frozen"/>
      <selection activeCell="F30" sqref="F30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90" t="s">
        <v>1805</v>
      </c>
      <c r="B1" s="90"/>
      <c r="C1" s="90"/>
    </row>
    <row r="3" spans="1:11" ht="21" x14ac:dyDescent="0.35">
      <c r="A3" s="91" t="s">
        <v>1817</v>
      </c>
      <c r="B3" s="91"/>
      <c r="C3" s="91"/>
      <c r="D3" s="91"/>
      <c r="E3" s="91"/>
      <c r="F3" s="91"/>
      <c r="G3" s="91"/>
      <c r="H3" s="91"/>
    </row>
    <row r="4" spans="1:11" x14ac:dyDescent="0.25">
      <c r="A4" s="85" t="s">
        <v>1818</v>
      </c>
      <c r="B4" s="85"/>
      <c r="C4" s="85"/>
      <c r="D4" s="85"/>
      <c r="E4" s="85"/>
      <c r="F4" s="85"/>
      <c r="G4" s="85"/>
      <c r="H4" s="85"/>
    </row>
    <row r="5" spans="1:11" x14ac:dyDescent="0.25">
      <c r="A5" s="92" t="str">
        <f>"Найдено записей: "&amp;COUNTIF(Personnel[Egtim durumu],"sinavi hazir")</f>
        <v>Найдено записей: 23</v>
      </c>
      <c r="B5" s="92"/>
      <c r="C5" s="92"/>
      <c r="D5" s="92"/>
      <c r="E5" s="92"/>
      <c r="F5" s="92"/>
      <c r="G5" s="92"/>
      <c r="H5" s="92"/>
    </row>
    <row r="6" spans="1:11" ht="27.75" customHeight="1" x14ac:dyDescent="0.25">
      <c r="A6" s="31" t="s">
        <v>1808</v>
      </c>
      <c r="B6" s="31" t="s">
        <v>1809</v>
      </c>
      <c r="C6" s="31" t="s">
        <v>1784</v>
      </c>
      <c r="D6" s="31" t="s">
        <v>1810</v>
      </c>
      <c r="E6" s="31" t="s">
        <v>1811</v>
      </c>
      <c r="F6" s="31" t="s">
        <v>1812</v>
      </c>
      <c r="G6" s="31" t="s">
        <v>1813</v>
      </c>
      <c r="H6" s="31" t="s">
        <v>1814</v>
      </c>
      <c r="I6" s="31" t="s">
        <v>24</v>
      </c>
    </row>
    <row r="7" spans="1:11" ht="25.5" x14ac:dyDescent="0.25">
      <c r="A7" s="18">
        <f>IFERROR(INDEX(Personnel[Sicil],$K7),"")</f>
        <v>646665</v>
      </c>
      <c r="B7" s="17" t="str">
        <f>IFERROR(INDEX(Personnel[Adi Soyadi],$K7),"")</f>
        <v>Абдужалилов Отабек Фарход Угли</v>
      </c>
      <c r="C7" s="18" t="str">
        <f>IFERROR(INDEX(Personnel[Vatandaslik],$K7),"")</f>
        <v>УЗБЕКИСТАН</v>
      </c>
      <c r="D7" s="18" t="str">
        <f>IFERROR(INDEX(Personnel[Santiye],$K7),"")</f>
        <v>GPP Proje</v>
      </c>
      <c r="E7" s="18" t="str">
        <f>IFERROR(INDEX(Personnel[Ogretmen],$K7),"")</f>
        <v>Ziazetdinov Arslan / Ziazetdinov Arslan</v>
      </c>
      <c r="F7" s="17" t="str">
        <f>IFERROR(INDEX(Personnel[[Sinav ]],$K7),"")</f>
        <v>Ic testimizden gecemedi 08.08.2026 /Ic testimizden gecemedi 11.08.2026</v>
      </c>
      <c r="G7" s="17" t="str">
        <f>IFERROR(INDEX(Personnel[Egtim durumu],$K7),"")</f>
        <v>sinavi hazir</v>
      </c>
      <c r="H7" s="17" t="str">
        <f>IFERROR(INDEX(Personnel[Shohruh Not],$K7),"")</f>
        <v>kedi hisabindan</v>
      </c>
      <c r="I7" s="22">
        <f ca="1">IFERROR(INDEX(Personnel[Дней в РФ],$K7),"")</f>
        <v>20</v>
      </c>
      <c r="K7" s="23">
        <f t="array" ref="K7">IFERROR(_xlfn.AGGREGATE(15,6,(ROW(Personnel[Egtim durumu])-MIN(ROW(Personnel[Egtim durumu]))+1)/((Personnel[Egtim durumu]="sinavi hazir")),ROWS($K$7:K7)),"")</f>
        <v>689</v>
      </c>
    </row>
    <row r="8" spans="1:11" x14ac:dyDescent="0.25">
      <c r="A8" s="32">
        <f>IFERROR(INDEX(Personnel[Sicil],$K8),"")</f>
        <v>580765</v>
      </c>
      <c r="B8" s="33" t="str">
        <f>IFERROR(INDEX(Personnel[Adi Soyadi],$K8),"")</f>
        <v>Муродзода Маснун Нурмурод</v>
      </c>
      <c r="C8" s="32" t="str">
        <f>IFERROR(INDEX(Personnel[Vatandaslik],$K8),"")</f>
        <v>ТАДЖИКИСТАН</v>
      </c>
      <c r="D8" s="32" t="str">
        <f>IFERROR(INDEX(Personnel[Santiye],$K8),"")</f>
        <v>GPP Proje (TSF)</v>
      </c>
      <c r="E8" s="32" t="str">
        <f>IFERROR(INDEX(Personnel[Ogretmen],$K8),"")</f>
        <v xml:space="preserve">Ziazetdinov Arslan </v>
      </c>
      <c r="F8" s="33" t="str">
        <f>IFERROR(INDEX(Personnel[[Sinav ]],$K8),"")</f>
        <v>17.08.2026 Sineva gitti gecemedi.</v>
      </c>
      <c r="G8" s="33" t="str">
        <f>IFERROR(INDEX(Personnel[Egtim durumu],$K8),"")</f>
        <v>sinavi hazir</v>
      </c>
      <c r="H8" s="33" t="str">
        <f>IFERROR(INDEX(Personnel[Shohruh Not],$K8),"")</f>
        <v>-</v>
      </c>
      <c r="I8" s="34">
        <f ca="1">IFERROR(INDEX(Personnel[Дней в РФ],$K8),"")</f>
        <v>22</v>
      </c>
      <c r="K8" s="23">
        <f t="array" ref="K8">IFERROR(_xlfn.AGGREGATE(15,6,(ROW(Personnel[Egtim durumu])-MIN(ROW(Personnel[Egtim durumu]))+1)/((Personnel[Egtim durumu]="sinavi hazir")),ROWS($K$7:K8)),"")</f>
        <v>700</v>
      </c>
    </row>
    <row r="9" spans="1:11" x14ac:dyDescent="0.25">
      <c r="A9" s="18">
        <f>IFERROR(INDEX(Personnel[Sicil],$K9),"")</f>
        <v>646678</v>
      </c>
      <c r="B9" s="17" t="str">
        <f>IFERROR(INDEX(Personnel[Adi Soyadi],$K9),"")</f>
        <v>Акабаев Тулкин Адашбаевич</v>
      </c>
      <c r="C9" s="18" t="str">
        <f>IFERROR(INDEX(Personnel[Vatandaslik],$K9),"")</f>
        <v>УЗБЕКИСТАН</v>
      </c>
      <c r="D9" s="18" t="str">
        <f>IFERROR(INDEX(Personnel[Santiye],$K9),"")</f>
        <v>GPP Proje</v>
      </c>
      <c r="E9" s="18" t="str">
        <f>IFERROR(INDEX(Personnel[Ogretmen],$K9),"")</f>
        <v>Ziazetdinov Arslan / Ziazetdinov Arslan</v>
      </c>
      <c r="F9" s="17" t="str">
        <f>IFERROR(INDEX(Personnel[[Sinav ]],$K9),"")</f>
        <v>Ic testimizden gecemedi 11.08.2026</v>
      </c>
      <c r="G9" s="17" t="str">
        <f>IFERROR(INDEX(Personnel[Egtim durumu],$K9),"")</f>
        <v>sinavi hazir</v>
      </c>
      <c r="H9" s="17" t="str">
        <f>IFERROR(INDEX(Personnel[Shohruh Not],$K9),"")</f>
        <v>-</v>
      </c>
      <c r="I9" s="22">
        <f ca="1">IFERROR(INDEX(Personnel[Дней в РФ],$K9),"")</f>
        <v>18</v>
      </c>
      <c r="K9" s="23">
        <f t="array" ref="K9">IFERROR(_xlfn.AGGREGATE(15,6,(ROW(Personnel[Egtim durumu])-MIN(ROW(Personnel[Egtim durumu]))+1)/((Personnel[Egtim durumu]="sinavi hazir")),ROWS($K$7:K9)),"")</f>
        <v>707</v>
      </c>
    </row>
    <row r="10" spans="1:11" x14ac:dyDescent="0.25">
      <c r="A10" s="32">
        <f>IFERROR(INDEX(Personnel[Sicil],$K10),"")</f>
        <v>646687</v>
      </c>
      <c r="B10" s="33" t="str">
        <f>IFERROR(INDEX(Personnel[Adi Soyadi],$K10),"")</f>
        <v>Исматиллаев Обид Исматилла Угли</v>
      </c>
      <c r="C10" s="32" t="str">
        <f>IFERROR(INDEX(Personnel[Vatandaslik],$K10),"")</f>
        <v>УЗБЕКИСТАН</v>
      </c>
      <c r="D10" s="32" t="str">
        <f>IFERROR(INDEX(Personnel[Santiye],$K10),"")</f>
        <v>GPP Proje</v>
      </c>
      <c r="E10" s="32" t="str">
        <f>IFERROR(INDEX(Personnel[Ogretmen],$K10),"")</f>
        <v>Ziazetdinov Arslan / Ziazetdinov Arslan</v>
      </c>
      <c r="F10" s="33" t="str">
        <f>IFERROR(INDEX(Personnel[[Sinav ]],$K10),"")</f>
        <v>Ic testimizden gecemedi 11.08.2026</v>
      </c>
      <c r="G10" s="33" t="str">
        <f>IFERROR(INDEX(Personnel[Egtim durumu],$K10),"")</f>
        <v>sinavi hazir</v>
      </c>
      <c r="H10" s="33" t="str">
        <f>IFERROR(INDEX(Personnel[Shohruh Not],$K10),"")</f>
        <v>-</v>
      </c>
      <c r="I10" s="34">
        <f ca="1">IFERROR(INDEX(Personnel[Дней в РФ],$K10),"")</f>
        <v>18</v>
      </c>
      <c r="K10" s="23">
        <f t="array" ref="K10">IFERROR(_xlfn.AGGREGATE(15,6,(ROW(Personnel[Egtim durumu])-MIN(ROW(Personnel[Egtim durumu]))+1)/((Personnel[Egtim durumu]="sinavi hazir")),ROWS($K$7:K10)),"")</f>
        <v>708</v>
      </c>
    </row>
    <row r="11" spans="1:11" x14ac:dyDescent="0.25">
      <c r="A11" s="18">
        <f>IFERROR(INDEX(Personnel[Sicil],$K11),"")</f>
        <v>646690</v>
      </c>
      <c r="B11" s="17" t="str">
        <f>IFERROR(INDEX(Personnel[Adi Soyadi],$K11),"")</f>
        <v>Курбонов Журабек Зайнидинович</v>
      </c>
      <c r="C11" s="18" t="str">
        <f>IFERROR(INDEX(Personnel[Vatandaslik],$K11),"")</f>
        <v>УЗБЕКИСТАН</v>
      </c>
      <c r="D11" s="18" t="str">
        <f>IFERROR(INDEX(Personnel[Santiye],$K11),"")</f>
        <v>GPP Proje</v>
      </c>
      <c r="E11" s="18" t="str">
        <f>IFERROR(INDEX(Personnel[Ogretmen],$K11),"")</f>
        <v>Ziazetdinov Arslan / Ziazetdinov Arslan</v>
      </c>
      <c r="F11" s="17" t="str">
        <f>IFERROR(INDEX(Personnel[[Sinav ]],$K11),"")</f>
        <v>17.08.2026 Sineva gitti gecemedi.</v>
      </c>
      <c r="G11" s="17" t="str">
        <f>IFERROR(INDEX(Personnel[Egtim durumu],$K11),"")</f>
        <v>sinavi hazir</v>
      </c>
      <c r="H11" s="17" t="str">
        <f>IFERROR(INDEX(Personnel[Shohruh Not],$K11),"")</f>
        <v>-</v>
      </c>
      <c r="I11" s="22">
        <f ca="1">IFERROR(INDEX(Personnel[Дней в РФ],$K11),"")</f>
        <v>18</v>
      </c>
      <c r="K11" s="23">
        <f t="array" ref="K11">IFERROR(_xlfn.AGGREGATE(15,6,(ROW(Personnel[Egtim durumu])-MIN(ROW(Personnel[Egtim durumu]))+1)/((Personnel[Egtim durumu]="sinavi hazir")),ROWS($K$7:K11)),"")</f>
        <v>710</v>
      </c>
    </row>
    <row r="12" spans="1:11" ht="25.5" x14ac:dyDescent="0.25">
      <c r="A12" s="32">
        <f>IFERROR(INDEX(Personnel[Sicil],$K12),"")</f>
        <v>646688</v>
      </c>
      <c r="B12" s="33" t="str">
        <f>IFERROR(INDEX(Personnel[Adi Soyadi],$K12),"")</f>
        <v>Лукмонов Жамолиддин Тоштемирович</v>
      </c>
      <c r="C12" s="32" t="str">
        <f>IFERROR(INDEX(Personnel[Vatandaslik],$K12),"")</f>
        <v>УЗБЕКИСТАН</v>
      </c>
      <c r="D12" s="32" t="str">
        <f>IFERROR(INDEX(Personnel[Santiye],$K12),"")</f>
        <v>GPP Proje</v>
      </c>
      <c r="E12" s="32" t="str">
        <f>IFERROR(INDEX(Personnel[Ogretmen],$K12),"")</f>
        <v>Ziazetdinov Arslan / Ziazetdinov Arslan</v>
      </c>
      <c r="F12" s="33" t="str">
        <f>IFERROR(INDEX(Personnel[[Sinav ]],$K12),"")</f>
        <v>Ic testimizden gecemedi 11.08.2026</v>
      </c>
      <c r="G12" s="33" t="str">
        <f>IFERROR(INDEX(Personnel[Egtim durumu],$K12),"")</f>
        <v>sinavi hazir</v>
      </c>
      <c r="H12" s="33" t="str">
        <f>IFERROR(INDEX(Personnel[Shohruh Not],$K12),"")</f>
        <v>-</v>
      </c>
      <c r="I12" s="34">
        <f ca="1">IFERROR(INDEX(Personnel[Дней в РФ],$K12),"")</f>
        <v>18</v>
      </c>
      <c r="K12" s="23">
        <f t="array" ref="K12">IFERROR(_xlfn.AGGREGATE(15,6,(ROW(Personnel[Egtim durumu])-MIN(ROW(Personnel[Egtim durumu]))+1)/((Personnel[Egtim durumu]="sinavi hazir")),ROWS($K$7:K12)),"")</f>
        <v>711</v>
      </c>
    </row>
    <row r="13" spans="1:11" x14ac:dyDescent="0.25">
      <c r="A13" s="18">
        <f>IFERROR(INDEX(Personnel[Sicil],$K13),"")</f>
        <v>646679</v>
      </c>
      <c r="B13" s="17" t="str">
        <f>IFERROR(INDEX(Personnel[Adi Soyadi],$K13),"")</f>
        <v>Некбаев Бекмирза Хамидович</v>
      </c>
      <c r="C13" s="18" t="str">
        <f>IFERROR(INDEX(Personnel[Vatandaslik],$K13),"")</f>
        <v>УЗБЕКИСТАН</v>
      </c>
      <c r="D13" s="18" t="str">
        <f>IFERROR(INDEX(Personnel[Santiye],$K13),"")</f>
        <v>GPP Proje</v>
      </c>
      <c r="E13" s="18" t="str">
        <f>IFERROR(INDEX(Personnel[Ogretmen],$K13),"")</f>
        <v>Ziazetdinov Arslan / Ziazetdinov Arslan</v>
      </c>
      <c r="F13" s="17" t="str">
        <f>IFERROR(INDEX(Personnel[[Sinav ]],$K13),"")</f>
        <v>Ic testimizden gecemedi 11.08.2026</v>
      </c>
      <c r="G13" s="17" t="str">
        <f>IFERROR(INDEX(Personnel[Egtim durumu],$K13),"")</f>
        <v>sinavi hazir</v>
      </c>
      <c r="H13" s="17" t="str">
        <f>IFERROR(INDEX(Personnel[Shohruh Not],$K13),"")</f>
        <v>-</v>
      </c>
      <c r="I13" s="22">
        <f ca="1">IFERROR(INDEX(Personnel[Дней в РФ],$K13),"")</f>
        <v>18</v>
      </c>
      <c r="K13" s="23">
        <f t="array" ref="K13">IFERROR(_xlfn.AGGREGATE(15,6,(ROW(Personnel[Egtim durumu])-MIN(ROW(Personnel[Egtim durumu]))+1)/((Personnel[Egtim durumu]="sinavi hazir")),ROWS($K$7:K13)),"")</f>
        <v>712</v>
      </c>
    </row>
    <row r="14" spans="1:11" ht="38.25" x14ac:dyDescent="0.25">
      <c r="A14" s="32">
        <f>IFERROR(INDEX(Personnel[Sicil],$K14),"")</f>
        <v>646682</v>
      </c>
      <c r="B14" s="33" t="str">
        <f>IFERROR(INDEX(Personnel[Adi Soyadi],$K14),"")</f>
        <v>Хожикулов Кувончбек Чориевич</v>
      </c>
      <c r="C14" s="32" t="str">
        <f>IFERROR(INDEX(Personnel[Vatandaslik],$K14),"")</f>
        <v>УЗБЕКИСТАН</v>
      </c>
      <c r="D14" s="32" t="str">
        <f>IFERROR(INDEX(Personnel[Santiye],$K14),"")</f>
        <v>GPP Proje</v>
      </c>
      <c r="E14" s="32" t="str">
        <f>IFERROR(INDEX(Personnel[Ogretmen],$K14),"")</f>
        <v>Ziazetdinov Arslan / Ziazetdinov Arslan</v>
      </c>
      <c r="F14" s="33" t="str">
        <f>IFERROR(INDEX(Personnel[[Sinav ]],$K14),"")</f>
        <v>Ic testimizden gecemedi 08.08.2026 /Ic testimizden gecemedi 11.08.2026 /19.08.2026 Sineva gitti gecemedi</v>
      </c>
      <c r="G14" s="33" t="str">
        <f>IFERROR(INDEX(Personnel[Egtim durumu],$K14),"")</f>
        <v>sinavi hazir</v>
      </c>
      <c r="H14" s="33" t="str">
        <f>IFERROR(INDEX(Personnel[Shohruh Not],$K14),"")</f>
        <v>kedi hisabindan</v>
      </c>
      <c r="I14" s="34">
        <f ca="1">IFERROR(INDEX(Personnel[Дней в РФ],$K14),"")</f>
        <v>19</v>
      </c>
      <c r="K14" s="23">
        <f t="array" ref="K14">IFERROR(_xlfn.AGGREGATE(15,6,(ROW(Personnel[Egtim durumu])-MIN(ROW(Personnel[Egtim durumu]))+1)/((Personnel[Egtim durumu]="sinavi hazir")),ROWS($K$7:K14)),"")</f>
        <v>718</v>
      </c>
    </row>
    <row r="15" spans="1:11" x14ac:dyDescent="0.25">
      <c r="A15" s="18">
        <f>IFERROR(INDEX(Personnel[Sicil],$K15),"")</f>
        <v>635282</v>
      </c>
      <c r="B15" s="17" t="str">
        <f>IFERROR(INDEX(Personnel[Adi Soyadi],$K15),"")</f>
        <v>Бозоров Жахонгир Соатмурод Угли</v>
      </c>
      <c r="C15" s="18" t="str">
        <f>IFERROR(INDEX(Personnel[Vatandaslik],$K15),"")</f>
        <v>УЗБЕКИСТАН</v>
      </c>
      <c r="D15" s="18" t="str">
        <f>IFERROR(INDEX(Personnel[Santiye],$K15),"")</f>
        <v>GPP Proje</v>
      </c>
      <c r="E15" s="18" t="str">
        <f>IFERROR(INDEX(Personnel[Ogretmen],$K15),"")</f>
        <v>Ziazetdinov Arslan / Ziazetdinov Arslan</v>
      </c>
      <c r="F15" s="17" t="str">
        <f>IFERROR(INDEX(Personnel[[Sinav ]],$K15),"")</f>
        <v>Ic testimizden gecemedi 11.08.2026</v>
      </c>
      <c r="G15" s="17" t="str">
        <f>IFERROR(INDEX(Personnel[Egtim durumu],$K15),"")</f>
        <v>sinavi hazir</v>
      </c>
      <c r="H15" s="17" t="str">
        <f>IFERROR(INDEX(Personnel[Shohruh Not],$K15),"")</f>
        <v>-</v>
      </c>
      <c r="I15" s="22">
        <f ca="1">IFERROR(INDEX(Personnel[Дней в РФ],$K15),"")</f>
        <v>350</v>
      </c>
      <c r="K15" s="23">
        <f t="array" ref="K15">IFERROR(_xlfn.AGGREGATE(15,6,(ROW(Personnel[Egtim durumu])-MIN(ROW(Personnel[Egtim durumu]))+1)/((Personnel[Egtim durumu]="sinavi hazir")),ROWS($K$7:K15)),"")</f>
        <v>723</v>
      </c>
    </row>
    <row r="16" spans="1:11" ht="25.5" x14ac:dyDescent="0.25">
      <c r="A16" s="32">
        <f>IFERROR(INDEX(Personnel[Sicil],$K16),"")</f>
        <v>646746</v>
      </c>
      <c r="B16" s="33" t="str">
        <f>IFERROR(INDEX(Personnel[Adi Soyadi],$K16),"")</f>
        <v>Богибеков Мухиддин Мухаммад Угли</v>
      </c>
      <c r="C16" s="32" t="str">
        <f>IFERROR(INDEX(Personnel[Vatandaslik],$K16),"")</f>
        <v>УЗБЕКИСТАН</v>
      </c>
      <c r="D16" s="32" t="str">
        <f>IFERROR(INDEX(Personnel[Santiye],$K16),"")</f>
        <v>GPP Proje</v>
      </c>
      <c r="E16" s="32" t="str">
        <f>IFERROR(INDEX(Personnel[Ogretmen],$K16),"")</f>
        <v>Ziazetdinov Arslan / Ziazetdinov Arslan</v>
      </c>
      <c r="F16" s="33" t="str">
        <f>IFERROR(INDEX(Personnel[[Sinav ]],$K16),"")</f>
        <v>Ic testimizden gecemedi 11.08.2026 /Ic testimizden gecemedi 18.08.2026</v>
      </c>
      <c r="G16" s="33" t="str">
        <f>IFERROR(INDEX(Personnel[Egtim durumu],$K16),"")</f>
        <v>sinavi hazir</v>
      </c>
      <c r="H16" s="33" t="str">
        <f>IFERROR(INDEX(Personnel[Shohruh Not],$K16),"")</f>
        <v>kedi hisabindan</v>
      </c>
      <c r="I16" s="34">
        <f ca="1">IFERROR(INDEX(Personnel[Дней в РФ],$K16),"")</f>
        <v>14</v>
      </c>
      <c r="K16" s="23">
        <f t="array" ref="K16">IFERROR(_xlfn.AGGREGATE(15,6,(ROW(Personnel[Egtim durumu])-MIN(ROW(Personnel[Egtim durumu]))+1)/((Personnel[Egtim durumu]="sinavi hazir")),ROWS($K$7:K16)),"")</f>
        <v>725</v>
      </c>
    </row>
    <row r="17" spans="1:11" x14ac:dyDescent="0.25">
      <c r="A17" s="18">
        <f>IFERROR(INDEX(Personnel[Sicil],$K17),"")</f>
        <v>471080</v>
      </c>
      <c r="B17" s="17" t="str">
        <f>IFERROR(INDEX(Personnel[Adi Soyadi],$K17),"")</f>
        <v>Султанов Атаулла Абдуллаевич</v>
      </c>
      <c r="C17" s="18" t="str">
        <f>IFERROR(INDEX(Personnel[Vatandaslik],$K17),"")</f>
        <v>УЗБЕКИСТАН</v>
      </c>
      <c r="D17" s="18" t="str">
        <f>IFERROR(INDEX(Personnel[Santiye],$K17),"")</f>
        <v>GPP Proje</v>
      </c>
      <c r="E17" s="18" t="str">
        <f>IFERROR(INDEX(Personnel[Ogretmen],$K17),"")</f>
        <v>Ziazetdinov Arslan / Ziazetdinov Arslan</v>
      </c>
      <c r="F17" s="17" t="str">
        <f>IFERROR(INDEX(Personnel[[Sinav ]],$K17),"")</f>
        <v>Ic testimizden gecemedi 11.08.2026</v>
      </c>
      <c r="G17" s="17" t="str">
        <f>IFERROR(INDEX(Personnel[Egtim durumu],$K17),"")</f>
        <v>sinavi hazir</v>
      </c>
      <c r="H17" s="17" t="str">
        <f>IFERROR(INDEX(Personnel[Shohruh Not],$K17),"")</f>
        <v>-</v>
      </c>
      <c r="I17" s="22">
        <f ca="1">IFERROR(INDEX(Personnel[Дней в РФ],$K17),"")</f>
        <v>14</v>
      </c>
      <c r="K17" s="23">
        <f t="array" ref="K17">IFERROR(_xlfn.AGGREGATE(15,6,(ROW(Personnel[Egtim durumu])-MIN(ROW(Personnel[Egtim durumu]))+1)/((Personnel[Egtim durumu]="sinavi hazir")),ROWS($K$7:K17)),"")</f>
        <v>728</v>
      </c>
    </row>
    <row r="18" spans="1:11" x14ac:dyDescent="0.25">
      <c r="A18" s="32">
        <f>IFERROR(INDEX(Personnel[Sicil],$K18),"")</f>
        <v>646641</v>
      </c>
      <c r="B18" s="33" t="str">
        <f>IFERROR(INDEX(Personnel[Adi Soyadi],$K18),"")</f>
        <v>Валиев Арслан Мыратович</v>
      </c>
      <c r="C18" s="32" t="str">
        <f>IFERROR(INDEX(Personnel[Vatandaslik],$K18),"")</f>
        <v>ТАДЖИКИСТАН</v>
      </c>
      <c r="D18" s="32" t="str">
        <f>IFERROR(INDEX(Personnel[Santiye],$K18),"")</f>
        <v>GPP Proje</v>
      </c>
      <c r="E18" s="32" t="str">
        <f>IFERROR(INDEX(Personnel[Ogretmen],$K18),"")</f>
        <v xml:space="preserve">Ziazetdinov Arslan </v>
      </c>
      <c r="F18" s="33" t="str">
        <f>IFERROR(INDEX(Personnel[[Sinav ]],$K18),"")</f>
        <v>-</v>
      </c>
      <c r="G18" s="33" t="str">
        <f>IFERROR(INDEX(Personnel[Egtim durumu],$K18),"")</f>
        <v>sinavi hazir</v>
      </c>
      <c r="H18" s="33" t="str">
        <f>IFERROR(INDEX(Personnel[Shohruh Not],$K18),"")</f>
        <v>-</v>
      </c>
      <c r="I18" s="34">
        <f ca="1">IFERROR(INDEX(Personnel[Дней в РФ],$K18),"")</f>
        <v>13</v>
      </c>
      <c r="K18" s="23">
        <f t="array" ref="K18">IFERROR(_xlfn.AGGREGATE(15,6,(ROW(Personnel[Egtim durumu])-MIN(ROW(Personnel[Egtim durumu]))+1)/((Personnel[Egtim durumu]="sinavi hazir")),ROWS($K$7:K18)),"")</f>
        <v>729</v>
      </c>
    </row>
    <row r="19" spans="1:11" x14ac:dyDescent="0.25">
      <c r="A19" s="18">
        <f>IFERROR(INDEX(Personnel[Sicil],$K19),"")</f>
        <v>539593</v>
      </c>
      <c r="B19" s="17" t="str">
        <f>IFERROR(INDEX(Personnel[Adi Soyadi],$K19),"")</f>
        <v>Абаев Шохбоз Обиджон угли</v>
      </c>
      <c r="C19" s="18" t="str">
        <f>IFERROR(INDEX(Personnel[Vatandaslik],$K19),"")</f>
        <v>УЗБЕКИСТАН</v>
      </c>
      <c r="D19" s="18" t="str">
        <f>IFERROR(INDEX(Personnel[Santiye],$K19),"")</f>
        <v>GPP Proje</v>
      </c>
      <c r="E19" s="18" t="str">
        <f>IFERROR(INDEX(Personnel[Ogretmen],$K19),"")</f>
        <v xml:space="preserve">Ziazetdinov Arslan </v>
      </c>
      <c r="F19" s="17" t="str">
        <f>IFERROR(INDEX(Personnel[[Sinav ]],$K19),"")</f>
        <v>-</v>
      </c>
      <c r="G19" s="17" t="str">
        <f>IFERROR(INDEX(Personnel[Egtim durumu],$K19),"")</f>
        <v>sinavi hazir</v>
      </c>
      <c r="H19" s="17" t="str">
        <f>IFERROR(INDEX(Personnel[Shohruh Not],$K19),"")</f>
        <v>-</v>
      </c>
      <c r="I19" s="22">
        <f ca="1">IFERROR(INDEX(Personnel[Дней в РФ],$K19),"")</f>
        <v>11</v>
      </c>
      <c r="K19" s="23">
        <f t="array" ref="K19">IFERROR(_xlfn.AGGREGATE(15,6,(ROW(Personnel[Egtim durumu])-MIN(ROW(Personnel[Egtim durumu]))+1)/((Personnel[Egtim durumu]="sinavi hazir")),ROWS($K$7:K19)),"")</f>
        <v>730</v>
      </c>
    </row>
    <row r="20" spans="1:11" x14ac:dyDescent="0.25">
      <c r="A20" s="32">
        <f>IFERROR(INDEX(Personnel[Sicil],$K20),"")</f>
        <v>472878</v>
      </c>
      <c r="B20" s="33" t="str">
        <f>IFERROR(INDEX(Personnel[Adi Soyadi],$K20),"")</f>
        <v>Баратов Абдували Ирисович</v>
      </c>
      <c r="C20" s="32" t="str">
        <f>IFERROR(INDEX(Personnel[Vatandaslik],$K20),"")</f>
        <v>УЗБЕКИСТАН</v>
      </c>
      <c r="D20" s="32" t="str">
        <f>IFERROR(INDEX(Personnel[Santiye],$K20),"")</f>
        <v>GPP Proje</v>
      </c>
      <c r="E20" s="32" t="str">
        <f>IFERROR(INDEX(Personnel[Ogretmen],$K20),"")</f>
        <v xml:space="preserve">Ziazetdinov Arslan </v>
      </c>
      <c r="F20" s="33" t="str">
        <f>IFERROR(INDEX(Personnel[[Sinav ]],$K20),"")</f>
        <v>-</v>
      </c>
      <c r="G20" s="33" t="str">
        <f>IFERROR(INDEX(Personnel[Egtim durumu],$K20),"")</f>
        <v>sinavi hazir</v>
      </c>
      <c r="H20" s="33" t="str">
        <f>IFERROR(INDEX(Personnel[Shohruh Not],$K20),"")</f>
        <v>-</v>
      </c>
      <c r="I20" s="34">
        <f ca="1">IFERROR(INDEX(Personnel[Дней в РФ],$K20),"")</f>
        <v>11</v>
      </c>
      <c r="K20" s="23">
        <f t="array" ref="K20">IFERROR(_xlfn.AGGREGATE(15,6,(ROW(Personnel[Egtim durumu])-MIN(ROW(Personnel[Egtim durumu]))+1)/((Personnel[Egtim durumu]="sinavi hazir")),ROWS($K$7:K20)),"")</f>
        <v>734</v>
      </c>
    </row>
    <row r="21" spans="1:11" x14ac:dyDescent="0.25">
      <c r="A21" s="18">
        <f>IFERROR(INDEX(Personnel[Sicil],$K21),"")</f>
        <v>646805</v>
      </c>
      <c r="B21" s="17" t="str">
        <f>IFERROR(INDEX(Personnel[Adi Soyadi],$K21),"")</f>
        <v>Бобоназаров Шербек Толлибой Угли</v>
      </c>
      <c r="C21" s="18" t="str">
        <f>IFERROR(INDEX(Personnel[Vatandaslik],$K21),"")</f>
        <v>УЗБЕКИСТАН</v>
      </c>
      <c r="D21" s="18" t="str">
        <f>IFERROR(INDEX(Personnel[Santiye],$K21),"")</f>
        <v>GPP Proje</v>
      </c>
      <c r="E21" s="18" t="str">
        <f>IFERROR(INDEX(Personnel[Ogretmen],$K21),"")</f>
        <v xml:space="preserve">Ziazetdinov Arslan </v>
      </c>
      <c r="F21" s="17" t="str">
        <f>IFERROR(INDEX(Personnel[[Sinav ]],$K21),"")</f>
        <v>-</v>
      </c>
      <c r="G21" s="17" t="str">
        <f>IFERROR(INDEX(Personnel[Egtim durumu],$K21),"")</f>
        <v>sinavi hazir</v>
      </c>
      <c r="H21" s="17" t="str">
        <f>IFERROR(INDEX(Personnel[Shohruh Not],$K21),"")</f>
        <v>-</v>
      </c>
      <c r="I21" s="22">
        <f ca="1">IFERROR(INDEX(Personnel[Дней в РФ],$K21),"")</f>
        <v>11</v>
      </c>
      <c r="K21" s="23">
        <f t="array" ref="K21">IFERROR(_xlfn.AGGREGATE(15,6,(ROW(Personnel[Egtim durumu])-MIN(ROW(Personnel[Egtim durumu]))+1)/((Personnel[Egtim durumu]="sinavi hazir")),ROWS($K$7:K21)),"")</f>
        <v>735</v>
      </c>
    </row>
    <row r="22" spans="1:11" x14ac:dyDescent="0.25">
      <c r="A22" s="32">
        <f>IFERROR(INDEX(Personnel[Sicil],$K22),"")</f>
        <v>646807</v>
      </c>
      <c r="B22" s="33" t="str">
        <f>IFERROR(INDEX(Personnel[Adi Soyadi],$K22),"")</f>
        <v>Косимов Отабек Абдухалилович</v>
      </c>
      <c r="C22" s="32" t="str">
        <f>IFERROR(INDEX(Personnel[Vatandaslik],$K22),"")</f>
        <v>УЗБЕКИСТАН</v>
      </c>
      <c r="D22" s="32" t="str">
        <f>IFERROR(INDEX(Personnel[Santiye],$K22),"")</f>
        <v>GPP Proje</v>
      </c>
      <c r="E22" s="32" t="str">
        <f>IFERROR(INDEX(Personnel[Ogretmen],$K22),"")</f>
        <v xml:space="preserve">Ziazetdinov Arslan </v>
      </c>
      <c r="F22" s="33" t="str">
        <f>IFERROR(INDEX(Personnel[[Sinav ]],$K22),"")</f>
        <v>-</v>
      </c>
      <c r="G22" s="33" t="str">
        <f>IFERROR(INDEX(Personnel[Egtim durumu],$K22),"")</f>
        <v>sinavi hazir</v>
      </c>
      <c r="H22" s="33" t="str">
        <f>IFERROR(INDEX(Personnel[Shohruh Not],$K22),"")</f>
        <v>-</v>
      </c>
      <c r="I22" s="34">
        <f ca="1">IFERROR(INDEX(Personnel[Дней в РФ],$K22),"")</f>
        <v>11</v>
      </c>
      <c r="K22" s="23">
        <f t="array" ref="K22">IFERROR(_xlfn.AGGREGATE(15,6,(ROW(Personnel[Egtim durumu])-MIN(ROW(Personnel[Egtim durumu]))+1)/((Personnel[Egtim durumu]="sinavi hazir")),ROWS($K$7:K22)),"")</f>
        <v>741</v>
      </c>
    </row>
    <row r="23" spans="1:11" x14ac:dyDescent="0.25">
      <c r="A23" s="18">
        <f>IFERROR(INDEX(Personnel[Sicil],$K23),"")</f>
        <v>544197</v>
      </c>
      <c r="B23" s="17" t="str">
        <f>IFERROR(INDEX(Personnel[Adi Soyadi],$K23),"")</f>
        <v>Матякубов Ихтиёр Бахтиярович</v>
      </c>
      <c r="C23" s="18" t="str">
        <f>IFERROR(INDEX(Personnel[Vatandaslik],$K23),"")</f>
        <v>УЗБЕКИСТАН</v>
      </c>
      <c r="D23" s="18" t="str">
        <f>IFERROR(INDEX(Personnel[Santiye],$K23),"")</f>
        <v>GPP Proje</v>
      </c>
      <c r="E23" s="18" t="str">
        <f>IFERROR(INDEX(Personnel[Ogretmen],$K23),"")</f>
        <v xml:space="preserve">Ziazetdinov Arslan </v>
      </c>
      <c r="F23" s="17" t="str">
        <f>IFERROR(INDEX(Personnel[[Sinav ]],$K23),"")</f>
        <v>-</v>
      </c>
      <c r="G23" s="17" t="str">
        <f>IFERROR(INDEX(Personnel[Egtim durumu],$K23),"")</f>
        <v>sinavi hazir</v>
      </c>
      <c r="H23" s="17" t="str">
        <f>IFERROR(INDEX(Personnel[Shohruh Not],$K23),"")</f>
        <v>-</v>
      </c>
      <c r="I23" s="22">
        <f ca="1">IFERROR(INDEX(Personnel[Дней в РФ],$K23),"")</f>
        <v>11</v>
      </c>
      <c r="K23" s="23">
        <f t="array" ref="K23">IFERROR(_xlfn.AGGREGATE(15,6,(ROW(Personnel[Egtim durumu])-MIN(ROW(Personnel[Egtim durumu]))+1)/((Personnel[Egtim durumu]="sinavi hazir")),ROWS($K$7:K23)),"")</f>
        <v>745</v>
      </c>
    </row>
    <row r="24" spans="1:11" x14ac:dyDescent="0.25">
      <c r="A24" s="32">
        <f>IFERROR(INDEX(Personnel[Sicil],$K24),"")</f>
        <v>646788</v>
      </c>
      <c r="B24" s="33" t="str">
        <f>IFERROR(INDEX(Personnel[Adi Soyadi],$K24),"")</f>
        <v>Норбоев Мухиддин Шаймардонович</v>
      </c>
      <c r="C24" s="32" t="str">
        <f>IFERROR(INDEX(Personnel[Vatandaslik],$K24),"")</f>
        <v>УЗБЕКИСТАН</v>
      </c>
      <c r="D24" s="32" t="str">
        <f>IFERROR(INDEX(Personnel[Santiye],$K24),"")</f>
        <v>GPP Proje</v>
      </c>
      <c r="E24" s="32" t="str">
        <f>IFERROR(INDEX(Personnel[Ogretmen],$K24),"")</f>
        <v xml:space="preserve">Ziazetdinov Arslan </v>
      </c>
      <c r="F24" s="33" t="str">
        <f>IFERROR(INDEX(Personnel[[Sinav ]],$K24),"")</f>
        <v>-</v>
      </c>
      <c r="G24" s="33" t="str">
        <f>IFERROR(INDEX(Personnel[Egtim durumu],$K24),"")</f>
        <v>sinavi hazir</v>
      </c>
      <c r="H24" s="33" t="str">
        <f>IFERROR(INDEX(Personnel[Shohruh Not],$K24),"")</f>
        <v>-</v>
      </c>
      <c r="I24" s="34">
        <f ca="1">IFERROR(INDEX(Personnel[Дней в РФ],$K24),"")</f>
        <v>12</v>
      </c>
      <c r="K24" s="23">
        <f t="array" ref="K24">IFERROR(_xlfn.AGGREGATE(15,6,(ROW(Personnel[Egtim durumu])-MIN(ROW(Personnel[Egtim durumu]))+1)/((Personnel[Egtim durumu]="sinavi hazir")),ROWS($K$7:K24)),"")</f>
        <v>746</v>
      </c>
    </row>
    <row r="25" spans="1:11" x14ac:dyDescent="0.25">
      <c r="A25" s="18">
        <f>IFERROR(INDEX(Personnel[Sicil],$K25),"")</f>
        <v>571022</v>
      </c>
      <c r="B25" s="17" t="str">
        <f>IFERROR(INDEX(Personnel[Adi Soyadi],$K25),"")</f>
        <v>Рузатов Фарход Кодирович</v>
      </c>
      <c r="C25" s="18" t="str">
        <f>IFERROR(INDEX(Personnel[Vatandaslik],$K25),"")</f>
        <v>УЗБЕКИСТАН</v>
      </c>
      <c r="D25" s="18" t="str">
        <f>IFERROR(INDEX(Personnel[Santiye],$K25),"")</f>
        <v>GPP Proje</v>
      </c>
      <c r="E25" s="18" t="str">
        <f>IFERROR(INDEX(Personnel[Ogretmen],$K25),"")</f>
        <v xml:space="preserve">Ziazetdinov Arslan </v>
      </c>
      <c r="F25" s="17" t="str">
        <f>IFERROR(INDEX(Personnel[[Sinav ]],$K25),"")</f>
        <v>-</v>
      </c>
      <c r="G25" s="17" t="str">
        <f>IFERROR(INDEX(Personnel[Egtim durumu],$K25),"")</f>
        <v>sinavi hazir</v>
      </c>
      <c r="H25" s="17" t="str">
        <f>IFERROR(INDEX(Personnel[Shohruh Not],$K25),"")</f>
        <v>-</v>
      </c>
      <c r="I25" s="22">
        <f ca="1">IFERROR(INDEX(Personnel[Дней в РФ],$K25),"")</f>
        <v>12</v>
      </c>
      <c r="K25" s="23">
        <f t="array" ref="K25">IFERROR(_xlfn.AGGREGATE(15,6,(ROW(Personnel[Egtim durumu])-MIN(ROW(Personnel[Egtim durumu]))+1)/((Personnel[Egtim durumu]="sinavi hazir")),ROWS($K$7:K25)),"")</f>
        <v>750</v>
      </c>
    </row>
    <row r="26" spans="1:11" ht="25.5" x14ac:dyDescent="0.25">
      <c r="A26" s="32">
        <f>IFERROR(INDEX(Personnel[Sicil],$K26),"")</f>
        <v>646816</v>
      </c>
      <c r="B26" s="33" t="str">
        <f>IFERROR(INDEX(Personnel[Adi Soyadi],$K26),"")</f>
        <v>Сулаймонов Шахбозбек Шавкатжон Угли</v>
      </c>
      <c r="C26" s="32" t="str">
        <f>IFERROR(INDEX(Personnel[Vatandaslik],$K26),"")</f>
        <v>УЗБЕКИСТАН</v>
      </c>
      <c r="D26" s="32" t="str">
        <f>IFERROR(INDEX(Personnel[Santiye],$K26),"")</f>
        <v>GPP Proje</v>
      </c>
      <c r="E26" s="32" t="str">
        <f>IFERROR(INDEX(Personnel[Ogretmen],$K26),"")</f>
        <v xml:space="preserve">Ziazetdinov Arslan </v>
      </c>
      <c r="F26" s="33" t="str">
        <f>IFERROR(INDEX(Personnel[[Sinav ]],$K26),"")</f>
        <v>-</v>
      </c>
      <c r="G26" s="33" t="str">
        <f>IFERROR(INDEX(Personnel[Egtim durumu],$K26),"")</f>
        <v>sinavi hazir</v>
      </c>
      <c r="H26" s="33" t="str">
        <f>IFERROR(INDEX(Personnel[Shohruh Not],$K26),"")</f>
        <v>-</v>
      </c>
      <c r="I26" s="34">
        <f ca="1">IFERROR(INDEX(Personnel[Дней в РФ],$K26),"")</f>
        <v>11</v>
      </c>
      <c r="K26" s="23">
        <f t="array" ref="K26">IFERROR(_xlfn.AGGREGATE(15,6,(ROW(Personnel[Egtim durumu])-MIN(ROW(Personnel[Egtim durumu]))+1)/((Personnel[Egtim durumu]="sinavi hazir")),ROWS($K$7:K26)),"")</f>
        <v>753</v>
      </c>
    </row>
    <row r="27" spans="1:11" ht="25.5" x14ac:dyDescent="0.25">
      <c r="A27" s="18">
        <f>IFERROR(INDEX(Personnel[Sicil],$K27),"")</f>
        <v>646790</v>
      </c>
      <c r="B27" s="17" t="str">
        <f>IFERROR(INDEX(Personnel[Adi Soyadi],$K27),"")</f>
        <v>Хакимов Исомиддин Шаймордон Угли</v>
      </c>
      <c r="C27" s="18" t="str">
        <f>IFERROR(INDEX(Personnel[Vatandaslik],$K27),"")</f>
        <v>УЗБЕКИСТАН</v>
      </c>
      <c r="D27" s="18" t="str">
        <f>IFERROR(INDEX(Personnel[Santiye],$K27),"")</f>
        <v>GPP Proje</v>
      </c>
      <c r="E27" s="18" t="str">
        <f>IFERROR(INDEX(Personnel[Ogretmen],$K27),"")</f>
        <v xml:space="preserve">Ziazetdinov Arslan </v>
      </c>
      <c r="F27" s="17" t="str">
        <f>IFERROR(INDEX(Personnel[[Sinav ]],$K27),"")</f>
        <v>-</v>
      </c>
      <c r="G27" s="17" t="str">
        <f>IFERROR(INDEX(Personnel[Egtim durumu],$K27),"")</f>
        <v>sinavi hazir</v>
      </c>
      <c r="H27" s="17" t="str">
        <f>IFERROR(INDEX(Personnel[Shohruh Not],$K27),"")</f>
        <v>-</v>
      </c>
      <c r="I27" s="22">
        <f ca="1">IFERROR(INDEX(Personnel[Дней в РФ],$K27),"")</f>
        <v>12</v>
      </c>
      <c r="K27" s="23">
        <f t="array" ref="K27">IFERROR(_xlfn.AGGREGATE(15,6,(ROW(Personnel[Egtim durumu])-MIN(ROW(Personnel[Egtim durumu]))+1)/((Personnel[Egtim durumu]="sinavi hazir")),ROWS($K$7:K27)),"")</f>
        <v>754</v>
      </c>
    </row>
    <row r="28" spans="1:11" ht="25.5" x14ac:dyDescent="0.25">
      <c r="A28" s="32">
        <f>IFERROR(INDEX(Personnel[Sicil],$K28),"")</f>
        <v>646719</v>
      </c>
      <c r="B28" s="33" t="str">
        <f>IFERROR(INDEX(Personnel[Adi Soyadi],$K28),"")</f>
        <v>Эркинов Джамшидбек Дилмурод Угли</v>
      </c>
      <c r="C28" s="32" t="str">
        <f>IFERROR(INDEX(Personnel[Vatandaslik],$K28),"")</f>
        <v>УЗБЕКИСТАН</v>
      </c>
      <c r="D28" s="32" t="str">
        <f>IFERROR(INDEX(Personnel[Santiye],$K28),"")</f>
        <v>GPP Proje</v>
      </c>
      <c r="E28" s="32" t="str">
        <f>IFERROR(INDEX(Personnel[Ogretmen],$K28),"")</f>
        <v xml:space="preserve">Ziazetdinov Arslan </v>
      </c>
      <c r="F28" s="33" t="str">
        <f>IFERROR(INDEX(Personnel[[Sinav ]],$K28),"")</f>
        <v>-</v>
      </c>
      <c r="G28" s="33" t="str">
        <f>IFERROR(INDEX(Personnel[Egtim durumu],$K28),"")</f>
        <v>sinavi hazir</v>
      </c>
      <c r="H28" s="33" t="str">
        <f>IFERROR(INDEX(Personnel[Shohruh Not],$K28),"")</f>
        <v>-</v>
      </c>
      <c r="I28" s="32">
        <f ca="1">IFERROR(INDEX(Personnel[Дней в РФ],$K28),"")</f>
        <v>8</v>
      </c>
      <c r="K28" s="23">
        <f t="array" ref="K28">IFERROR(_xlfn.AGGREGATE(15,6,(ROW(Personnel[Egtim durumu])-MIN(ROW(Personnel[Egtim durumu]))+1)/((Personnel[Egtim durumu]="sinavi hazir")),ROWS($K$7:K28)),"")</f>
        <v>765</v>
      </c>
    </row>
    <row r="29" spans="1:11" x14ac:dyDescent="0.25">
      <c r="A29" s="18">
        <f>IFERROR(INDEX(Personnel[Sicil],$K29),"")</f>
        <v>228538</v>
      </c>
      <c r="B29" s="17" t="str">
        <f>IFERROR(INDEX(Personnel[Adi Soyadi],$K29),"")</f>
        <v>Хажиев Бунёдбек Отабоевич</v>
      </c>
      <c r="C29" s="18" t="str">
        <f>IFERROR(INDEX(Personnel[Vatandaslik],$K29),"")</f>
        <v>УЗБЕКИСТАН</v>
      </c>
      <c r="D29" s="18" t="str">
        <f>IFERROR(INDEX(Personnel[Santiye],$K29),"")</f>
        <v>GPP Proje</v>
      </c>
      <c r="E29" s="18">
        <f>IFERROR(INDEX(Personnel[Ogretmen],$K29),"")</f>
        <v>0</v>
      </c>
      <c r="F29" s="17">
        <f>IFERROR(INDEX(Personnel[[Sinav ]],$K29),"")</f>
        <v>0</v>
      </c>
      <c r="G29" s="17" t="str">
        <f>IFERROR(INDEX(Personnel[Egtim durumu],$K29),"")</f>
        <v>sinavi hazir</v>
      </c>
      <c r="H29" s="17" t="str">
        <f>IFERROR(INDEX(Personnel[Shohruh Not],$K29),"")</f>
        <v>Vkes patent donismi</v>
      </c>
      <c r="I29" s="18">
        <f ca="1">IFERROR(INDEX(Personnel[Дней в РФ],$K29),"")</f>
        <v>46256</v>
      </c>
      <c r="K29" s="23">
        <f t="array" ref="K29">IFERROR(_xlfn.AGGREGATE(15,6,(ROW(Personnel[Egtim durumu])-MIN(ROW(Personnel[Egtim durumu]))+1)/((Personnel[Egtim durumu]="sinavi hazir")),ROWS($K$7:K29)),"")</f>
        <v>776</v>
      </c>
    </row>
    <row r="30" spans="1:11" x14ac:dyDescent="0.25">
      <c r="A30" s="32" t="str">
        <f>IFERROR(INDEX(Personnel[Sicil],$K30),"")</f>
        <v/>
      </c>
      <c r="B30" s="33" t="str">
        <f>IFERROR(INDEX(Personnel[Adi Soyadi],$K30),"")</f>
        <v/>
      </c>
      <c r="C30" s="32" t="str">
        <f>IFERROR(INDEX(Personnel[Vatandaslik],$K30),"")</f>
        <v/>
      </c>
      <c r="D30" s="32" t="str">
        <f>IFERROR(INDEX(Personnel[Santiye],$K30),"")</f>
        <v/>
      </c>
      <c r="E30" s="32" t="str">
        <f>IFERROR(INDEX(Personnel[Ogretmen],$K30),"")</f>
        <v/>
      </c>
      <c r="F30" s="33" t="str">
        <f>IFERROR(INDEX(Personnel[[Sinav ]],$K30),"")</f>
        <v/>
      </c>
      <c r="G30" s="33" t="str">
        <f>IFERROR(INDEX(Personnel[Egtim durumu],$K30),"")</f>
        <v/>
      </c>
      <c r="H30" s="33" t="str">
        <f>IFERROR(INDEX(Personnel[Shohruh Not],$K30),"")</f>
        <v/>
      </c>
      <c r="I30" s="32" t="str">
        <f>IFERROR(INDEX(Personnel[Дней в РФ],$K30),"")</f>
        <v/>
      </c>
      <c r="K30" s="23" t="str">
        <f t="array" ref="K30">IFERROR(_xlfn.AGGREGATE(15,6,(ROW(Personnel[Egtim durumu])-MIN(ROW(Personnel[Egtim durumu]))+1)/((Personnel[Egtim durumu]="sinavi hazir")),ROWS($K$7:K30)),"")</f>
        <v/>
      </c>
    </row>
    <row r="31" spans="1:11" x14ac:dyDescent="0.25">
      <c r="A31" s="18" t="str">
        <f>IFERROR(INDEX(Personnel[Sicil],$K31),"")</f>
        <v/>
      </c>
      <c r="B31" s="17" t="str">
        <f>IFERROR(INDEX(Personnel[Adi Soyadi],$K31),"")</f>
        <v/>
      </c>
      <c r="C31" s="18" t="str">
        <f>IFERROR(INDEX(Personnel[Vatandaslik],$K31),"")</f>
        <v/>
      </c>
      <c r="D31" s="18" t="str">
        <f>IFERROR(INDEX(Personnel[Santiye],$K31),"")</f>
        <v/>
      </c>
      <c r="E31" s="18" t="str">
        <f>IFERROR(INDEX(Personnel[Ogretmen],$K31),"")</f>
        <v/>
      </c>
      <c r="F31" s="17" t="str">
        <f>IFERROR(INDEX(Personnel[[Sinav ]],$K31),"")</f>
        <v/>
      </c>
      <c r="G31" s="17" t="str">
        <f>IFERROR(INDEX(Personnel[Egtim durumu],$K31),"")</f>
        <v/>
      </c>
      <c r="H31" s="17" t="str">
        <f>IFERROR(INDEX(Personnel[Shohruh Not],$K31),"")</f>
        <v/>
      </c>
      <c r="I31" s="18" t="str">
        <f>IFERROR(INDEX(Personnel[Дней в РФ],$K31),"")</f>
        <v/>
      </c>
      <c r="K31" s="23" t="str">
        <f t="array" ref="K31">IFERROR(_xlfn.AGGREGATE(15,6,(ROW(Personnel[Egtim durumu])-MIN(ROW(Personnel[Egtim durumu]))+1)/((Personnel[Egtim durumu]="sinavi hazir")),ROWS($K$7:K31)),"")</f>
        <v/>
      </c>
    </row>
    <row r="32" spans="1:11" x14ac:dyDescent="0.25">
      <c r="A32" s="32" t="str">
        <f>IFERROR(INDEX(Personnel[Sicil],$K32),"")</f>
        <v/>
      </c>
      <c r="B32" s="33" t="str">
        <f>IFERROR(INDEX(Personnel[Adi Soyadi],$K32),"")</f>
        <v/>
      </c>
      <c r="C32" s="32" t="str">
        <f>IFERROR(INDEX(Personnel[Vatandaslik],$K32),"")</f>
        <v/>
      </c>
      <c r="D32" s="32" t="str">
        <f>IFERROR(INDEX(Personnel[Santiye],$K32),"")</f>
        <v/>
      </c>
      <c r="E32" s="32" t="str">
        <f>IFERROR(INDEX(Personnel[Ogretmen],$K32),"")</f>
        <v/>
      </c>
      <c r="F32" s="33" t="str">
        <f>IFERROR(INDEX(Personnel[[Sinav ]],$K32),"")</f>
        <v/>
      </c>
      <c r="G32" s="33" t="str">
        <f>IFERROR(INDEX(Personnel[Egtim durumu],$K32),"")</f>
        <v/>
      </c>
      <c r="H32" s="33" t="str">
        <f>IFERROR(INDEX(Personnel[Shohruh Not],$K32),"")</f>
        <v/>
      </c>
      <c r="I32" s="32" t="str">
        <f>IFERROR(INDEX(Personnel[Дней в РФ],$K32),"")</f>
        <v/>
      </c>
      <c r="K32" s="23" t="str">
        <f t="array" ref="K32">IFERROR(_xlfn.AGGREGATE(15,6,(ROW(Personnel[Egtim durumu])-MIN(ROW(Personnel[Egtim durumu]))+1)/((Personnel[Egtim durumu]="sinavi hazir")),ROWS($K$7:K32)),"")</f>
        <v/>
      </c>
    </row>
    <row r="33" spans="1:11" x14ac:dyDescent="0.25">
      <c r="A33" s="18" t="str">
        <f>IFERROR(INDEX(Personnel[Sicil],$K33),"")</f>
        <v/>
      </c>
      <c r="B33" s="17" t="str">
        <f>IFERROR(INDEX(Personnel[Adi Soyadi],$K33),"")</f>
        <v/>
      </c>
      <c r="C33" s="18" t="str">
        <f>IFERROR(INDEX(Personnel[Vatandaslik],$K33),"")</f>
        <v/>
      </c>
      <c r="D33" s="18" t="str">
        <f>IFERROR(INDEX(Personnel[Santiye],$K33),"")</f>
        <v/>
      </c>
      <c r="E33" s="18" t="str">
        <f>IFERROR(INDEX(Personnel[Ogretmen],$K33),"")</f>
        <v/>
      </c>
      <c r="F33" s="17" t="str">
        <f>IFERROR(INDEX(Personnel[[Sinav ]],$K33),"")</f>
        <v/>
      </c>
      <c r="G33" s="17" t="str">
        <f>IFERROR(INDEX(Personnel[Egtim durumu],$K33),"")</f>
        <v/>
      </c>
      <c r="H33" s="17" t="str">
        <f>IFERROR(INDEX(Personnel[Shohruh Not],$K33),"")</f>
        <v/>
      </c>
      <c r="I33" s="18" t="str">
        <f>IFERROR(INDEX(Personnel[Дней в РФ],$K33),"")</f>
        <v/>
      </c>
      <c r="K33" s="23" t="str">
        <f t="array" ref="K33">IFERROR(_xlfn.AGGREGATE(15,6,(ROW(Personnel[Egtim durumu])-MIN(ROW(Personnel[Egtim durumu]))+1)/((Personnel[Egtim durumu]="sinavi hazir")),ROWS($K$7:K33)),"")</f>
        <v/>
      </c>
    </row>
    <row r="34" spans="1:11" x14ac:dyDescent="0.25">
      <c r="A34" s="32" t="str">
        <f>IFERROR(INDEX(Personnel[Sicil],$K34),"")</f>
        <v/>
      </c>
      <c r="B34" s="33" t="str">
        <f>IFERROR(INDEX(Personnel[Adi Soyadi],$K34),"")</f>
        <v/>
      </c>
      <c r="C34" s="32" t="str">
        <f>IFERROR(INDEX(Personnel[Vatandaslik],$K34),"")</f>
        <v/>
      </c>
      <c r="D34" s="32" t="str">
        <f>IFERROR(INDEX(Personnel[Santiye],$K34),"")</f>
        <v/>
      </c>
      <c r="E34" s="32" t="str">
        <f>IFERROR(INDEX(Personnel[Ogretmen],$K34),"")</f>
        <v/>
      </c>
      <c r="F34" s="33" t="str">
        <f>IFERROR(INDEX(Personnel[[Sinav ]],$K34),"")</f>
        <v/>
      </c>
      <c r="G34" s="33" t="str">
        <f>IFERROR(INDEX(Personnel[Egtim durumu],$K34),"")</f>
        <v/>
      </c>
      <c r="H34" s="33" t="str">
        <f>IFERROR(INDEX(Personnel[Shohruh Not],$K34),"")</f>
        <v/>
      </c>
      <c r="I34" s="32" t="str">
        <f>IFERROR(INDEX(Personnel[Дней в РФ],$K34),"")</f>
        <v/>
      </c>
      <c r="K34" s="23" t="str">
        <f t="array" ref="K34">IFERROR(_xlfn.AGGREGATE(15,6,(ROW(Personnel[Egtim durumu])-MIN(ROW(Personnel[Egtim durumu]))+1)/((Personnel[Egtim durumu]="sinavi hazir")),ROWS($K$7:K34)),"")</f>
        <v/>
      </c>
    </row>
    <row r="35" spans="1:11" x14ac:dyDescent="0.25">
      <c r="A35" s="18" t="str">
        <f>IFERROR(INDEX(Personnel[Sicil],$K35),"")</f>
        <v/>
      </c>
      <c r="B35" s="17" t="str">
        <f>IFERROR(INDEX(Personnel[Adi Soyadi],$K35),"")</f>
        <v/>
      </c>
      <c r="C35" s="18" t="str">
        <f>IFERROR(INDEX(Personnel[Vatandaslik],$K35),"")</f>
        <v/>
      </c>
      <c r="D35" s="18" t="str">
        <f>IFERROR(INDEX(Personnel[Santiye],$K35),"")</f>
        <v/>
      </c>
      <c r="E35" s="18" t="str">
        <f>IFERROR(INDEX(Personnel[Ogretmen],$K35),"")</f>
        <v/>
      </c>
      <c r="F35" s="17" t="str">
        <f>IFERROR(INDEX(Personnel[[Sinav ]],$K35),"")</f>
        <v/>
      </c>
      <c r="G35" s="17" t="str">
        <f>IFERROR(INDEX(Personnel[Egtim durumu],$K35),"")</f>
        <v/>
      </c>
      <c r="H35" s="17" t="str">
        <f>IFERROR(INDEX(Personnel[Shohruh Not],$K35),"")</f>
        <v/>
      </c>
      <c r="I35" s="18" t="str">
        <f>IFERROR(INDEX(Personnel[Дней в РФ],$K35),"")</f>
        <v/>
      </c>
      <c r="K35" s="23" t="str">
        <f t="array" ref="K35">IFERROR(_xlfn.AGGREGATE(15,6,(ROW(Personnel[Egtim durumu])-MIN(ROW(Personnel[Egtim durumu]))+1)/((Personnel[Egtim durumu]="sinavi hazir")),ROWS($K$7:K35)),"")</f>
        <v/>
      </c>
    </row>
    <row r="36" spans="1:11" x14ac:dyDescent="0.25">
      <c r="A36" s="32" t="str">
        <f>IFERROR(INDEX(Personnel[Sicil],$K36),"")</f>
        <v/>
      </c>
      <c r="B36" s="33" t="str">
        <f>IFERROR(INDEX(Personnel[Adi Soyadi],$K36),"")</f>
        <v/>
      </c>
      <c r="C36" s="32" t="str">
        <f>IFERROR(INDEX(Personnel[Vatandaslik],$K36),"")</f>
        <v/>
      </c>
      <c r="D36" s="32" t="str">
        <f>IFERROR(INDEX(Personnel[Santiye],$K36),"")</f>
        <v/>
      </c>
      <c r="E36" s="32" t="str">
        <f>IFERROR(INDEX(Personnel[Ogretmen],$K36),"")</f>
        <v/>
      </c>
      <c r="F36" s="33" t="str">
        <f>IFERROR(INDEX(Personnel[[Sinav ]],$K36),"")</f>
        <v/>
      </c>
      <c r="G36" s="33" t="str">
        <f>IFERROR(INDEX(Personnel[Egtim durumu],$K36),"")</f>
        <v/>
      </c>
      <c r="H36" s="33" t="str">
        <f>IFERROR(INDEX(Personnel[Shohruh Not],$K36),"")</f>
        <v/>
      </c>
      <c r="I36" s="32" t="str">
        <f>IFERROR(INDEX(Personnel[Дней в РФ],$K36),"")</f>
        <v/>
      </c>
      <c r="K36" s="23" t="str">
        <f t="array" ref="K36">IFERROR(_xlfn.AGGREGATE(15,6,(ROW(Personnel[Egtim durumu])-MIN(ROW(Personnel[Egtim durumu]))+1)/((Personnel[Egtim durumu]="sinavi hazir")),ROWS($K$7:K36)),"")</f>
        <v/>
      </c>
    </row>
    <row r="37" spans="1:11" x14ac:dyDescent="0.25">
      <c r="A37" s="18" t="str">
        <f>IFERROR(INDEX(Personnel[Sicil],$K37),"")</f>
        <v/>
      </c>
      <c r="B37" s="17" t="str">
        <f>IFERROR(INDEX(Personnel[Adi Soyadi],$K37),"")</f>
        <v/>
      </c>
      <c r="C37" s="18" t="str">
        <f>IFERROR(INDEX(Personnel[Vatandaslik],$K37),"")</f>
        <v/>
      </c>
      <c r="D37" s="18" t="str">
        <f>IFERROR(INDEX(Personnel[Santiye],$K37),"")</f>
        <v/>
      </c>
      <c r="E37" s="18" t="str">
        <f>IFERROR(INDEX(Personnel[Ogretmen],$K37),"")</f>
        <v/>
      </c>
      <c r="F37" s="17" t="str">
        <f>IFERROR(INDEX(Personnel[[Sinav ]],$K37),"")</f>
        <v/>
      </c>
      <c r="G37" s="17" t="str">
        <f>IFERROR(INDEX(Personnel[Egtim durumu],$K37),"")</f>
        <v/>
      </c>
      <c r="H37" s="17" t="str">
        <f>IFERROR(INDEX(Personnel[Shohruh Not],$K37),"")</f>
        <v/>
      </c>
      <c r="I37" s="18" t="str">
        <f>IFERROR(INDEX(Personnel[Дней в РФ],$K37),"")</f>
        <v/>
      </c>
      <c r="K37" s="23" t="str">
        <f t="array" ref="K37">IFERROR(_xlfn.AGGREGATE(15,6,(ROW(Personnel[Egtim durumu])-MIN(ROW(Personnel[Egtim durumu]))+1)/((Personnel[Egtim durumu]="sinavi hazir")),ROWS($K$7:K37)),"")</f>
        <v/>
      </c>
    </row>
    <row r="38" spans="1:11" x14ac:dyDescent="0.25">
      <c r="A38" s="32" t="str">
        <f>IFERROR(INDEX(Personnel[Sicil],$K38),"")</f>
        <v/>
      </c>
      <c r="B38" s="33" t="str">
        <f>IFERROR(INDEX(Personnel[Adi Soyadi],$K38),"")</f>
        <v/>
      </c>
      <c r="C38" s="32" t="str">
        <f>IFERROR(INDEX(Personnel[Vatandaslik],$K38),"")</f>
        <v/>
      </c>
      <c r="D38" s="32" t="str">
        <f>IFERROR(INDEX(Personnel[Santiye],$K38),"")</f>
        <v/>
      </c>
      <c r="E38" s="32" t="str">
        <f>IFERROR(INDEX(Personnel[Ogretmen],$K38),"")</f>
        <v/>
      </c>
      <c r="F38" s="33" t="str">
        <f>IFERROR(INDEX(Personnel[[Sinav ]],$K38),"")</f>
        <v/>
      </c>
      <c r="G38" s="33" t="str">
        <f>IFERROR(INDEX(Personnel[Egtim durumu],$K38),"")</f>
        <v/>
      </c>
      <c r="H38" s="33" t="str">
        <f>IFERROR(INDEX(Personnel[Shohruh Not],$K38),"")</f>
        <v/>
      </c>
      <c r="I38" s="32" t="str">
        <f>IFERROR(INDEX(Personnel[Дней в РФ],$K38),"")</f>
        <v/>
      </c>
      <c r="K38" s="23" t="str">
        <f t="array" ref="K38">IFERROR(_xlfn.AGGREGATE(15,6,(ROW(Personnel[Egtim durumu])-MIN(ROW(Personnel[Egtim durumu]))+1)/((Personnel[Egtim durumu]="sinavi hazir")),ROWS($K$7:K38)),"")</f>
        <v/>
      </c>
    </row>
    <row r="39" spans="1:11" x14ac:dyDescent="0.25">
      <c r="A39" s="18" t="str">
        <f>IFERROR(INDEX(Personnel[Sicil],$K39),"")</f>
        <v/>
      </c>
      <c r="B39" s="17" t="str">
        <f>IFERROR(INDEX(Personnel[Adi Soyadi],$K39),"")</f>
        <v/>
      </c>
      <c r="C39" s="18" t="str">
        <f>IFERROR(INDEX(Personnel[Vatandaslik],$K39),"")</f>
        <v/>
      </c>
      <c r="D39" s="18" t="str">
        <f>IFERROR(INDEX(Personnel[Santiye],$K39),"")</f>
        <v/>
      </c>
      <c r="E39" s="18" t="str">
        <f>IFERROR(INDEX(Personnel[Ogretmen],$K39),"")</f>
        <v/>
      </c>
      <c r="F39" s="17" t="str">
        <f>IFERROR(INDEX(Personnel[[Sinav ]],$K39),"")</f>
        <v/>
      </c>
      <c r="G39" s="17" t="str">
        <f>IFERROR(INDEX(Personnel[Egtim durumu],$K39),"")</f>
        <v/>
      </c>
      <c r="H39" s="17" t="str">
        <f>IFERROR(INDEX(Personnel[Shohruh Not],$K39),"")</f>
        <v/>
      </c>
      <c r="I39" s="18" t="str">
        <f>IFERROR(INDEX(Personnel[Дней в РФ],$K39),"")</f>
        <v/>
      </c>
      <c r="K39" s="23" t="str">
        <f t="array" ref="K39">IFERROR(_xlfn.AGGREGATE(15,6,(ROW(Personnel[Egtim durumu])-MIN(ROW(Personnel[Egtim durumu]))+1)/((Personnel[Egtim durumu]="sinavi hazir")),ROWS($K$7:K39)),"")</f>
        <v/>
      </c>
    </row>
    <row r="40" spans="1:11" x14ac:dyDescent="0.25">
      <c r="A40" s="32" t="str">
        <f>IFERROR(INDEX(Personnel[Sicil],$K40),"")</f>
        <v/>
      </c>
      <c r="B40" s="33" t="str">
        <f>IFERROR(INDEX(Personnel[Adi Soyadi],$K40),"")</f>
        <v/>
      </c>
      <c r="C40" s="32" t="str">
        <f>IFERROR(INDEX(Personnel[Vatandaslik],$K40),"")</f>
        <v/>
      </c>
      <c r="D40" s="32" t="str">
        <f>IFERROR(INDEX(Personnel[Santiye],$K40),"")</f>
        <v/>
      </c>
      <c r="E40" s="32" t="str">
        <f>IFERROR(INDEX(Personnel[Ogretmen],$K40),"")</f>
        <v/>
      </c>
      <c r="F40" s="33" t="str">
        <f>IFERROR(INDEX(Personnel[[Sinav ]],$K40),"")</f>
        <v/>
      </c>
      <c r="G40" s="33" t="str">
        <f>IFERROR(INDEX(Personnel[Egtim durumu],$K40),"")</f>
        <v/>
      </c>
      <c r="H40" s="33" t="str">
        <f>IFERROR(INDEX(Personnel[Shohruh Not],$K40),"")</f>
        <v/>
      </c>
      <c r="I40" s="32" t="str">
        <f>IFERROR(INDEX(Personnel[Дней в РФ],$K40),"")</f>
        <v/>
      </c>
      <c r="K40" s="23" t="str">
        <f t="array" ref="K40">IFERROR(_xlfn.AGGREGATE(15,6,(ROW(Personnel[Egtim durumu])-MIN(ROW(Personnel[Egtim durumu]))+1)/((Personnel[Egtim durumu]="sinavi hazir")),ROWS($K$7:K40)),"")</f>
        <v/>
      </c>
    </row>
    <row r="41" spans="1:11" x14ac:dyDescent="0.25">
      <c r="A41" s="18" t="str">
        <f>IFERROR(INDEX(Personnel[Sicil],$K41),"")</f>
        <v/>
      </c>
      <c r="B41" s="17" t="str">
        <f>IFERROR(INDEX(Personnel[Adi Soyadi],$K41),"")</f>
        <v/>
      </c>
      <c r="C41" s="18" t="str">
        <f>IFERROR(INDEX(Personnel[Vatandaslik],$K41),"")</f>
        <v/>
      </c>
      <c r="D41" s="18" t="str">
        <f>IFERROR(INDEX(Personnel[Santiye],$K41),"")</f>
        <v/>
      </c>
      <c r="E41" s="18" t="str">
        <f>IFERROR(INDEX(Personnel[Ogretmen],$K41),"")</f>
        <v/>
      </c>
      <c r="F41" s="17" t="str">
        <f>IFERROR(INDEX(Personnel[[Sinav ]],$K41),"")</f>
        <v/>
      </c>
      <c r="G41" s="17" t="str">
        <f>IFERROR(INDEX(Personnel[Egtim durumu],$K41),"")</f>
        <v/>
      </c>
      <c r="H41" s="17" t="str">
        <f>IFERROR(INDEX(Personnel[Shohruh Not],$K41),"")</f>
        <v/>
      </c>
      <c r="I41" s="18" t="str">
        <f>IFERROR(INDEX(Personnel[Дней в РФ],$K41),"")</f>
        <v/>
      </c>
      <c r="K41" s="23" t="str">
        <f t="array" ref="K41">IFERROR(_xlfn.AGGREGATE(15,6,(ROW(Personnel[Egtim durumu])-MIN(ROW(Personnel[Egtim durumu]))+1)/((Personnel[Egtim durumu]="sinavi hazir")),ROWS($K$7:K41)),"")</f>
        <v/>
      </c>
    </row>
    <row r="42" spans="1:11" x14ac:dyDescent="0.25">
      <c r="A42" s="32" t="str">
        <f>IFERROR(INDEX(Personnel[Sicil],$K42),"")</f>
        <v/>
      </c>
      <c r="B42" s="33" t="str">
        <f>IFERROR(INDEX(Personnel[Adi Soyadi],$K42),"")</f>
        <v/>
      </c>
      <c r="C42" s="32" t="str">
        <f>IFERROR(INDEX(Personnel[Vatandaslik],$K42),"")</f>
        <v/>
      </c>
      <c r="D42" s="32" t="str">
        <f>IFERROR(INDEX(Personnel[Santiye],$K42),"")</f>
        <v/>
      </c>
      <c r="E42" s="32" t="str">
        <f>IFERROR(INDEX(Personnel[Ogretmen],$K42),"")</f>
        <v/>
      </c>
      <c r="F42" s="33" t="str">
        <f>IFERROR(INDEX(Personnel[[Sinav ]],$K42),"")</f>
        <v/>
      </c>
      <c r="G42" s="33" t="str">
        <f>IFERROR(INDEX(Personnel[Egtim durumu],$K42),"")</f>
        <v/>
      </c>
      <c r="H42" s="33" t="str">
        <f>IFERROR(INDEX(Personnel[Shohruh Not],$K42),"")</f>
        <v/>
      </c>
      <c r="I42" s="32" t="str">
        <f>IFERROR(INDEX(Personnel[Дней в РФ],$K42),"")</f>
        <v/>
      </c>
      <c r="K42" s="23" t="str">
        <f t="array" ref="K42">IFERROR(_xlfn.AGGREGATE(15,6,(ROW(Personnel[Egtim durumu])-MIN(ROW(Personnel[Egtim durumu]))+1)/((Personnel[Egtim durumu]="sinavi hazir")),ROWS($K$7:K42)),"")</f>
        <v/>
      </c>
    </row>
    <row r="43" spans="1:11" x14ac:dyDescent="0.25">
      <c r="A43" s="18" t="str">
        <f>IFERROR(INDEX(Personnel[Sicil],$K43),"")</f>
        <v/>
      </c>
      <c r="B43" s="17" t="str">
        <f>IFERROR(INDEX(Personnel[Adi Soyadi],$K43),"")</f>
        <v/>
      </c>
      <c r="C43" s="18" t="str">
        <f>IFERROR(INDEX(Personnel[Vatandaslik],$K43),"")</f>
        <v/>
      </c>
      <c r="D43" s="18" t="str">
        <f>IFERROR(INDEX(Personnel[Santiye],$K43),"")</f>
        <v/>
      </c>
      <c r="E43" s="18" t="str">
        <f>IFERROR(INDEX(Personnel[Ogretmen],$K43),"")</f>
        <v/>
      </c>
      <c r="F43" s="17" t="str">
        <f>IFERROR(INDEX(Personnel[[Sinav ]],$K43),"")</f>
        <v/>
      </c>
      <c r="G43" s="17" t="str">
        <f>IFERROR(INDEX(Personnel[Egtim durumu],$K43),"")</f>
        <v/>
      </c>
      <c r="H43" s="17" t="str">
        <f>IFERROR(INDEX(Personnel[Shohruh Not],$K43),"")</f>
        <v/>
      </c>
      <c r="I43" s="18" t="str">
        <f>IFERROR(INDEX(Personnel[Дней в РФ],$K43),"")</f>
        <v/>
      </c>
      <c r="K43" s="23" t="str">
        <f t="array" ref="K43">IFERROR(_xlfn.AGGREGATE(15,6,(ROW(Personnel[Egtim durumu])-MIN(ROW(Personnel[Egtim durumu]))+1)/((Personnel[Egtim durumu]="sinavi hazir")),ROWS($K$7:K43)),"")</f>
        <v/>
      </c>
    </row>
    <row r="44" spans="1:11" x14ac:dyDescent="0.25">
      <c r="A44" s="32" t="str">
        <f>IFERROR(INDEX(Personnel[Sicil],$K44),"")</f>
        <v/>
      </c>
      <c r="B44" s="33" t="str">
        <f>IFERROR(INDEX(Personnel[Adi Soyadi],$K44),"")</f>
        <v/>
      </c>
      <c r="C44" s="32" t="str">
        <f>IFERROR(INDEX(Personnel[Vatandaslik],$K44),"")</f>
        <v/>
      </c>
      <c r="D44" s="32" t="str">
        <f>IFERROR(INDEX(Personnel[Santiye],$K44),"")</f>
        <v/>
      </c>
      <c r="E44" s="32" t="str">
        <f>IFERROR(INDEX(Personnel[Ogretmen],$K44),"")</f>
        <v/>
      </c>
      <c r="F44" s="33" t="str">
        <f>IFERROR(INDEX(Personnel[[Sinav ]],$K44),"")</f>
        <v/>
      </c>
      <c r="G44" s="33" t="str">
        <f>IFERROR(INDEX(Personnel[Egtim durumu],$K44),"")</f>
        <v/>
      </c>
      <c r="H44" s="33" t="str">
        <f>IFERROR(INDEX(Personnel[Shohruh Not],$K44),"")</f>
        <v/>
      </c>
      <c r="I44" s="32" t="str">
        <f>IFERROR(INDEX(Personnel[Дней в РФ],$K44),"")</f>
        <v/>
      </c>
      <c r="K44" s="23" t="str">
        <f t="array" ref="K44">IFERROR(_xlfn.AGGREGATE(15,6,(ROW(Personnel[Egtim durumu])-MIN(ROW(Personnel[Egtim durumu]))+1)/((Personnel[Egtim durumu]="sinavi hazir")),ROWS($K$7:K44)),"")</f>
        <v/>
      </c>
    </row>
    <row r="45" spans="1:11" x14ac:dyDescent="0.25">
      <c r="A45" s="18" t="str">
        <f>IFERROR(INDEX(Personnel[Sicil],$K45),"")</f>
        <v/>
      </c>
      <c r="B45" s="17" t="str">
        <f>IFERROR(INDEX(Personnel[Adi Soyadi],$K45),"")</f>
        <v/>
      </c>
      <c r="C45" s="18" t="str">
        <f>IFERROR(INDEX(Personnel[Vatandaslik],$K45),"")</f>
        <v/>
      </c>
      <c r="D45" s="18" t="str">
        <f>IFERROR(INDEX(Personnel[Santiye],$K45),"")</f>
        <v/>
      </c>
      <c r="E45" s="18" t="str">
        <f>IFERROR(INDEX(Personnel[Ogretmen],$K45),"")</f>
        <v/>
      </c>
      <c r="F45" s="17" t="str">
        <f>IFERROR(INDEX(Personnel[[Sinav ]],$K45),"")</f>
        <v/>
      </c>
      <c r="G45" s="17" t="str">
        <f>IFERROR(INDEX(Personnel[Egtim durumu],$K45),"")</f>
        <v/>
      </c>
      <c r="H45" s="17" t="str">
        <f>IFERROR(INDEX(Personnel[Shohruh Not],$K45),"")</f>
        <v/>
      </c>
      <c r="I45" s="18" t="str">
        <f>IFERROR(INDEX(Personnel[Дней в РФ],$K45),"")</f>
        <v/>
      </c>
      <c r="K45" s="23" t="str">
        <f t="array" ref="K45">IFERROR(_xlfn.AGGREGATE(15,6,(ROW(Personnel[Egtim durumu])-MIN(ROW(Personnel[Egtim durumu]))+1)/((Personnel[Egtim durumu]="sinavi hazir")),ROWS($K$7:K45)),"")</f>
        <v/>
      </c>
    </row>
    <row r="46" spans="1:11" x14ac:dyDescent="0.25">
      <c r="A46" s="32" t="str">
        <f>IFERROR(INDEX(Personnel[Sicil],$K46),"")</f>
        <v/>
      </c>
      <c r="B46" s="33" t="str">
        <f>IFERROR(INDEX(Personnel[Adi Soyadi],$K46),"")</f>
        <v/>
      </c>
      <c r="C46" s="32" t="str">
        <f>IFERROR(INDEX(Personnel[Vatandaslik],$K46),"")</f>
        <v/>
      </c>
      <c r="D46" s="32" t="str">
        <f>IFERROR(INDEX(Personnel[Santiye],$K46),"")</f>
        <v/>
      </c>
      <c r="E46" s="32" t="str">
        <f>IFERROR(INDEX(Personnel[Ogretmen],$K46),"")</f>
        <v/>
      </c>
      <c r="F46" s="33" t="str">
        <f>IFERROR(INDEX(Personnel[[Sinav ]],$K46),"")</f>
        <v/>
      </c>
      <c r="G46" s="33" t="str">
        <f>IFERROR(INDEX(Personnel[Egtim durumu],$K46),"")</f>
        <v/>
      </c>
      <c r="H46" s="33" t="str">
        <f>IFERROR(INDEX(Personnel[Shohruh Not],$K46),"")</f>
        <v/>
      </c>
      <c r="I46" s="32" t="str">
        <f>IFERROR(INDEX(Personnel[Дней в РФ],$K46),"")</f>
        <v/>
      </c>
      <c r="K46" s="23" t="str">
        <f t="array" ref="K46">IFERROR(_xlfn.AGGREGATE(15,6,(ROW(Personnel[Egtim durumu])-MIN(ROW(Personnel[Egtim durumu]))+1)/((Personnel[Egtim durumu]="sinavi hazir")),ROWS($K$7:K46)),"")</f>
        <v/>
      </c>
    </row>
    <row r="47" spans="1:11" x14ac:dyDescent="0.25">
      <c r="A47" s="18" t="str">
        <f>IFERROR(INDEX(Personnel[Sicil],$K47),"")</f>
        <v/>
      </c>
      <c r="B47" s="17" t="str">
        <f>IFERROR(INDEX(Personnel[Adi Soyadi],$K47),"")</f>
        <v/>
      </c>
      <c r="C47" s="18" t="str">
        <f>IFERROR(INDEX(Personnel[Vatandaslik],$K47),"")</f>
        <v/>
      </c>
      <c r="D47" s="18" t="str">
        <f>IFERROR(INDEX(Personnel[Santiye],$K47),"")</f>
        <v/>
      </c>
      <c r="E47" s="18" t="str">
        <f>IFERROR(INDEX(Personnel[Ogretmen],$K47),"")</f>
        <v/>
      </c>
      <c r="F47" s="17" t="str">
        <f>IFERROR(INDEX(Personnel[[Sinav ]],$K47),"")</f>
        <v/>
      </c>
      <c r="G47" s="17" t="str">
        <f>IFERROR(INDEX(Personnel[Egtim durumu],$K47),"")</f>
        <v/>
      </c>
      <c r="H47" s="17" t="str">
        <f>IFERROR(INDEX(Personnel[Shohruh Not],$K47),"")</f>
        <v/>
      </c>
      <c r="I47" s="18" t="str">
        <f>IFERROR(INDEX(Personnel[Дней в РФ],$K47),"")</f>
        <v/>
      </c>
      <c r="K47" s="23" t="str">
        <f t="array" ref="K47">IFERROR(_xlfn.AGGREGATE(15,6,(ROW(Personnel[Egtim durumu])-MIN(ROW(Personnel[Egtim durumu]))+1)/((Personnel[Egtim durumu]="sinavi hazir")),ROWS($K$7:K47)),"")</f>
        <v/>
      </c>
    </row>
    <row r="48" spans="1:11" x14ac:dyDescent="0.25">
      <c r="A48" s="32" t="str">
        <f>IFERROR(INDEX(Personnel[Sicil],$K48),"")</f>
        <v/>
      </c>
      <c r="B48" s="33" t="str">
        <f>IFERROR(INDEX(Personnel[Adi Soyadi],$K48),"")</f>
        <v/>
      </c>
      <c r="C48" s="32" t="str">
        <f>IFERROR(INDEX(Personnel[Vatandaslik],$K48),"")</f>
        <v/>
      </c>
      <c r="D48" s="32" t="str">
        <f>IFERROR(INDEX(Personnel[Santiye],$K48),"")</f>
        <v/>
      </c>
      <c r="E48" s="32" t="str">
        <f>IFERROR(INDEX(Personnel[Ogretmen],$K48),"")</f>
        <v/>
      </c>
      <c r="F48" s="33" t="str">
        <f>IFERROR(INDEX(Personnel[[Sinav ]],$K48),"")</f>
        <v/>
      </c>
      <c r="G48" s="33" t="str">
        <f>IFERROR(INDEX(Personnel[Egtim durumu],$K48),"")</f>
        <v/>
      </c>
      <c r="H48" s="33" t="str">
        <f>IFERROR(INDEX(Personnel[Shohruh Not],$K48),"")</f>
        <v/>
      </c>
      <c r="I48" s="32" t="str">
        <f>IFERROR(INDEX(Personnel[Дней в РФ],$K48),"")</f>
        <v/>
      </c>
      <c r="K48" s="23" t="str">
        <f t="array" ref="K48">IFERROR(_xlfn.AGGREGATE(15,6,(ROW(Personnel[Egtim durumu])-MIN(ROW(Personnel[Egtim durumu]))+1)/((Personnel[Egtim durumu]="sinavi hazir")),ROWS($K$7:K48)),"")</f>
        <v/>
      </c>
    </row>
    <row r="49" spans="1:11" x14ac:dyDescent="0.25">
      <c r="A49" s="18" t="str">
        <f>IFERROR(INDEX(Personnel[Sicil],$K49),"")</f>
        <v/>
      </c>
      <c r="B49" s="17" t="str">
        <f>IFERROR(INDEX(Personnel[Adi Soyadi],$K49),"")</f>
        <v/>
      </c>
      <c r="C49" s="18" t="str">
        <f>IFERROR(INDEX(Personnel[Vatandaslik],$K49),"")</f>
        <v/>
      </c>
      <c r="D49" s="18" t="str">
        <f>IFERROR(INDEX(Personnel[Santiye],$K49),"")</f>
        <v/>
      </c>
      <c r="E49" s="18" t="str">
        <f>IFERROR(INDEX(Personnel[Ogretmen],$K49),"")</f>
        <v/>
      </c>
      <c r="F49" s="17" t="str">
        <f>IFERROR(INDEX(Personnel[[Sinav ]],$K49),"")</f>
        <v/>
      </c>
      <c r="G49" s="17" t="str">
        <f>IFERROR(INDEX(Personnel[Egtim durumu],$K49),"")</f>
        <v/>
      </c>
      <c r="H49" s="17" t="str">
        <f>IFERROR(INDEX(Personnel[Shohruh Not],$K49),"")</f>
        <v/>
      </c>
      <c r="I49" s="18" t="str">
        <f>IFERROR(INDEX(Personnel[Дней в РФ],$K49),"")</f>
        <v/>
      </c>
      <c r="K49" s="23" t="str">
        <f t="array" ref="K49">IFERROR(_xlfn.AGGREGATE(15,6,(ROW(Personnel[Egtim durumu])-MIN(ROW(Personnel[Egtim durumu]))+1)/((Personnel[Egtim durumu]="sinavi hazir")),ROWS($K$7:K49)),"")</f>
        <v/>
      </c>
    </row>
    <row r="50" spans="1:11" x14ac:dyDescent="0.25">
      <c r="A50" s="32" t="str">
        <f>IFERROR(INDEX(Personnel[Sicil],$K50),"")</f>
        <v/>
      </c>
      <c r="B50" s="33" t="str">
        <f>IFERROR(INDEX(Personnel[Adi Soyadi],$K50),"")</f>
        <v/>
      </c>
      <c r="C50" s="32" t="str">
        <f>IFERROR(INDEX(Personnel[Vatandaslik],$K50),"")</f>
        <v/>
      </c>
      <c r="D50" s="32" t="str">
        <f>IFERROR(INDEX(Personnel[Santiye],$K50),"")</f>
        <v/>
      </c>
      <c r="E50" s="32" t="str">
        <f>IFERROR(INDEX(Personnel[Ogretmen],$K50),"")</f>
        <v/>
      </c>
      <c r="F50" s="33" t="str">
        <f>IFERROR(INDEX(Personnel[[Sinav ]],$K50),"")</f>
        <v/>
      </c>
      <c r="G50" s="33" t="str">
        <f>IFERROR(INDEX(Personnel[Egtim durumu],$K50),"")</f>
        <v/>
      </c>
      <c r="H50" s="33" t="str">
        <f>IFERROR(INDEX(Personnel[Shohruh Not],$K50),"")</f>
        <v/>
      </c>
      <c r="I50" s="32" t="str">
        <f>IFERROR(INDEX(Personnel[Дней в РФ],$K50),"")</f>
        <v/>
      </c>
      <c r="K50" s="23" t="str">
        <f t="array" ref="K50">IFERROR(_xlfn.AGGREGATE(15,6,(ROW(Personnel[Egtim durumu])-MIN(ROW(Personnel[Egtim durumu]))+1)/((Personnel[Egtim durumu]="sinavi hazir")),ROWS($K$7:K50)),"")</f>
        <v/>
      </c>
    </row>
    <row r="51" spans="1:11" x14ac:dyDescent="0.25">
      <c r="A51" s="18" t="str">
        <f>IFERROR(INDEX(Personnel[Sicil],$K51),"")</f>
        <v/>
      </c>
      <c r="B51" s="17" t="str">
        <f>IFERROR(INDEX(Personnel[Adi Soyadi],$K51),"")</f>
        <v/>
      </c>
      <c r="C51" s="18" t="str">
        <f>IFERROR(INDEX(Personnel[Vatandaslik],$K51),"")</f>
        <v/>
      </c>
      <c r="D51" s="18" t="str">
        <f>IFERROR(INDEX(Personnel[Santiye],$K51),"")</f>
        <v/>
      </c>
      <c r="E51" s="18" t="str">
        <f>IFERROR(INDEX(Personnel[Ogretmen],$K51),"")</f>
        <v/>
      </c>
      <c r="F51" s="17" t="str">
        <f>IFERROR(INDEX(Personnel[[Sinav ]],$K51),"")</f>
        <v/>
      </c>
      <c r="G51" s="17" t="str">
        <f>IFERROR(INDEX(Personnel[Egtim durumu],$K51),"")</f>
        <v/>
      </c>
      <c r="H51" s="17" t="str">
        <f>IFERROR(INDEX(Personnel[Shohruh Not],$K51),"")</f>
        <v/>
      </c>
      <c r="I51" s="18" t="str">
        <f>IFERROR(INDEX(Personnel[Дней в РФ],$K51),"")</f>
        <v/>
      </c>
      <c r="K51" s="23" t="str">
        <f t="array" ref="K51">IFERROR(_xlfn.AGGREGATE(15,6,(ROW(Personnel[Egtim durumu])-MIN(ROW(Personnel[Egtim durumu]))+1)/((Personnel[Egtim durumu]="sinavi hazir")),ROWS($K$7:K51)),"")</f>
        <v/>
      </c>
    </row>
    <row r="52" spans="1:11" x14ac:dyDescent="0.25">
      <c r="A52" s="32" t="str">
        <f>IFERROR(INDEX(Personnel[Sicil],$K52),"")</f>
        <v/>
      </c>
      <c r="B52" s="33" t="str">
        <f>IFERROR(INDEX(Personnel[Adi Soyadi],$K52),"")</f>
        <v/>
      </c>
      <c r="C52" s="32" t="str">
        <f>IFERROR(INDEX(Personnel[Vatandaslik],$K52),"")</f>
        <v/>
      </c>
      <c r="D52" s="32" t="str">
        <f>IFERROR(INDEX(Personnel[Santiye],$K52),"")</f>
        <v/>
      </c>
      <c r="E52" s="32" t="str">
        <f>IFERROR(INDEX(Personnel[Ogretmen],$K52),"")</f>
        <v/>
      </c>
      <c r="F52" s="33" t="str">
        <f>IFERROR(INDEX(Personnel[[Sinav ]],$K52),"")</f>
        <v/>
      </c>
      <c r="G52" s="33" t="str">
        <f>IFERROR(INDEX(Personnel[Egtim durumu],$K52),"")</f>
        <v/>
      </c>
      <c r="H52" s="33" t="str">
        <f>IFERROR(INDEX(Personnel[Shohruh Not],$K52),"")</f>
        <v/>
      </c>
      <c r="I52" s="32" t="str">
        <f>IFERROR(INDEX(Personnel[Дней в РФ],$K52),"")</f>
        <v/>
      </c>
      <c r="K52" s="23" t="str">
        <f t="array" ref="K52">IFERROR(_xlfn.AGGREGATE(15,6,(ROW(Personnel[Egtim durumu])-MIN(ROW(Personnel[Egtim durumu]))+1)/((Personnel[Egtim durumu]="sinavi hazir")),ROWS($K$7:K52)),"")</f>
        <v/>
      </c>
    </row>
    <row r="53" spans="1:11" x14ac:dyDescent="0.25">
      <c r="A53" s="18" t="str">
        <f>IFERROR(INDEX(Personnel[Sicil],$K53),"")</f>
        <v/>
      </c>
      <c r="B53" s="17" t="str">
        <f>IFERROR(INDEX(Personnel[Adi Soyadi],$K53),"")</f>
        <v/>
      </c>
      <c r="C53" s="18" t="str">
        <f>IFERROR(INDEX(Personnel[Vatandaslik],$K53),"")</f>
        <v/>
      </c>
      <c r="D53" s="18" t="str">
        <f>IFERROR(INDEX(Personnel[Santiye],$K53),"")</f>
        <v/>
      </c>
      <c r="E53" s="18" t="str">
        <f>IFERROR(INDEX(Personnel[Ogretmen],$K53),"")</f>
        <v/>
      </c>
      <c r="F53" s="17" t="str">
        <f>IFERROR(INDEX(Personnel[[Sinav ]],$K53),"")</f>
        <v/>
      </c>
      <c r="G53" s="17" t="str">
        <f>IFERROR(INDEX(Personnel[Egtim durumu],$K53),"")</f>
        <v/>
      </c>
      <c r="H53" s="17" t="str">
        <f>IFERROR(INDEX(Personnel[Shohruh Not],$K53),"")</f>
        <v/>
      </c>
      <c r="I53" s="18" t="str">
        <f>IFERROR(INDEX(Personnel[Дней в РФ],$K53),"")</f>
        <v/>
      </c>
      <c r="K53" s="23" t="str">
        <f t="array" ref="K53">IFERROR(_xlfn.AGGREGATE(15,6,(ROW(Personnel[Egtim durumu])-MIN(ROW(Personnel[Egtim durumu]))+1)/((Personnel[Egtim durumu]="sinavi hazir")),ROWS($K$7:K53)),"")</f>
        <v/>
      </c>
    </row>
    <row r="54" spans="1:11" x14ac:dyDescent="0.25">
      <c r="A54" s="32" t="str">
        <f>IFERROR(INDEX(Personnel[Sicil],$K54),"")</f>
        <v/>
      </c>
      <c r="B54" s="33" t="str">
        <f>IFERROR(INDEX(Personnel[Adi Soyadi],$K54),"")</f>
        <v/>
      </c>
      <c r="C54" s="32" t="str">
        <f>IFERROR(INDEX(Personnel[Vatandaslik],$K54),"")</f>
        <v/>
      </c>
      <c r="D54" s="32" t="str">
        <f>IFERROR(INDEX(Personnel[Santiye],$K54),"")</f>
        <v/>
      </c>
      <c r="E54" s="32" t="str">
        <f>IFERROR(INDEX(Personnel[Ogretmen],$K54),"")</f>
        <v/>
      </c>
      <c r="F54" s="33" t="str">
        <f>IFERROR(INDEX(Personnel[[Sinav ]],$K54),"")</f>
        <v/>
      </c>
      <c r="G54" s="33" t="str">
        <f>IFERROR(INDEX(Personnel[Egtim durumu],$K54),"")</f>
        <v/>
      </c>
      <c r="H54" s="33" t="str">
        <f>IFERROR(INDEX(Personnel[Shohruh Not],$K54),"")</f>
        <v/>
      </c>
      <c r="I54" s="32" t="str">
        <f>IFERROR(INDEX(Personnel[Дней в РФ],$K54),"")</f>
        <v/>
      </c>
      <c r="K54" s="23" t="str">
        <f t="array" ref="K54">IFERROR(_xlfn.AGGREGATE(15,6,(ROW(Personnel[Egtim durumu])-MIN(ROW(Personnel[Egtim durumu]))+1)/((Personnel[Egtim durumu]="sinavi hazir")),ROWS($K$7:K54)),"")</f>
        <v/>
      </c>
    </row>
    <row r="55" spans="1:11" x14ac:dyDescent="0.25">
      <c r="A55" s="18" t="str">
        <f>IFERROR(INDEX(Personnel[Sicil],$K55),"")</f>
        <v/>
      </c>
      <c r="B55" s="17" t="str">
        <f>IFERROR(INDEX(Personnel[Adi Soyadi],$K55),"")</f>
        <v/>
      </c>
      <c r="C55" s="18" t="str">
        <f>IFERROR(INDEX(Personnel[Vatandaslik],$K55),"")</f>
        <v/>
      </c>
      <c r="D55" s="18" t="str">
        <f>IFERROR(INDEX(Personnel[Santiye],$K55),"")</f>
        <v/>
      </c>
      <c r="E55" s="18" t="str">
        <f>IFERROR(INDEX(Personnel[Ogretmen],$K55),"")</f>
        <v/>
      </c>
      <c r="F55" s="17" t="str">
        <f>IFERROR(INDEX(Personnel[[Sinav ]],$K55),"")</f>
        <v/>
      </c>
      <c r="G55" s="17" t="str">
        <f>IFERROR(INDEX(Personnel[Egtim durumu],$K55),"")</f>
        <v/>
      </c>
      <c r="H55" s="17" t="str">
        <f>IFERROR(INDEX(Personnel[Shohruh Not],$K55),"")</f>
        <v/>
      </c>
      <c r="I55" s="18" t="str">
        <f>IFERROR(INDEX(Personnel[Дней в РФ],$K55),"")</f>
        <v/>
      </c>
      <c r="K55" s="23" t="str">
        <f t="array" ref="K55">IFERROR(_xlfn.AGGREGATE(15,6,(ROW(Personnel[Egtim durumu])-MIN(ROW(Personnel[Egtim durumu]))+1)/((Personnel[Egtim durumu]="sinavi hazir")),ROWS($K$7:K55)),"")</f>
        <v/>
      </c>
    </row>
    <row r="56" spans="1:11" x14ac:dyDescent="0.25">
      <c r="A56" s="32" t="str">
        <f>IFERROR(INDEX(Personnel[Sicil],$K56),"")</f>
        <v/>
      </c>
      <c r="B56" s="33" t="str">
        <f>IFERROR(INDEX(Personnel[Adi Soyadi],$K56),"")</f>
        <v/>
      </c>
      <c r="C56" s="32" t="str">
        <f>IFERROR(INDEX(Personnel[Vatandaslik],$K56),"")</f>
        <v/>
      </c>
      <c r="D56" s="32" t="str">
        <f>IFERROR(INDEX(Personnel[Santiye],$K56),"")</f>
        <v/>
      </c>
      <c r="E56" s="32" t="str">
        <f>IFERROR(INDEX(Personnel[Ogretmen],$K56),"")</f>
        <v/>
      </c>
      <c r="F56" s="33" t="str">
        <f>IFERROR(INDEX(Personnel[[Sinav ]],$K56),"")</f>
        <v/>
      </c>
      <c r="G56" s="33" t="str">
        <f>IFERROR(INDEX(Personnel[Egtim durumu],$K56),"")</f>
        <v/>
      </c>
      <c r="H56" s="33" t="str">
        <f>IFERROR(INDEX(Personnel[Shohruh Not],$K56),"")</f>
        <v/>
      </c>
      <c r="I56" s="32" t="str">
        <f>IFERROR(INDEX(Personnel[Дней в РФ],$K56),"")</f>
        <v/>
      </c>
      <c r="K56" s="23" t="str">
        <f t="array" ref="K56">IFERROR(_xlfn.AGGREGATE(15,6,(ROW(Personnel[Egtim durumu])-MIN(ROW(Personnel[Egtim durumu]))+1)/((Personnel[Egtim durumu]="sinavi hazir")),ROWS($K$7:K56)),"")</f>
        <v/>
      </c>
    </row>
    <row r="57" spans="1:11" x14ac:dyDescent="0.25">
      <c r="A57" s="18" t="str">
        <f>IFERROR(INDEX(Personnel[Sicil],$K57),"")</f>
        <v/>
      </c>
      <c r="B57" s="17" t="str">
        <f>IFERROR(INDEX(Personnel[Adi Soyadi],$K57),"")</f>
        <v/>
      </c>
      <c r="C57" s="18" t="str">
        <f>IFERROR(INDEX(Personnel[Vatandaslik],$K57),"")</f>
        <v/>
      </c>
      <c r="D57" s="18" t="str">
        <f>IFERROR(INDEX(Personnel[Santiye],$K57),"")</f>
        <v/>
      </c>
      <c r="E57" s="18" t="str">
        <f>IFERROR(INDEX(Personnel[Ogretmen],$K57),"")</f>
        <v/>
      </c>
      <c r="F57" s="17" t="str">
        <f>IFERROR(INDEX(Personnel[[Sinav ]],$K57),"")</f>
        <v/>
      </c>
      <c r="G57" s="17" t="str">
        <f>IFERROR(INDEX(Personnel[Egtim durumu],$K57),"")</f>
        <v/>
      </c>
      <c r="H57" s="17" t="str">
        <f>IFERROR(INDEX(Personnel[Shohruh Not],$K57),"")</f>
        <v/>
      </c>
      <c r="I57" s="18" t="str">
        <f>IFERROR(INDEX(Personnel[Дней в РФ],$K57),"")</f>
        <v/>
      </c>
      <c r="K57" s="23" t="str">
        <f t="array" ref="K57">IFERROR(_xlfn.AGGREGATE(15,6,(ROW(Personnel[Egtim durumu])-MIN(ROW(Personnel[Egtim durumu]))+1)/((Personnel[Egtim durumu]="sinavi hazir")),ROWS($K$7:K57)),"")</f>
        <v/>
      </c>
    </row>
    <row r="58" spans="1:11" x14ac:dyDescent="0.25">
      <c r="A58" s="32" t="str">
        <f>IFERROR(INDEX(Personnel[Sicil],$K58),"")</f>
        <v/>
      </c>
      <c r="B58" s="33" t="str">
        <f>IFERROR(INDEX(Personnel[Adi Soyadi],$K58),"")</f>
        <v/>
      </c>
      <c r="C58" s="32" t="str">
        <f>IFERROR(INDEX(Personnel[Vatandaslik],$K58),"")</f>
        <v/>
      </c>
      <c r="D58" s="32" t="str">
        <f>IFERROR(INDEX(Personnel[Santiye],$K58),"")</f>
        <v/>
      </c>
      <c r="E58" s="32" t="str">
        <f>IFERROR(INDEX(Personnel[Ogretmen],$K58),"")</f>
        <v/>
      </c>
      <c r="F58" s="33" t="str">
        <f>IFERROR(INDEX(Personnel[[Sinav ]],$K58),"")</f>
        <v/>
      </c>
      <c r="G58" s="33" t="str">
        <f>IFERROR(INDEX(Personnel[Egtim durumu],$K58),"")</f>
        <v/>
      </c>
      <c r="H58" s="33" t="str">
        <f>IFERROR(INDEX(Personnel[Shohruh Not],$K58),"")</f>
        <v/>
      </c>
      <c r="I58" s="32" t="str">
        <f>IFERROR(INDEX(Personnel[Дней в РФ],$K58),"")</f>
        <v/>
      </c>
      <c r="K58" s="23" t="str">
        <f t="array" ref="K58">IFERROR(_xlfn.AGGREGATE(15,6,(ROW(Personnel[Egtim durumu])-MIN(ROW(Personnel[Egtim durumu]))+1)/((Personnel[Egtim durumu]="sinavi hazir")),ROWS($K$7:K58)),"")</f>
        <v/>
      </c>
    </row>
    <row r="59" spans="1:11" x14ac:dyDescent="0.25">
      <c r="A59" s="18" t="str">
        <f>IFERROR(INDEX(Personnel[Sicil],$K59),"")</f>
        <v/>
      </c>
      <c r="B59" s="17" t="str">
        <f>IFERROR(INDEX(Personnel[Adi Soyadi],$K59),"")</f>
        <v/>
      </c>
      <c r="C59" s="18" t="str">
        <f>IFERROR(INDEX(Personnel[Vatandaslik],$K59),"")</f>
        <v/>
      </c>
      <c r="D59" s="18" t="str">
        <f>IFERROR(INDEX(Personnel[Santiye],$K59),"")</f>
        <v/>
      </c>
      <c r="E59" s="18" t="str">
        <f>IFERROR(INDEX(Personnel[Ogretmen],$K59),"")</f>
        <v/>
      </c>
      <c r="F59" s="17" t="str">
        <f>IFERROR(INDEX(Personnel[[Sinav ]],$K59),"")</f>
        <v/>
      </c>
      <c r="G59" s="17" t="str">
        <f>IFERROR(INDEX(Personnel[Egtim durumu],$K59),"")</f>
        <v/>
      </c>
      <c r="H59" s="17" t="str">
        <f>IFERROR(INDEX(Personnel[Shohruh Not],$K59),"")</f>
        <v/>
      </c>
      <c r="I59" s="18" t="str">
        <f>IFERROR(INDEX(Personnel[Дней в РФ],$K59),"")</f>
        <v/>
      </c>
      <c r="K59" s="23" t="str">
        <f t="array" ref="K59">IFERROR(_xlfn.AGGREGATE(15,6,(ROW(Personnel[Egtim durumu])-MIN(ROW(Personnel[Egtim durumu]))+1)/((Personnel[Egtim durumu]="sinavi hazir")),ROWS($K$7:K59)),"")</f>
        <v/>
      </c>
    </row>
    <row r="60" spans="1:11" x14ac:dyDescent="0.25">
      <c r="A60" s="32" t="str">
        <f>IFERROR(INDEX(Personnel[Sicil],$K60),"")</f>
        <v/>
      </c>
      <c r="B60" s="33" t="str">
        <f>IFERROR(INDEX(Personnel[Adi Soyadi],$K60),"")</f>
        <v/>
      </c>
      <c r="C60" s="32" t="str">
        <f>IFERROR(INDEX(Personnel[Vatandaslik],$K60),"")</f>
        <v/>
      </c>
      <c r="D60" s="32" t="str">
        <f>IFERROR(INDEX(Personnel[Santiye],$K60),"")</f>
        <v/>
      </c>
      <c r="E60" s="32" t="str">
        <f>IFERROR(INDEX(Personnel[Ogretmen],$K60),"")</f>
        <v/>
      </c>
      <c r="F60" s="33" t="str">
        <f>IFERROR(INDEX(Personnel[[Sinav ]],$K60),"")</f>
        <v/>
      </c>
      <c r="G60" s="33" t="str">
        <f>IFERROR(INDEX(Personnel[Egtim durumu],$K60),"")</f>
        <v/>
      </c>
      <c r="H60" s="33" t="str">
        <f>IFERROR(INDEX(Personnel[Shohruh Not],$K60),"")</f>
        <v/>
      </c>
      <c r="I60" s="32" t="str">
        <f>IFERROR(INDEX(Personnel[Дней в РФ],$K60),"")</f>
        <v/>
      </c>
      <c r="K60" s="23" t="str">
        <f t="array" ref="K60">IFERROR(_xlfn.AGGREGATE(15,6,(ROW(Personnel[Egtim durumu])-MIN(ROW(Personnel[Egtim durumu]))+1)/((Personnel[Egtim durumu]="sinavi hazir")),ROWS($K$7:K60)),"")</f>
        <v/>
      </c>
    </row>
    <row r="61" spans="1:11" x14ac:dyDescent="0.25">
      <c r="A61" s="18" t="str">
        <f>IFERROR(INDEX(Personnel[Sicil],$K61),"")</f>
        <v/>
      </c>
      <c r="B61" s="17" t="str">
        <f>IFERROR(INDEX(Personnel[Adi Soyadi],$K61),"")</f>
        <v/>
      </c>
      <c r="C61" s="18" t="str">
        <f>IFERROR(INDEX(Personnel[Vatandaslik],$K61),"")</f>
        <v/>
      </c>
      <c r="D61" s="18" t="str">
        <f>IFERROR(INDEX(Personnel[Santiye],$K61),"")</f>
        <v/>
      </c>
      <c r="E61" s="18" t="str">
        <f>IFERROR(INDEX(Personnel[Ogretmen],$K61),"")</f>
        <v/>
      </c>
      <c r="F61" s="17" t="str">
        <f>IFERROR(INDEX(Personnel[[Sinav ]],$K61),"")</f>
        <v/>
      </c>
      <c r="G61" s="17" t="str">
        <f>IFERROR(INDEX(Personnel[Egtim durumu],$K61),"")</f>
        <v/>
      </c>
      <c r="H61" s="17" t="str">
        <f>IFERROR(INDEX(Personnel[Shohruh Not],$K61),"")</f>
        <v/>
      </c>
      <c r="I61" s="18" t="str">
        <f>IFERROR(INDEX(Personnel[Дней в РФ],$K61),"")</f>
        <v/>
      </c>
      <c r="K61" s="23" t="str">
        <f t="array" ref="K61">IFERROR(_xlfn.AGGREGATE(15,6,(ROW(Personnel[Egtim durumu])-MIN(ROW(Personnel[Egtim durumu]))+1)/((Personnel[Egtim durumu]="sinavi hazir")),ROWS($K$7:K61)),"")</f>
        <v/>
      </c>
    </row>
    <row r="62" spans="1:11" x14ac:dyDescent="0.25">
      <c r="A62" s="32" t="str">
        <f>IFERROR(INDEX(Personnel[Sicil],$K62),"")</f>
        <v/>
      </c>
      <c r="B62" s="33" t="str">
        <f>IFERROR(INDEX(Personnel[Adi Soyadi],$K62),"")</f>
        <v/>
      </c>
      <c r="C62" s="32" t="str">
        <f>IFERROR(INDEX(Personnel[Vatandaslik],$K62),"")</f>
        <v/>
      </c>
      <c r="D62" s="32" t="str">
        <f>IFERROR(INDEX(Personnel[Santiye],$K62),"")</f>
        <v/>
      </c>
      <c r="E62" s="32" t="str">
        <f>IFERROR(INDEX(Personnel[Ogretmen],$K62),"")</f>
        <v/>
      </c>
      <c r="F62" s="33" t="str">
        <f>IFERROR(INDEX(Personnel[[Sinav ]],$K62),"")</f>
        <v/>
      </c>
      <c r="G62" s="33" t="str">
        <f>IFERROR(INDEX(Personnel[Egtim durumu],$K62),"")</f>
        <v/>
      </c>
      <c r="H62" s="33" t="str">
        <f>IFERROR(INDEX(Personnel[Shohruh Not],$K62),"")</f>
        <v/>
      </c>
      <c r="I62" s="32" t="str">
        <f>IFERROR(INDEX(Personnel[Дней в РФ],$K62),"")</f>
        <v/>
      </c>
      <c r="K62" s="23" t="str">
        <f t="array" ref="K62">IFERROR(_xlfn.AGGREGATE(15,6,(ROW(Personnel[Egtim durumu])-MIN(ROW(Personnel[Egtim durumu]))+1)/((Personnel[Egtim durumu]="sinavi hazir")),ROWS($K$7:K62)),"")</f>
        <v/>
      </c>
    </row>
    <row r="63" spans="1:11" x14ac:dyDescent="0.25">
      <c r="A63" s="18" t="str">
        <f>IFERROR(INDEX(Personnel[Sicil],$K63),"")</f>
        <v/>
      </c>
      <c r="B63" s="17" t="str">
        <f>IFERROR(INDEX(Personnel[Adi Soyadi],$K63),"")</f>
        <v/>
      </c>
      <c r="C63" s="18" t="str">
        <f>IFERROR(INDEX(Personnel[Vatandaslik],$K63),"")</f>
        <v/>
      </c>
      <c r="D63" s="18" t="str">
        <f>IFERROR(INDEX(Personnel[Santiye],$K63),"")</f>
        <v/>
      </c>
      <c r="E63" s="18" t="str">
        <f>IFERROR(INDEX(Personnel[Ogretmen],$K63),"")</f>
        <v/>
      </c>
      <c r="F63" s="17" t="str">
        <f>IFERROR(INDEX(Personnel[[Sinav ]],$K63),"")</f>
        <v/>
      </c>
      <c r="G63" s="17" t="str">
        <f>IFERROR(INDEX(Personnel[Egtim durumu],$K63),"")</f>
        <v/>
      </c>
      <c r="H63" s="17" t="str">
        <f>IFERROR(INDEX(Personnel[Shohruh Not],$K63),"")</f>
        <v/>
      </c>
      <c r="I63" s="18" t="str">
        <f>IFERROR(INDEX(Personnel[Дней в РФ],$K63),"")</f>
        <v/>
      </c>
      <c r="K63" s="23" t="str">
        <f t="array" ref="K63">IFERROR(_xlfn.AGGREGATE(15,6,(ROW(Personnel[Egtim durumu])-MIN(ROW(Personnel[Egtim durumu]))+1)/((Personnel[Egtim durumu]="sinavi hazir")),ROWS($K$7:K63)),"")</f>
        <v/>
      </c>
    </row>
    <row r="64" spans="1:11" x14ac:dyDescent="0.25">
      <c r="A64" s="32" t="str">
        <f>IFERROR(INDEX(Personnel[Sicil],$K64),"")</f>
        <v/>
      </c>
      <c r="B64" s="33" t="str">
        <f>IFERROR(INDEX(Personnel[Adi Soyadi],$K64),"")</f>
        <v/>
      </c>
      <c r="C64" s="32" t="str">
        <f>IFERROR(INDEX(Personnel[Vatandaslik],$K64),"")</f>
        <v/>
      </c>
      <c r="D64" s="32" t="str">
        <f>IFERROR(INDEX(Personnel[Santiye],$K64),"")</f>
        <v/>
      </c>
      <c r="E64" s="32" t="str">
        <f>IFERROR(INDEX(Personnel[Ogretmen],$K64),"")</f>
        <v/>
      </c>
      <c r="F64" s="33" t="str">
        <f>IFERROR(INDEX(Personnel[[Sinav ]],$K64),"")</f>
        <v/>
      </c>
      <c r="G64" s="33" t="str">
        <f>IFERROR(INDEX(Personnel[Egtim durumu],$K64),"")</f>
        <v/>
      </c>
      <c r="H64" s="33" t="str">
        <f>IFERROR(INDEX(Personnel[Shohruh Not],$K64),"")</f>
        <v/>
      </c>
      <c r="I64" s="32" t="str">
        <f>IFERROR(INDEX(Personnel[Дней в РФ],$K64),"")</f>
        <v/>
      </c>
      <c r="K64" s="23" t="str">
        <f t="array" ref="K64">IFERROR(_xlfn.AGGREGATE(15,6,(ROW(Personnel[Egtim durumu])-MIN(ROW(Personnel[Egtim durumu]))+1)/((Personnel[Egtim durumu]="sinavi hazir")),ROWS($K$7:K64)),"")</f>
        <v/>
      </c>
    </row>
    <row r="65" spans="1:11" x14ac:dyDescent="0.25">
      <c r="A65" s="18" t="str">
        <f>IFERROR(INDEX(Personnel[Sicil],$K65),"")</f>
        <v/>
      </c>
      <c r="B65" s="17" t="str">
        <f>IFERROR(INDEX(Personnel[Adi Soyadi],$K65),"")</f>
        <v/>
      </c>
      <c r="C65" s="18" t="str">
        <f>IFERROR(INDEX(Personnel[Vatandaslik],$K65),"")</f>
        <v/>
      </c>
      <c r="D65" s="18" t="str">
        <f>IFERROR(INDEX(Personnel[Santiye],$K65),"")</f>
        <v/>
      </c>
      <c r="E65" s="18" t="str">
        <f>IFERROR(INDEX(Personnel[Ogretmen],$K65),"")</f>
        <v/>
      </c>
      <c r="F65" s="17" t="str">
        <f>IFERROR(INDEX(Personnel[[Sinav ]],$K65),"")</f>
        <v/>
      </c>
      <c r="G65" s="17" t="str">
        <f>IFERROR(INDEX(Personnel[Egtim durumu],$K65),"")</f>
        <v/>
      </c>
      <c r="H65" s="17" t="str">
        <f>IFERROR(INDEX(Personnel[Shohruh Not],$K65),"")</f>
        <v/>
      </c>
      <c r="I65" s="18" t="str">
        <f>IFERROR(INDEX(Personnel[Дней в РФ],$K65),"")</f>
        <v/>
      </c>
      <c r="K65" s="23" t="str">
        <f t="array" ref="K65">IFERROR(_xlfn.AGGREGATE(15,6,(ROW(Personnel[Egtim durumu])-MIN(ROW(Personnel[Egtim durumu]))+1)/((Personnel[Egtim durumu]="sinavi hazir")),ROWS($K$7:K65)),"")</f>
        <v/>
      </c>
    </row>
    <row r="66" spans="1:11" x14ac:dyDescent="0.25">
      <c r="A66" s="32" t="str">
        <f>IFERROR(INDEX(Personnel[Sicil],$K66),"")</f>
        <v/>
      </c>
      <c r="B66" s="33" t="str">
        <f>IFERROR(INDEX(Personnel[Adi Soyadi],$K66),"")</f>
        <v/>
      </c>
      <c r="C66" s="32" t="str">
        <f>IFERROR(INDEX(Personnel[Vatandaslik],$K66),"")</f>
        <v/>
      </c>
      <c r="D66" s="32" t="str">
        <f>IFERROR(INDEX(Personnel[Santiye],$K66),"")</f>
        <v/>
      </c>
      <c r="E66" s="32" t="str">
        <f>IFERROR(INDEX(Personnel[Ogretmen],$K66),"")</f>
        <v/>
      </c>
      <c r="F66" s="33" t="str">
        <f>IFERROR(INDEX(Personnel[[Sinav ]],$K66),"")</f>
        <v/>
      </c>
      <c r="G66" s="33" t="str">
        <f>IFERROR(INDEX(Personnel[Egtim durumu],$K66),"")</f>
        <v/>
      </c>
      <c r="H66" s="33" t="str">
        <f>IFERROR(INDEX(Personnel[Shohruh Not],$K66),"")</f>
        <v/>
      </c>
      <c r="I66" s="32" t="str">
        <f>IFERROR(INDEX(Personnel[Дней в РФ],$K66),"")</f>
        <v/>
      </c>
      <c r="K66" s="23" t="str">
        <f t="array" ref="K66">IFERROR(_xlfn.AGGREGATE(15,6,(ROW(Personnel[Egtim durumu])-MIN(ROW(Personnel[Egtim durumu]))+1)/((Personnel[Egtim durumu]="sinavi hazir")),ROWS($K$7:K66)),"")</f>
        <v/>
      </c>
    </row>
    <row r="67" spans="1:11" x14ac:dyDescent="0.25">
      <c r="A67" s="18" t="str">
        <f>IFERROR(INDEX(Personnel[Sicil],$K67),"")</f>
        <v/>
      </c>
      <c r="B67" s="17" t="str">
        <f>IFERROR(INDEX(Personnel[Adi Soyadi],$K67),"")</f>
        <v/>
      </c>
      <c r="C67" s="18" t="str">
        <f>IFERROR(INDEX(Personnel[Vatandaslik],$K67),"")</f>
        <v/>
      </c>
      <c r="D67" s="18" t="str">
        <f>IFERROR(INDEX(Personnel[Santiye],$K67),"")</f>
        <v/>
      </c>
      <c r="E67" s="18" t="str">
        <f>IFERROR(INDEX(Personnel[Ogretmen],$K67),"")</f>
        <v/>
      </c>
      <c r="F67" s="17" t="str">
        <f>IFERROR(INDEX(Personnel[[Sinav ]],$K67),"")</f>
        <v/>
      </c>
      <c r="G67" s="17" t="str">
        <f>IFERROR(INDEX(Personnel[Egtim durumu],$K67),"")</f>
        <v/>
      </c>
      <c r="H67" s="17" t="str">
        <f>IFERROR(INDEX(Personnel[Shohruh Not],$K67),"")</f>
        <v/>
      </c>
      <c r="I67" s="18" t="str">
        <f>IFERROR(INDEX(Personnel[Дней в РФ],$K67),"")</f>
        <v/>
      </c>
      <c r="K67" s="23" t="str">
        <f t="array" ref="K67">IFERROR(_xlfn.AGGREGATE(15,6,(ROW(Personnel[Egtim durumu])-MIN(ROW(Personnel[Egtim durumu]))+1)/((Personnel[Egtim durumu]="sinavi hazir")),ROWS($K$7:K67)),"")</f>
        <v/>
      </c>
    </row>
    <row r="68" spans="1:11" x14ac:dyDescent="0.25">
      <c r="A68" s="32" t="str">
        <f>IFERROR(INDEX(Personnel[Sicil],$K68),"")</f>
        <v/>
      </c>
      <c r="B68" s="33" t="str">
        <f>IFERROR(INDEX(Personnel[Adi Soyadi],$K68),"")</f>
        <v/>
      </c>
      <c r="C68" s="32" t="str">
        <f>IFERROR(INDEX(Personnel[Vatandaslik],$K68),"")</f>
        <v/>
      </c>
      <c r="D68" s="32" t="str">
        <f>IFERROR(INDEX(Personnel[Santiye],$K68),"")</f>
        <v/>
      </c>
      <c r="E68" s="32" t="str">
        <f>IFERROR(INDEX(Personnel[Ogretmen],$K68),"")</f>
        <v/>
      </c>
      <c r="F68" s="33" t="str">
        <f>IFERROR(INDEX(Personnel[[Sinav ]],$K68),"")</f>
        <v/>
      </c>
      <c r="G68" s="33" t="str">
        <f>IFERROR(INDEX(Personnel[Egtim durumu],$K68),"")</f>
        <v/>
      </c>
      <c r="H68" s="33" t="str">
        <f>IFERROR(INDEX(Personnel[Shohruh Not],$K68),"")</f>
        <v/>
      </c>
      <c r="I68" s="32" t="str">
        <f>IFERROR(INDEX(Personnel[Дней в РФ],$K68),"")</f>
        <v/>
      </c>
      <c r="K68" s="23" t="str">
        <f t="array" ref="K68">IFERROR(_xlfn.AGGREGATE(15,6,(ROW(Personnel[Egtim durumu])-MIN(ROW(Personnel[Egtim durumu]))+1)/((Personnel[Egtim durumu]="sinavi hazir")),ROWS($K$7:K68)),"")</f>
        <v/>
      </c>
    </row>
    <row r="69" spans="1:11" x14ac:dyDescent="0.25">
      <c r="A69" s="18" t="str">
        <f>IFERROR(INDEX(Personnel[Sicil],$K69),"")</f>
        <v/>
      </c>
      <c r="B69" s="17" t="str">
        <f>IFERROR(INDEX(Personnel[Adi Soyadi],$K69),"")</f>
        <v/>
      </c>
      <c r="C69" s="18" t="str">
        <f>IFERROR(INDEX(Personnel[Vatandaslik],$K69),"")</f>
        <v/>
      </c>
      <c r="D69" s="18" t="str">
        <f>IFERROR(INDEX(Personnel[Santiye],$K69),"")</f>
        <v/>
      </c>
      <c r="E69" s="18" t="str">
        <f>IFERROR(INDEX(Personnel[Ogretmen],$K69),"")</f>
        <v/>
      </c>
      <c r="F69" s="17" t="str">
        <f>IFERROR(INDEX(Personnel[[Sinav ]],$K69),"")</f>
        <v/>
      </c>
      <c r="G69" s="17" t="str">
        <f>IFERROR(INDEX(Personnel[Egtim durumu],$K69),"")</f>
        <v/>
      </c>
      <c r="H69" s="17" t="str">
        <f>IFERROR(INDEX(Personnel[Shohruh Not],$K69),"")</f>
        <v/>
      </c>
      <c r="I69" s="18" t="str">
        <f>IFERROR(INDEX(Personnel[Дней в РФ],$K69),"")</f>
        <v/>
      </c>
      <c r="K69" s="23" t="str">
        <f t="array" ref="K69">IFERROR(_xlfn.AGGREGATE(15,6,(ROW(Personnel[Egtim durumu])-MIN(ROW(Personnel[Egtim durumu]))+1)/((Personnel[Egtim durumu]="sinavi hazir")),ROWS($K$7:K69)),"")</f>
        <v/>
      </c>
    </row>
    <row r="70" spans="1:11" x14ac:dyDescent="0.25">
      <c r="A70" s="32" t="str">
        <f>IFERROR(INDEX(Personnel[Sicil],$K70),"")</f>
        <v/>
      </c>
      <c r="B70" s="33" t="str">
        <f>IFERROR(INDEX(Personnel[Adi Soyadi],$K70),"")</f>
        <v/>
      </c>
      <c r="C70" s="32" t="str">
        <f>IFERROR(INDEX(Personnel[Vatandaslik],$K70),"")</f>
        <v/>
      </c>
      <c r="D70" s="32" t="str">
        <f>IFERROR(INDEX(Personnel[Santiye],$K70),"")</f>
        <v/>
      </c>
      <c r="E70" s="32" t="str">
        <f>IFERROR(INDEX(Personnel[Ogretmen],$K70),"")</f>
        <v/>
      </c>
      <c r="F70" s="33" t="str">
        <f>IFERROR(INDEX(Personnel[[Sinav ]],$K70),"")</f>
        <v/>
      </c>
      <c r="G70" s="33" t="str">
        <f>IFERROR(INDEX(Personnel[Egtim durumu],$K70),"")</f>
        <v/>
      </c>
      <c r="H70" s="33" t="str">
        <f>IFERROR(INDEX(Personnel[Shohruh Not],$K70),"")</f>
        <v/>
      </c>
      <c r="I70" s="32" t="str">
        <f>IFERROR(INDEX(Personnel[Дней в РФ],$K70),"")</f>
        <v/>
      </c>
      <c r="K70" s="23" t="str">
        <f t="array" ref="K70">IFERROR(_xlfn.AGGREGATE(15,6,(ROW(Personnel[Egtim durumu])-MIN(ROW(Personnel[Egtim durumu]))+1)/((Personnel[Egtim durumu]="sinavi hazir")),ROWS($K$7:K70)),"")</f>
        <v/>
      </c>
    </row>
    <row r="71" spans="1:11" x14ac:dyDescent="0.25">
      <c r="A71" s="18" t="str">
        <f>IFERROR(INDEX(Personnel[Sicil],$K71),"")</f>
        <v/>
      </c>
      <c r="B71" s="17" t="str">
        <f>IFERROR(INDEX(Personnel[Adi Soyadi],$K71),"")</f>
        <v/>
      </c>
      <c r="C71" s="18" t="str">
        <f>IFERROR(INDEX(Personnel[Vatandaslik],$K71),"")</f>
        <v/>
      </c>
      <c r="D71" s="18" t="str">
        <f>IFERROR(INDEX(Personnel[Santiye],$K71),"")</f>
        <v/>
      </c>
      <c r="E71" s="18" t="str">
        <f>IFERROR(INDEX(Personnel[Ogretmen],$K71),"")</f>
        <v/>
      </c>
      <c r="F71" s="17" t="str">
        <f>IFERROR(INDEX(Personnel[[Sinav ]],$K71),"")</f>
        <v/>
      </c>
      <c r="G71" s="17" t="str">
        <f>IFERROR(INDEX(Personnel[Egtim durumu],$K71),"")</f>
        <v/>
      </c>
      <c r="H71" s="17" t="str">
        <f>IFERROR(INDEX(Personnel[Shohruh Not],$K71),"")</f>
        <v/>
      </c>
      <c r="I71" s="18" t="str">
        <f>IFERROR(INDEX(Personnel[Дней в РФ],$K71),"")</f>
        <v/>
      </c>
      <c r="K71" s="23" t="str">
        <f t="array" ref="K71">IFERROR(_xlfn.AGGREGATE(15,6,(ROW(Personnel[Egtim durumu])-MIN(ROW(Personnel[Egtim durumu]))+1)/((Personnel[Egtim durumu]="sinavi hazir")),ROWS($K$7:K71)),"")</f>
        <v/>
      </c>
    </row>
    <row r="72" spans="1:11" x14ac:dyDescent="0.25">
      <c r="A72" s="32" t="str">
        <f>IFERROR(INDEX(Personnel[Sicil],$K72),"")</f>
        <v/>
      </c>
      <c r="B72" s="33" t="str">
        <f>IFERROR(INDEX(Personnel[Adi Soyadi],$K72),"")</f>
        <v/>
      </c>
      <c r="C72" s="32" t="str">
        <f>IFERROR(INDEX(Personnel[Vatandaslik],$K72),"")</f>
        <v/>
      </c>
      <c r="D72" s="32" t="str">
        <f>IFERROR(INDEX(Personnel[Santiye],$K72),"")</f>
        <v/>
      </c>
      <c r="E72" s="32" t="str">
        <f>IFERROR(INDEX(Personnel[Ogretmen],$K72),"")</f>
        <v/>
      </c>
      <c r="F72" s="33" t="str">
        <f>IFERROR(INDEX(Personnel[[Sinav ]],$K72),"")</f>
        <v/>
      </c>
      <c r="G72" s="33" t="str">
        <f>IFERROR(INDEX(Personnel[Egtim durumu],$K72),"")</f>
        <v/>
      </c>
      <c r="H72" s="33" t="str">
        <f>IFERROR(INDEX(Personnel[Shohruh Not],$K72),"")</f>
        <v/>
      </c>
      <c r="I72" s="32" t="str">
        <f>IFERROR(INDEX(Personnel[Дней в РФ],$K72),"")</f>
        <v/>
      </c>
      <c r="K72" s="23" t="str">
        <f t="array" ref="K72">IFERROR(_xlfn.AGGREGATE(15,6,(ROW(Personnel[Egtim durumu])-MIN(ROW(Personnel[Egtim durumu]))+1)/((Personnel[Egtim durumu]="sinavi hazir")),ROWS($K$7:K72)),"")</f>
        <v/>
      </c>
    </row>
    <row r="73" spans="1:11" x14ac:dyDescent="0.25">
      <c r="A73" s="18" t="str">
        <f>IFERROR(INDEX(Personnel[Sicil],$K73),"")</f>
        <v/>
      </c>
      <c r="B73" s="17" t="str">
        <f>IFERROR(INDEX(Personnel[Adi Soyadi],$K73),"")</f>
        <v/>
      </c>
      <c r="C73" s="18" t="str">
        <f>IFERROR(INDEX(Personnel[Vatandaslik],$K73),"")</f>
        <v/>
      </c>
      <c r="D73" s="18" t="str">
        <f>IFERROR(INDEX(Personnel[Santiye],$K73),"")</f>
        <v/>
      </c>
      <c r="E73" s="18" t="str">
        <f>IFERROR(INDEX(Personnel[Ogretmen],$K73),"")</f>
        <v/>
      </c>
      <c r="F73" s="17" t="str">
        <f>IFERROR(INDEX(Personnel[[Sinav ]],$K73),"")</f>
        <v/>
      </c>
      <c r="G73" s="17" t="str">
        <f>IFERROR(INDEX(Personnel[Egtim durumu],$K73),"")</f>
        <v/>
      </c>
      <c r="H73" s="17" t="str">
        <f>IFERROR(INDEX(Personnel[Shohruh Not],$K73),"")</f>
        <v/>
      </c>
      <c r="I73" s="18" t="str">
        <f>IFERROR(INDEX(Personnel[Дней в РФ],$K73),"")</f>
        <v/>
      </c>
      <c r="K73" s="23" t="str">
        <f t="array" ref="K73">IFERROR(_xlfn.AGGREGATE(15,6,(ROW(Personnel[Egtim durumu])-MIN(ROW(Personnel[Egtim durumu]))+1)/((Personnel[Egtim durumu]="sinavi hazir")),ROWS($K$7:K73)),"")</f>
        <v/>
      </c>
    </row>
    <row r="74" spans="1:11" x14ac:dyDescent="0.25">
      <c r="A74" s="32" t="str">
        <f>IFERROR(INDEX(Personnel[Sicil],$K74),"")</f>
        <v/>
      </c>
      <c r="B74" s="33" t="str">
        <f>IFERROR(INDEX(Personnel[Adi Soyadi],$K74),"")</f>
        <v/>
      </c>
      <c r="C74" s="32" t="str">
        <f>IFERROR(INDEX(Personnel[Vatandaslik],$K74),"")</f>
        <v/>
      </c>
      <c r="D74" s="32" t="str">
        <f>IFERROR(INDEX(Personnel[Santiye],$K74),"")</f>
        <v/>
      </c>
      <c r="E74" s="32" t="str">
        <f>IFERROR(INDEX(Personnel[Ogretmen],$K74),"")</f>
        <v/>
      </c>
      <c r="F74" s="33" t="str">
        <f>IFERROR(INDEX(Personnel[[Sinav ]],$K74),"")</f>
        <v/>
      </c>
      <c r="G74" s="33" t="str">
        <f>IFERROR(INDEX(Personnel[Egtim durumu],$K74),"")</f>
        <v/>
      </c>
      <c r="H74" s="33" t="str">
        <f>IFERROR(INDEX(Personnel[Shohruh Not],$K74),"")</f>
        <v/>
      </c>
      <c r="I74" s="32" t="str">
        <f>IFERROR(INDEX(Personnel[Дней в РФ],$K74),"")</f>
        <v/>
      </c>
      <c r="K74" s="23" t="str">
        <f t="array" ref="K74">IFERROR(_xlfn.AGGREGATE(15,6,(ROW(Personnel[Egtim durumu])-MIN(ROW(Personnel[Egtim durumu]))+1)/((Personnel[Egtim durumu]="sinavi hazir")),ROWS($K$7:K74)),"")</f>
        <v/>
      </c>
    </row>
    <row r="75" spans="1:11" x14ac:dyDescent="0.25">
      <c r="A75" s="18" t="str">
        <f>IFERROR(INDEX(Personnel[Sicil],$K75),"")</f>
        <v/>
      </c>
      <c r="B75" s="17" t="str">
        <f>IFERROR(INDEX(Personnel[Adi Soyadi],$K75),"")</f>
        <v/>
      </c>
      <c r="C75" s="18" t="str">
        <f>IFERROR(INDEX(Personnel[Vatandaslik],$K75),"")</f>
        <v/>
      </c>
      <c r="D75" s="18" t="str">
        <f>IFERROR(INDEX(Personnel[Santiye],$K75),"")</f>
        <v/>
      </c>
      <c r="E75" s="18" t="str">
        <f>IFERROR(INDEX(Personnel[Ogretmen],$K75),"")</f>
        <v/>
      </c>
      <c r="F75" s="17" t="str">
        <f>IFERROR(INDEX(Personnel[[Sinav ]],$K75),"")</f>
        <v/>
      </c>
      <c r="G75" s="17" t="str">
        <f>IFERROR(INDEX(Personnel[Egtim durumu],$K75),"")</f>
        <v/>
      </c>
      <c r="H75" s="17" t="str">
        <f>IFERROR(INDEX(Personnel[Shohruh Not],$K75),"")</f>
        <v/>
      </c>
      <c r="I75" s="18" t="str">
        <f>IFERROR(INDEX(Personnel[Дней в РФ],$K75),"")</f>
        <v/>
      </c>
      <c r="K75" s="23" t="str">
        <f t="array" ref="K75">IFERROR(_xlfn.AGGREGATE(15,6,(ROW(Personnel[Egtim durumu])-MIN(ROW(Personnel[Egtim durumu]))+1)/((Personnel[Egtim durumu]="sinavi hazir")),ROWS($K$7:K75)),"")</f>
        <v/>
      </c>
    </row>
    <row r="76" spans="1:11" x14ac:dyDescent="0.25">
      <c r="A76" s="32" t="str">
        <f>IFERROR(INDEX(Personnel[Sicil],$K76),"")</f>
        <v/>
      </c>
      <c r="B76" s="33" t="str">
        <f>IFERROR(INDEX(Personnel[Adi Soyadi],$K76),"")</f>
        <v/>
      </c>
      <c r="C76" s="32" t="str">
        <f>IFERROR(INDEX(Personnel[Vatandaslik],$K76),"")</f>
        <v/>
      </c>
      <c r="D76" s="32" t="str">
        <f>IFERROR(INDEX(Personnel[Santiye],$K76),"")</f>
        <v/>
      </c>
      <c r="E76" s="32" t="str">
        <f>IFERROR(INDEX(Personnel[Ogretmen],$K76),"")</f>
        <v/>
      </c>
      <c r="F76" s="33" t="str">
        <f>IFERROR(INDEX(Personnel[[Sinav ]],$K76),"")</f>
        <v/>
      </c>
      <c r="G76" s="33" t="str">
        <f>IFERROR(INDEX(Personnel[Egtim durumu],$K76),"")</f>
        <v/>
      </c>
      <c r="H76" s="33" t="str">
        <f>IFERROR(INDEX(Personnel[Shohruh Not],$K76),"")</f>
        <v/>
      </c>
      <c r="I76" s="32" t="str">
        <f>IFERROR(INDEX(Personnel[Дней в РФ],$K76),"")</f>
        <v/>
      </c>
      <c r="K76" s="23" t="str">
        <f t="array" ref="K76">IFERROR(_xlfn.AGGREGATE(15,6,(ROW(Personnel[Egtim durumu])-MIN(ROW(Personnel[Egtim durumu]))+1)/((Personnel[Egtim durumu]="sinavi hazir")),ROWS($K$7:K76)),"")</f>
        <v/>
      </c>
    </row>
    <row r="77" spans="1:11" x14ac:dyDescent="0.25">
      <c r="A77" s="18" t="str">
        <f>IFERROR(INDEX(Personnel[Sicil],$K77),"")</f>
        <v/>
      </c>
      <c r="B77" s="17" t="str">
        <f>IFERROR(INDEX(Personnel[Adi Soyadi],$K77),"")</f>
        <v/>
      </c>
      <c r="C77" s="18" t="str">
        <f>IFERROR(INDEX(Personnel[Vatandaslik],$K77),"")</f>
        <v/>
      </c>
      <c r="D77" s="18" t="str">
        <f>IFERROR(INDEX(Personnel[Santiye],$K77),"")</f>
        <v/>
      </c>
      <c r="E77" s="18" t="str">
        <f>IFERROR(INDEX(Personnel[Ogretmen],$K77),"")</f>
        <v/>
      </c>
      <c r="F77" s="17" t="str">
        <f>IFERROR(INDEX(Personnel[[Sinav ]],$K77),"")</f>
        <v/>
      </c>
      <c r="G77" s="17" t="str">
        <f>IFERROR(INDEX(Personnel[Egtim durumu],$K77),"")</f>
        <v/>
      </c>
      <c r="H77" s="17" t="str">
        <f>IFERROR(INDEX(Personnel[Shohruh Not],$K77),"")</f>
        <v/>
      </c>
      <c r="I77" s="18" t="str">
        <f>IFERROR(INDEX(Personnel[Дней в РФ],$K77),"")</f>
        <v/>
      </c>
      <c r="K77" s="23" t="str">
        <f t="array" ref="K77">IFERROR(_xlfn.AGGREGATE(15,6,(ROW(Personnel[Egtim durumu])-MIN(ROW(Personnel[Egtim durumu]))+1)/((Personnel[Egtim durumu]="sinavi hazir")),ROWS($K$7:K77)),"")</f>
        <v/>
      </c>
    </row>
    <row r="78" spans="1:11" x14ac:dyDescent="0.25">
      <c r="A78" s="32" t="str">
        <f>IFERROR(INDEX(Personnel[Sicil],$K78),"")</f>
        <v/>
      </c>
      <c r="B78" s="33" t="str">
        <f>IFERROR(INDEX(Personnel[Adi Soyadi],$K78),"")</f>
        <v/>
      </c>
      <c r="C78" s="32" t="str">
        <f>IFERROR(INDEX(Personnel[Vatandaslik],$K78),"")</f>
        <v/>
      </c>
      <c r="D78" s="32" t="str">
        <f>IFERROR(INDEX(Personnel[Santiye],$K78),"")</f>
        <v/>
      </c>
      <c r="E78" s="32" t="str">
        <f>IFERROR(INDEX(Personnel[Ogretmen],$K78),"")</f>
        <v/>
      </c>
      <c r="F78" s="33" t="str">
        <f>IFERROR(INDEX(Personnel[[Sinav ]],$K78),"")</f>
        <v/>
      </c>
      <c r="G78" s="33" t="str">
        <f>IFERROR(INDEX(Personnel[Egtim durumu],$K78),"")</f>
        <v/>
      </c>
      <c r="H78" s="33" t="str">
        <f>IFERROR(INDEX(Personnel[Shohruh Not],$K78),"")</f>
        <v/>
      </c>
      <c r="I78" s="32" t="str">
        <f>IFERROR(INDEX(Personnel[Дней в РФ],$K78),"")</f>
        <v/>
      </c>
      <c r="K78" s="23" t="str">
        <f t="array" ref="K78">IFERROR(_xlfn.AGGREGATE(15,6,(ROW(Personnel[Egtim durumu])-MIN(ROW(Personnel[Egtim durumu]))+1)/((Personnel[Egtim durumu]="sinavi hazir")),ROWS($K$7:K78)),"")</f>
        <v/>
      </c>
    </row>
    <row r="79" spans="1:11" x14ac:dyDescent="0.25">
      <c r="A79" s="18" t="str">
        <f>IFERROR(INDEX(Personnel[Sicil],$K79),"")</f>
        <v/>
      </c>
      <c r="B79" s="17" t="str">
        <f>IFERROR(INDEX(Personnel[Adi Soyadi],$K79),"")</f>
        <v/>
      </c>
      <c r="C79" s="18" t="str">
        <f>IFERROR(INDEX(Personnel[Vatandaslik],$K79),"")</f>
        <v/>
      </c>
      <c r="D79" s="18" t="str">
        <f>IFERROR(INDEX(Personnel[Santiye],$K79),"")</f>
        <v/>
      </c>
      <c r="E79" s="18" t="str">
        <f>IFERROR(INDEX(Personnel[Ogretmen],$K79),"")</f>
        <v/>
      </c>
      <c r="F79" s="17" t="str">
        <f>IFERROR(INDEX(Personnel[[Sinav ]],$K79),"")</f>
        <v/>
      </c>
      <c r="G79" s="17" t="str">
        <f>IFERROR(INDEX(Personnel[Egtim durumu],$K79),"")</f>
        <v/>
      </c>
      <c r="H79" s="17" t="str">
        <f>IFERROR(INDEX(Personnel[Shohruh Not],$K79),"")</f>
        <v/>
      </c>
      <c r="I79" s="18" t="str">
        <f>IFERROR(INDEX(Personnel[Дней в РФ],$K79),"")</f>
        <v/>
      </c>
      <c r="K79" s="23" t="str">
        <f t="array" ref="K79">IFERROR(_xlfn.AGGREGATE(15,6,(ROW(Personnel[Egtim durumu])-MIN(ROW(Personnel[Egtim durumu]))+1)/((Personnel[Egtim durumu]="sinavi hazir")),ROWS($K$7:K79)),"")</f>
        <v/>
      </c>
    </row>
    <row r="80" spans="1:11" x14ac:dyDescent="0.25">
      <c r="A80" s="32" t="str">
        <f>IFERROR(INDEX(Personnel[Sicil],$K80),"")</f>
        <v/>
      </c>
      <c r="B80" s="33" t="str">
        <f>IFERROR(INDEX(Personnel[Adi Soyadi],$K80),"")</f>
        <v/>
      </c>
      <c r="C80" s="32" t="str">
        <f>IFERROR(INDEX(Personnel[Vatandaslik],$K80),"")</f>
        <v/>
      </c>
      <c r="D80" s="32" t="str">
        <f>IFERROR(INDEX(Personnel[Santiye],$K80),"")</f>
        <v/>
      </c>
      <c r="E80" s="32" t="str">
        <f>IFERROR(INDEX(Personnel[Ogretmen],$K80),"")</f>
        <v/>
      </c>
      <c r="F80" s="33" t="str">
        <f>IFERROR(INDEX(Personnel[[Sinav ]],$K80),"")</f>
        <v/>
      </c>
      <c r="G80" s="33" t="str">
        <f>IFERROR(INDEX(Personnel[Egtim durumu],$K80),"")</f>
        <v/>
      </c>
      <c r="H80" s="33" t="str">
        <f>IFERROR(INDEX(Personnel[Shohruh Not],$K80),"")</f>
        <v/>
      </c>
      <c r="I80" s="32" t="str">
        <f>IFERROR(INDEX(Personnel[Дней в РФ],$K80),"")</f>
        <v/>
      </c>
      <c r="K80" s="23" t="str">
        <f t="array" ref="K80">IFERROR(_xlfn.AGGREGATE(15,6,(ROW(Personnel[Egtim durumu])-MIN(ROW(Personnel[Egtim durumu]))+1)/((Personnel[Egtim durumu]="sinavi hazir")),ROWS($K$7:K80)),"")</f>
        <v/>
      </c>
    </row>
    <row r="81" spans="1:11" x14ac:dyDescent="0.25">
      <c r="A81" s="18" t="str">
        <f>IFERROR(INDEX(Personnel[Sicil],$K81),"")</f>
        <v/>
      </c>
      <c r="B81" s="17" t="str">
        <f>IFERROR(INDEX(Personnel[Adi Soyadi],$K81),"")</f>
        <v/>
      </c>
      <c r="C81" s="18" t="str">
        <f>IFERROR(INDEX(Personnel[Vatandaslik],$K81),"")</f>
        <v/>
      </c>
      <c r="D81" s="18" t="str">
        <f>IFERROR(INDEX(Personnel[Santiye],$K81),"")</f>
        <v/>
      </c>
      <c r="E81" s="18" t="str">
        <f>IFERROR(INDEX(Personnel[Ogretmen],$K81),"")</f>
        <v/>
      </c>
      <c r="F81" s="17" t="str">
        <f>IFERROR(INDEX(Personnel[[Sinav ]],$K81),"")</f>
        <v/>
      </c>
      <c r="G81" s="17" t="str">
        <f>IFERROR(INDEX(Personnel[Egtim durumu],$K81),"")</f>
        <v/>
      </c>
      <c r="H81" s="17" t="str">
        <f>IFERROR(INDEX(Personnel[Shohruh Not],$K81),"")</f>
        <v/>
      </c>
      <c r="I81" s="18" t="str">
        <f>IFERROR(INDEX(Personnel[Дней в РФ],$K81),"")</f>
        <v/>
      </c>
      <c r="K81" s="23" t="str">
        <f t="array" ref="K81">IFERROR(_xlfn.AGGREGATE(15,6,(ROW(Personnel[Egtim durumu])-MIN(ROW(Personnel[Egtim durumu]))+1)/((Personnel[Egtim durumu]="sinavi hazir")),ROWS($K$7:K81)),"")</f>
        <v/>
      </c>
    </row>
    <row r="82" spans="1:11" x14ac:dyDescent="0.25">
      <c r="A82" s="32" t="str">
        <f>IFERROR(INDEX(Personnel[Sicil],$K82),"")</f>
        <v/>
      </c>
      <c r="B82" s="33" t="str">
        <f>IFERROR(INDEX(Personnel[Adi Soyadi],$K82),"")</f>
        <v/>
      </c>
      <c r="C82" s="32" t="str">
        <f>IFERROR(INDEX(Personnel[Vatandaslik],$K82),"")</f>
        <v/>
      </c>
      <c r="D82" s="32" t="str">
        <f>IFERROR(INDEX(Personnel[Santiye],$K82),"")</f>
        <v/>
      </c>
      <c r="E82" s="32" t="str">
        <f>IFERROR(INDEX(Personnel[Ogretmen],$K82),"")</f>
        <v/>
      </c>
      <c r="F82" s="33" t="str">
        <f>IFERROR(INDEX(Personnel[[Sinav ]],$K82),"")</f>
        <v/>
      </c>
      <c r="G82" s="33" t="str">
        <f>IFERROR(INDEX(Personnel[Egtim durumu],$K82),"")</f>
        <v/>
      </c>
      <c r="H82" s="33" t="str">
        <f>IFERROR(INDEX(Personnel[Shohruh Not],$K82),"")</f>
        <v/>
      </c>
      <c r="I82" s="32" t="str">
        <f>IFERROR(INDEX(Personnel[Дней в РФ],$K82),"")</f>
        <v/>
      </c>
      <c r="K82" s="23" t="str">
        <f t="array" ref="K82">IFERROR(_xlfn.AGGREGATE(15,6,(ROW(Personnel[Egtim durumu])-MIN(ROW(Personnel[Egtim durumu]))+1)/((Personnel[Egtim durumu]="sinavi hazir")),ROWS($K$7:K82)),"")</f>
        <v/>
      </c>
    </row>
    <row r="83" spans="1:11" x14ac:dyDescent="0.25">
      <c r="A83" s="18" t="str">
        <f>IFERROR(INDEX(Personnel[Sicil],$K83),"")</f>
        <v/>
      </c>
      <c r="B83" s="17" t="str">
        <f>IFERROR(INDEX(Personnel[Adi Soyadi],$K83),"")</f>
        <v/>
      </c>
      <c r="C83" s="18" t="str">
        <f>IFERROR(INDEX(Personnel[Vatandaslik],$K83),"")</f>
        <v/>
      </c>
      <c r="D83" s="18" t="str">
        <f>IFERROR(INDEX(Personnel[Santiye],$K83),"")</f>
        <v/>
      </c>
      <c r="E83" s="18" t="str">
        <f>IFERROR(INDEX(Personnel[Ogretmen],$K83),"")</f>
        <v/>
      </c>
      <c r="F83" s="17" t="str">
        <f>IFERROR(INDEX(Personnel[[Sinav ]],$K83),"")</f>
        <v/>
      </c>
      <c r="G83" s="17" t="str">
        <f>IFERROR(INDEX(Personnel[Egtim durumu],$K83),"")</f>
        <v/>
      </c>
      <c r="H83" s="17" t="str">
        <f>IFERROR(INDEX(Personnel[Shohruh Not],$K83),"")</f>
        <v/>
      </c>
      <c r="I83" s="18" t="str">
        <f>IFERROR(INDEX(Personnel[Дней в РФ],$K83),"")</f>
        <v/>
      </c>
      <c r="K83" s="23" t="str">
        <f t="array" ref="K83">IFERROR(_xlfn.AGGREGATE(15,6,(ROW(Personnel[Egtim durumu])-MIN(ROW(Personnel[Egtim durumu]))+1)/((Personnel[Egtim durumu]="sinavi hazir")),ROWS($K$7:K83)),"")</f>
        <v/>
      </c>
    </row>
    <row r="84" spans="1:11" x14ac:dyDescent="0.25">
      <c r="A84" s="32" t="str">
        <f>IFERROR(INDEX(Personnel[Sicil],$K84),"")</f>
        <v/>
      </c>
      <c r="B84" s="33" t="str">
        <f>IFERROR(INDEX(Personnel[Adi Soyadi],$K84),"")</f>
        <v/>
      </c>
      <c r="C84" s="32" t="str">
        <f>IFERROR(INDEX(Personnel[Vatandaslik],$K84),"")</f>
        <v/>
      </c>
      <c r="D84" s="32" t="str">
        <f>IFERROR(INDEX(Personnel[Santiye],$K84),"")</f>
        <v/>
      </c>
      <c r="E84" s="32" t="str">
        <f>IFERROR(INDEX(Personnel[Ogretmen],$K84),"")</f>
        <v/>
      </c>
      <c r="F84" s="33" t="str">
        <f>IFERROR(INDEX(Personnel[[Sinav ]],$K84),"")</f>
        <v/>
      </c>
      <c r="G84" s="33" t="str">
        <f>IFERROR(INDEX(Personnel[Egtim durumu],$K84),"")</f>
        <v/>
      </c>
      <c r="H84" s="33" t="str">
        <f>IFERROR(INDEX(Personnel[Shohruh Not],$K84),"")</f>
        <v/>
      </c>
      <c r="I84" s="32" t="str">
        <f>IFERROR(INDEX(Personnel[Дней в РФ],$K84),"")</f>
        <v/>
      </c>
      <c r="K84" s="23" t="str">
        <f t="array" ref="K84">IFERROR(_xlfn.AGGREGATE(15,6,(ROW(Personnel[Egtim durumu])-MIN(ROW(Personnel[Egtim durumu]))+1)/((Personnel[Egtim durumu]="sinavi hazir")),ROWS($K$7:K84)),"")</f>
        <v/>
      </c>
    </row>
    <row r="85" spans="1:11" x14ac:dyDescent="0.25">
      <c r="A85" s="18" t="str">
        <f>IFERROR(INDEX(Personnel[Sicil],$K85),"")</f>
        <v/>
      </c>
      <c r="B85" s="17" t="str">
        <f>IFERROR(INDEX(Personnel[Adi Soyadi],$K85),"")</f>
        <v/>
      </c>
      <c r="C85" s="18" t="str">
        <f>IFERROR(INDEX(Personnel[Vatandaslik],$K85),"")</f>
        <v/>
      </c>
      <c r="D85" s="18" t="str">
        <f>IFERROR(INDEX(Personnel[Santiye],$K85),"")</f>
        <v/>
      </c>
      <c r="E85" s="18" t="str">
        <f>IFERROR(INDEX(Personnel[Ogretmen],$K85),"")</f>
        <v/>
      </c>
      <c r="F85" s="17" t="str">
        <f>IFERROR(INDEX(Personnel[[Sinav ]],$K85),"")</f>
        <v/>
      </c>
      <c r="G85" s="17" t="str">
        <f>IFERROR(INDEX(Personnel[Egtim durumu],$K85),"")</f>
        <v/>
      </c>
      <c r="H85" s="17" t="str">
        <f>IFERROR(INDEX(Personnel[Shohruh Not],$K85),"")</f>
        <v/>
      </c>
      <c r="I85" s="18" t="str">
        <f>IFERROR(INDEX(Personnel[Дней в РФ],$K85),"")</f>
        <v/>
      </c>
      <c r="K85" s="23" t="str">
        <f t="array" ref="K85">IFERROR(_xlfn.AGGREGATE(15,6,(ROW(Personnel[Egtim durumu])-MIN(ROW(Personnel[Egtim durumu]))+1)/((Personnel[Egtim durumu]="sinavi hazir")),ROWS($K$7:K85)),"")</f>
        <v/>
      </c>
    </row>
    <row r="86" spans="1:11" x14ac:dyDescent="0.25">
      <c r="A86" s="32" t="str">
        <f>IFERROR(INDEX(Personnel[Sicil],$K86),"")</f>
        <v/>
      </c>
      <c r="B86" s="33" t="str">
        <f>IFERROR(INDEX(Personnel[Adi Soyadi],$K86),"")</f>
        <v/>
      </c>
      <c r="C86" s="32" t="str">
        <f>IFERROR(INDEX(Personnel[Vatandaslik],$K86),"")</f>
        <v/>
      </c>
      <c r="D86" s="32" t="str">
        <f>IFERROR(INDEX(Personnel[Santiye],$K86),"")</f>
        <v/>
      </c>
      <c r="E86" s="32" t="str">
        <f>IFERROR(INDEX(Personnel[Ogretmen],$K86),"")</f>
        <v/>
      </c>
      <c r="F86" s="33" t="str">
        <f>IFERROR(INDEX(Personnel[[Sinav ]],$K86),"")</f>
        <v/>
      </c>
      <c r="G86" s="33" t="str">
        <f>IFERROR(INDEX(Personnel[Egtim durumu],$K86),"")</f>
        <v/>
      </c>
      <c r="H86" s="33" t="str">
        <f>IFERROR(INDEX(Personnel[Shohruh Not],$K86),"")</f>
        <v/>
      </c>
      <c r="I86" s="32" t="str">
        <f>IFERROR(INDEX(Personnel[Дней в РФ],$K86),"")</f>
        <v/>
      </c>
      <c r="K86" s="23" t="str">
        <f t="array" ref="K86">IFERROR(_xlfn.AGGREGATE(15,6,(ROW(Personnel[Egtim durumu])-MIN(ROW(Personnel[Egtim durumu]))+1)/((Personnel[Egtim durumu]="sinavi hazir")),ROWS($K$7:K86)),"")</f>
        <v/>
      </c>
    </row>
    <row r="87" spans="1:11" x14ac:dyDescent="0.25">
      <c r="A87" s="18" t="str">
        <f>IFERROR(INDEX(Personnel[Sicil],$K87),"")</f>
        <v/>
      </c>
      <c r="B87" s="17" t="str">
        <f>IFERROR(INDEX(Personnel[Adi Soyadi],$K87),"")</f>
        <v/>
      </c>
      <c r="C87" s="18" t="str">
        <f>IFERROR(INDEX(Personnel[Vatandaslik],$K87),"")</f>
        <v/>
      </c>
      <c r="D87" s="18" t="str">
        <f>IFERROR(INDEX(Personnel[Santiye],$K87),"")</f>
        <v/>
      </c>
      <c r="E87" s="18" t="str">
        <f>IFERROR(INDEX(Personnel[Ogretmen],$K87),"")</f>
        <v/>
      </c>
      <c r="F87" s="17" t="str">
        <f>IFERROR(INDEX(Personnel[[Sinav ]],$K87),"")</f>
        <v/>
      </c>
      <c r="G87" s="17" t="str">
        <f>IFERROR(INDEX(Personnel[Egtim durumu],$K87),"")</f>
        <v/>
      </c>
      <c r="H87" s="17" t="str">
        <f>IFERROR(INDEX(Personnel[Shohruh Not],$K87),"")</f>
        <v/>
      </c>
      <c r="I87" s="18" t="str">
        <f>IFERROR(INDEX(Personnel[Дней в РФ],$K87),"")</f>
        <v/>
      </c>
      <c r="K87" s="23" t="str">
        <f t="array" ref="K87">IFERROR(_xlfn.AGGREGATE(15,6,(ROW(Personnel[Egtim durumu])-MIN(ROW(Personnel[Egtim durumu]))+1)/((Personnel[Egtim durumu]="sinavi hazir")),ROWS($K$7:K87)),"")</f>
        <v/>
      </c>
    </row>
    <row r="88" spans="1:11" x14ac:dyDescent="0.25">
      <c r="A88" s="32" t="str">
        <f>IFERROR(INDEX(Personnel[Sicil],$K88),"")</f>
        <v/>
      </c>
      <c r="B88" s="33" t="str">
        <f>IFERROR(INDEX(Personnel[Adi Soyadi],$K88),"")</f>
        <v/>
      </c>
      <c r="C88" s="32" t="str">
        <f>IFERROR(INDEX(Personnel[Vatandaslik],$K88),"")</f>
        <v/>
      </c>
      <c r="D88" s="32" t="str">
        <f>IFERROR(INDEX(Personnel[Santiye],$K88),"")</f>
        <v/>
      </c>
      <c r="E88" s="32" t="str">
        <f>IFERROR(INDEX(Personnel[Ogretmen],$K88),"")</f>
        <v/>
      </c>
      <c r="F88" s="33" t="str">
        <f>IFERROR(INDEX(Personnel[[Sinav ]],$K88),"")</f>
        <v/>
      </c>
      <c r="G88" s="33" t="str">
        <f>IFERROR(INDEX(Personnel[Egtim durumu],$K88),"")</f>
        <v/>
      </c>
      <c r="H88" s="33" t="str">
        <f>IFERROR(INDEX(Personnel[Shohruh Not],$K88),"")</f>
        <v/>
      </c>
      <c r="I88" s="32" t="str">
        <f>IFERROR(INDEX(Personnel[Дней в РФ],$K88),"")</f>
        <v/>
      </c>
      <c r="K88" s="23" t="str">
        <f t="array" ref="K88">IFERROR(_xlfn.AGGREGATE(15,6,(ROW(Personnel[Egtim durumu])-MIN(ROW(Personnel[Egtim durumu]))+1)/((Personnel[Egtim durumu]="sinavi hazir")),ROWS($K$7:K88)),"")</f>
        <v/>
      </c>
    </row>
    <row r="89" spans="1:11" x14ac:dyDescent="0.25">
      <c r="A89" s="18" t="str">
        <f>IFERROR(INDEX(Personnel[Sicil],$K89),"")</f>
        <v/>
      </c>
      <c r="B89" s="17" t="str">
        <f>IFERROR(INDEX(Personnel[Adi Soyadi],$K89),"")</f>
        <v/>
      </c>
      <c r="C89" s="18" t="str">
        <f>IFERROR(INDEX(Personnel[Vatandaslik],$K89),"")</f>
        <v/>
      </c>
      <c r="D89" s="18" t="str">
        <f>IFERROR(INDEX(Personnel[Santiye],$K89),"")</f>
        <v/>
      </c>
      <c r="E89" s="18" t="str">
        <f>IFERROR(INDEX(Personnel[Ogretmen],$K89),"")</f>
        <v/>
      </c>
      <c r="F89" s="17" t="str">
        <f>IFERROR(INDEX(Personnel[[Sinav ]],$K89),"")</f>
        <v/>
      </c>
      <c r="G89" s="17" t="str">
        <f>IFERROR(INDEX(Personnel[Egtim durumu],$K89),"")</f>
        <v/>
      </c>
      <c r="H89" s="17" t="str">
        <f>IFERROR(INDEX(Personnel[Shohruh Not],$K89),"")</f>
        <v/>
      </c>
      <c r="I89" s="18" t="str">
        <f>IFERROR(INDEX(Personnel[Дней в РФ],$K89),"")</f>
        <v/>
      </c>
      <c r="K89" s="23" t="str">
        <f t="array" ref="K89">IFERROR(_xlfn.AGGREGATE(15,6,(ROW(Personnel[Egtim durumu])-MIN(ROW(Personnel[Egtim durumu]))+1)/((Personnel[Egtim durumu]="sinavi hazir")),ROWS($K$7:K89)),"")</f>
        <v/>
      </c>
    </row>
    <row r="90" spans="1:11" x14ac:dyDescent="0.25">
      <c r="A90" s="32" t="str">
        <f>IFERROR(INDEX(Personnel[Sicil],$K90),"")</f>
        <v/>
      </c>
      <c r="B90" s="33" t="str">
        <f>IFERROR(INDEX(Personnel[Adi Soyadi],$K90),"")</f>
        <v/>
      </c>
      <c r="C90" s="32" t="str">
        <f>IFERROR(INDEX(Personnel[Vatandaslik],$K90),"")</f>
        <v/>
      </c>
      <c r="D90" s="32" t="str">
        <f>IFERROR(INDEX(Personnel[Santiye],$K90),"")</f>
        <v/>
      </c>
      <c r="E90" s="32" t="str">
        <f>IFERROR(INDEX(Personnel[Ogretmen],$K90),"")</f>
        <v/>
      </c>
      <c r="F90" s="33" t="str">
        <f>IFERROR(INDEX(Personnel[[Sinav ]],$K90),"")</f>
        <v/>
      </c>
      <c r="G90" s="33" t="str">
        <f>IFERROR(INDEX(Personnel[Egtim durumu],$K90),"")</f>
        <v/>
      </c>
      <c r="H90" s="33" t="str">
        <f>IFERROR(INDEX(Personnel[Shohruh Not],$K90),"")</f>
        <v/>
      </c>
      <c r="I90" s="32" t="str">
        <f>IFERROR(INDEX(Personnel[Дней в РФ],$K90),"")</f>
        <v/>
      </c>
      <c r="K90" s="23" t="str">
        <f t="array" ref="K90">IFERROR(_xlfn.AGGREGATE(15,6,(ROW(Personnel[Egtim durumu])-MIN(ROW(Personnel[Egtim durumu]))+1)/((Personnel[Egtim durumu]="sinavi hazir")),ROWS($K$7:K90)),"")</f>
        <v/>
      </c>
    </row>
    <row r="91" spans="1:11" x14ac:dyDescent="0.25">
      <c r="A91" s="18" t="str">
        <f>IFERROR(INDEX(Personnel[Sicil],$K91),"")</f>
        <v/>
      </c>
      <c r="B91" s="17" t="str">
        <f>IFERROR(INDEX(Personnel[Adi Soyadi],$K91),"")</f>
        <v/>
      </c>
      <c r="C91" s="18" t="str">
        <f>IFERROR(INDEX(Personnel[Vatandaslik],$K91),"")</f>
        <v/>
      </c>
      <c r="D91" s="18" t="str">
        <f>IFERROR(INDEX(Personnel[Santiye],$K91),"")</f>
        <v/>
      </c>
      <c r="E91" s="18" t="str">
        <f>IFERROR(INDEX(Personnel[Ogretmen],$K91),"")</f>
        <v/>
      </c>
      <c r="F91" s="17" t="str">
        <f>IFERROR(INDEX(Personnel[[Sinav ]],$K91),"")</f>
        <v/>
      </c>
      <c r="G91" s="17" t="str">
        <f>IFERROR(INDEX(Personnel[Egtim durumu],$K91),"")</f>
        <v/>
      </c>
      <c r="H91" s="17" t="str">
        <f>IFERROR(INDEX(Personnel[Shohruh Not],$K91),"")</f>
        <v/>
      </c>
      <c r="I91" s="18" t="str">
        <f>IFERROR(INDEX(Personnel[Дней в РФ],$K91),"")</f>
        <v/>
      </c>
      <c r="K91" s="23" t="str">
        <f t="array" ref="K91">IFERROR(_xlfn.AGGREGATE(15,6,(ROW(Personnel[Egtim durumu])-MIN(ROW(Personnel[Egtim durumu]))+1)/((Personnel[Egtim durumu]="sinavi hazir")),ROWS($K$7:K91)),"")</f>
        <v/>
      </c>
    </row>
    <row r="92" spans="1:11" x14ac:dyDescent="0.25">
      <c r="A92" s="32" t="str">
        <f>IFERROR(INDEX(Personnel[Sicil],$K92),"")</f>
        <v/>
      </c>
      <c r="B92" s="33" t="str">
        <f>IFERROR(INDEX(Personnel[Adi Soyadi],$K92),"")</f>
        <v/>
      </c>
      <c r="C92" s="32" t="str">
        <f>IFERROR(INDEX(Personnel[Vatandaslik],$K92),"")</f>
        <v/>
      </c>
      <c r="D92" s="32" t="str">
        <f>IFERROR(INDEX(Personnel[Santiye],$K92),"")</f>
        <v/>
      </c>
      <c r="E92" s="32" t="str">
        <f>IFERROR(INDEX(Personnel[Ogretmen],$K92),"")</f>
        <v/>
      </c>
      <c r="F92" s="33" t="str">
        <f>IFERROR(INDEX(Personnel[[Sinav ]],$K92),"")</f>
        <v/>
      </c>
      <c r="G92" s="33" t="str">
        <f>IFERROR(INDEX(Personnel[Egtim durumu],$K92),"")</f>
        <v/>
      </c>
      <c r="H92" s="33" t="str">
        <f>IFERROR(INDEX(Personnel[Shohruh Not],$K92),"")</f>
        <v/>
      </c>
      <c r="I92" s="32" t="str">
        <f>IFERROR(INDEX(Personnel[Дней в РФ],$K92),"")</f>
        <v/>
      </c>
      <c r="K92" s="23" t="str">
        <f t="array" ref="K92">IFERROR(_xlfn.AGGREGATE(15,6,(ROW(Personnel[Egtim durumu])-MIN(ROW(Personnel[Egtim durumu]))+1)/((Personnel[Egtim durumu]="sinavi hazir")),ROWS($K$7:K92)),"")</f>
        <v/>
      </c>
    </row>
    <row r="93" spans="1:11" x14ac:dyDescent="0.25">
      <c r="A93" s="18" t="str">
        <f>IFERROR(INDEX(Personnel[Sicil],$K93),"")</f>
        <v/>
      </c>
      <c r="B93" s="17" t="str">
        <f>IFERROR(INDEX(Personnel[Adi Soyadi],$K93),"")</f>
        <v/>
      </c>
      <c r="C93" s="18" t="str">
        <f>IFERROR(INDEX(Personnel[Vatandaslik],$K93),"")</f>
        <v/>
      </c>
      <c r="D93" s="18" t="str">
        <f>IFERROR(INDEX(Personnel[Santiye],$K93),"")</f>
        <v/>
      </c>
      <c r="E93" s="18" t="str">
        <f>IFERROR(INDEX(Personnel[Ogretmen],$K93),"")</f>
        <v/>
      </c>
      <c r="F93" s="17" t="str">
        <f>IFERROR(INDEX(Personnel[[Sinav ]],$K93),"")</f>
        <v/>
      </c>
      <c r="G93" s="17" t="str">
        <f>IFERROR(INDEX(Personnel[Egtim durumu],$K93),"")</f>
        <v/>
      </c>
      <c r="H93" s="17" t="str">
        <f>IFERROR(INDEX(Personnel[Shohruh Not],$K93),"")</f>
        <v/>
      </c>
      <c r="I93" s="18" t="str">
        <f>IFERROR(INDEX(Personnel[Дней в РФ],$K93),"")</f>
        <v/>
      </c>
      <c r="K93" s="23" t="str">
        <f t="array" ref="K93">IFERROR(_xlfn.AGGREGATE(15,6,(ROW(Personnel[Egtim durumu])-MIN(ROW(Personnel[Egtim durumu]))+1)/((Personnel[Egtim durumu]="sinavi hazir")),ROWS($K$7:K93)),"")</f>
        <v/>
      </c>
    </row>
    <row r="94" spans="1:11" x14ac:dyDescent="0.25">
      <c r="A94" s="32" t="str">
        <f>IFERROR(INDEX(Personnel[Sicil],$K94),"")</f>
        <v/>
      </c>
      <c r="B94" s="33" t="str">
        <f>IFERROR(INDEX(Personnel[Adi Soyadi],$K94),"")</f>
        <v/>
      </c>
      <c r="C94" s="32" t="str">
        <f>IFERROR(INDEX(Personnel[Vatandaslik],$K94),"")</f>
        <v/>
      </c>
      <c r="D94" s="32" t="str">
        <f>IFERROR(INDEX(Personnel[Santiye],$K94),"")</f>
        <v/>
      </c>
      <c r="E94" s="32" t="str">
        <f>IFERROR(INDEX(Personnel[Ogretmen],$K94),"")</f>
        <v/>
      </c>
      <c r="F94" s="33" t="str">
        <f>IFERROR(INDEX(Personnel[[Sinav ]],$K94),"")</f>
        <v/>
      </c>
      <c r="G94" s="33" t="str">
        <f>IFERROR(INDEX(Personnel[Egtim durumu],$K94),"")</f>
        <v/>
      </c>
      <c r="H94" s="33" t="str">
        <f>IFERROR(INDEX(Personnel[Shohruh Not],$K94),"")</f>
        <v/>
      </c>
      <c r="I94" s="32" t="str">
        <f>IFERROR(INDEX(Personnel[Дней в РФ],$K94),"")</f>
        <v/>
      </c>
      <c r="K94" s="23" t="str">
        <f t="array" ref="K94">IFERROR(_xlfn.AGGREGATE(15,6,(ROW(Personnel[Egtim durumu])-MIN(ROW(Personnel[Egtim durumu]))+1)/((Personnel[Egtim durumu]="sinavi hazir")),ROWS($K$7:K94)),"")</f>
        <v/>
      </c>
    </row>
    <row r="95" spans="1:11" x14ac:dyDescent="0.25">
      <c r="A95" s="18" t="str">
        <f>IFERROR(INDEX(Personnel[Sicil],$K95),"")</f>
        <v/>
      </c>
      <c r="B95" s="17" t="str">
        <f>IFERROR(INDEX(Personnel[Adi Soyadi],$K95),"")</f>
        <v/>
      </c>
      <c r="C95" s="18" t="str">
        <f>IFERROR(INDEX(Personnel[Vatandaslik],$K95),"")</f>
        <v/>
      </c>
      <c r="D95" s="18" t="str">
        <f>IFERROR(INDEX(Personnel[Santiye],$K95),"")</f>
        <v/>
      </c>
      <c r="E95" s="18" t="str">
        <f>IFERROR(INDEX(Personnel[Ogretmen],$K95),"")</f>
        <v/>
      </c>
      <c r="F95" s="17" t="str">
        <f>IFERROR(INDEX(Personnel[[Sinav ]],$K95),"")</f>
        <v/>
      </c>
      <c r="G95" s="17" t="str">
        <f>IFERROR(INDEX(Personnel[Egtim durumu],$K95),"")</f>
        <v/>
      </c>
      <c r="H95" s="17" t="str">
        <f>IFERROR(INDEX(Personnel[Shohruh Not],$K95),"")</f>
        <v/>
      </c>
      <c r="I95" s="18" t="str">
        <f>IFERROR(INDEX(Personnel[Дней в РФ],$K95),"")</f>
        <v/>
      </c>
      <c r="K95" s="23" t="str">
        <f t="array" ref="K95">IFERROR(_xlfn.AGGREGATE(15,6,(ROW(Personnel[Egtim durumu])-MIN(ROW(Personnel[Egtim durumu]))+1)/((Personnel[Egtim durumu]="sinavi hazir")),ROWS($K$7:K95)),"")</f>
        <v/>
      </c>
    </row>
    <row r="96" spans="1:11" x14ac:dyDescent="0.25">
      <c r="A96" s="32" t="str">
        <f>IFERROR(INDEX(Personnel[Sicil],$K96),"")</f>
        <v/>
      </c>
      <c r="B96" s="33" t="str">
        <f>IFERROR(INDEX(Personnel[Adi Soyadi],$K96),"")</f>
        <v/>
      </c>
      <c r="C96" s="32" t="str">
        <f>IFERROR(INDEX(Personnel[Vatandaslik],$K96),"")</f>
        <v/>
      </c>
      <c r="D96" s="32" t="str">
        <f>IFERROR(INDEX(Personnel[Santiye],$K96),"")</f>
        <v/>
      </c>
      <c r="E96" s="32" t="str">
        <f>IFERROR(INDEX(Personnel[Ogretmen],$K96),"")</f>
        <v/>
      </c>
      <c r="F96" s="33" t="str">
        <f>IFERROR(INDEX(Personnel[[Sinav ]],$K96),"")</f>
        <v/>
      </c>
      <c r="G96" s="33" t="str">
        <f>IFERROR(INDEX(Personnel[Egtim durumu],$K96),"")</f>
        <v/>
      </c>
      <c r="H96" s="33" t="str">
        <f>IFERROR(INDEX(Personnel[Shohruh Not],$K96),"")</f>
        <v/>
      </c>
      <c r="I96" s="32" t="str">
        <f>IFERROR(INDEX(Personnel[Дней в РФ],$K96),"")</f>
        <v/>
      </c>
      <c r="K96" s="23" t="str">
        <f t="array" ref="K96">IFERROR(_xlfn.AGGREGATE(15,6,(ROW(Personnel[Egtim durumu])-MIN(ROW(Personnel[Egtim durumu]))+1)/((Personnel[Egtim durumu]="sinavi hazir")),ROWS($K$7:K96)),"")</f>
        <v/>
      </c>
    </row>
    <row r="97" spans="1:11" x14ac:dyDescent="0.25">
      <c r="A97" s="18" t="str">
        <f>IFERROR(INDEX(Personnel[Sicil],$K97),"")</f>
        <v/>
      </c>
      <c r="B97" s="17" t="str">
        <f>IFERROR(INDEX(Personnel[Adi Soyadi],$K97),"")</f>
        <v/>
      </c>
      <c r="C97" s="18" t="str">
        <f>IFERROR(INDEX(Personnel[Vatandaslik],$K97),"")</f>
        <v/>
      </c>
      <c r="D97" s="18" t="str">
        <f>IFERROR(INDEX(Personnel[Santiye],$K97),"")</f>
        <v/>
      </c>
      <c r="E97" s="18" t="str">
        <f>IFERROR(INDEX(Personnel[Ogretmen],$K97),"")</f>
        <v/>
      </c>
      <c r="F97" s="17" t="str">
        <f>IFERROR(INDEX(Personnel[[Sinav ]],$K97),"")</f>
        <v/>
      </c>
      <c r="G97" s="17" t="str">
        <f>IFERROR(INDEX(Personnel[Egtim durumu],$K97),"")</f>
        <v/>
      </c>
      <c r="H97" s="17" t="str">
        <f>IFERROR(INDEX(Personnel[Shohruh Not],$K97),"")</f>
        <v/>
      </c>
      <c r="I97" s="18" t="str">
        <f>IFERROR(INDEX(Personnel[Дней в РФ],$K97),"")</f>
        <v/>
      </c>
      <c r="K97" s="23" t="str">
        <f t="array" ref="K97">IFERROR(_xlfn.AGGREGATE(15,6,(ROW(Personnel[Egtim durumu])-MIN(ROW(Personnel[Egtim durumu]))+1)/((Personnel[Egtim durumu]="sinavi hazir")),ROWS($K$7:K97)),"")</f>
        <v/>
      </c>
    </row>
    <row r="98" spans="1:11" x14ac:dyDescent="0.25">
      <c r="A98" s="32" t="str">
        <f>IFERROR(INDEX(Personnel[Sicil],$K98),"")</f>
        <v/>
      </c>
      <c r="B98" s="33" t="str">
        <f>IFERROR(INDEX(Personnel[Adi Soyadi],$K98),"")</f>
        <v/>
      </c>
      <c r="C98" s="32" t="str">
        <f>IFERROR(INDEX(Personnel[Vatandaslik],$K98),"")</f>
        <v/>
      </c>
      <c r="D98" s="32" t="str">
        <f>IFERROR(INDEX(Personnel[Santiye],$K98),"")</f>
        <v/>
      </c>
      <c r="E98" s="32" t="str">
        <f>IFERROR(INDEX(Personnel[Ogretmen],$K98),"")</f>
        <v/>
      </c>
      <c r="F98" s="33" t="str">
        <f>IFERROR(INDEX(Personnel[[Sinav ]],$K98),"")</f>
        <v/>
      </c>
      <c r="G98" s="33" t="str">
        <f>IFERROR(INDEX(Personnel[Egtim durumu],$K98),"")</f>
        <v/>
      </c>
      <c r="H98" s="33" t="str">
        <f>IFERROR(INDEX(Personnel[Shohruh Not],$K98),"")</f>
        <v/>
      </c>
      <c r="I98" s="32" t="str">
        <f>IFERROR(INDEX(Personnel[Дней в РФ],$K98),"")</f>
        <v/>
      </c>
      <c r="K98" s="23" t="str">
        <f t="array" ref="K98">IFERROR(_xlfn.AGGREGATE(15,6,(ROW(Personnel[Egtim durumu])-MIN(ROW(Personnel[Egtim durumu]))+1)/((Personnel[Egtim durumu]="sinavi hazir")),ROWS($K$7:K98)),"")</f>
        <v/>
      </c>
    </row>
    <row r="99" spans="1:11" x14ac:dyDescent="0.25">
      <c r="A99" s="18" t="str">
        <f>IFERROR(INDEX(Personnel[Sicil],$K99),"")</f>
        <v/>
      </c>
      <c r="B99" s="17" t="str">
        <f>IFERROR(INDEX(Personnel[Adi Soyadi],$K99),"")</f>
        <v/>
      </c>
      <c r="C99" s="18" t="str">
        <f>IFERROR(INDEX(Personnel[Vatandaslik],$K99),"")</f>
        <v/>
      </c>
      <c r="D99" s="18" t="str">
        <f>IFERROR(INDEX(Personnel[Santiye],$K99),"")</f>
        <v/>
      </c>
      <c r="E99" s="18" t="str">
        <f>IFERROR(INDEX(Personnel[Ogretmen],$K99),"")</f>
        <v/>
      </c>
      <c r="F99" s="17" t="str">
        <f>IFERROR(INDEX(Personnel[[Sinav ]],$K99),"")</f>
        <v/>
      </c>
      <c r="G99" s="17" t="str">
        <f>IFERROR(INDEX(Personnel[Egtim durumu],$K99),"")</f>
        <v/>
      </c>
      <c r="H99" s="17" t="str">
        <f>IFERROR(INDEX(Personnel[Shohruh Not],$K99),"")</f>
        <v/>
      </c>
      <c r="I99" s="18" t="str">
        <f>IFERROR(INDEX(Personnel[Дней в РФ],$K99),"")</f>
        <v/>
      </c>
      <c r="K99" s="23" t="str">
        <f t="array" ref="K99">IFERROR(_xlfn.AGGREGATE(15,6,(ROW(Personnel[Egtim durumu])-MIN(ROW(Personnel[Egtim durumu]))+1)/((Personnel[Egtim durumu]="sinavi hazir")),ROWS($K$7:K99)),"")</f>
        <v/>
      </c>
    </row>
    <row r="100" spans="1:11" x14ac:dyDescent="0.25">
      <c r="A100" s="32" t="str">
        <f>IFERROR(INDEX(Personnel[Sicil],$K100),"")</f>
        <v/>
      </c>
      <c r="B100" s="33" t="str">
        <f>IFERROR(INDEX(Personnel[Adi Soyadi],$K100),"")</f>
        <v/>
      </c>
      <c r="C100" s="32" t="str">
        <f>IFERROR(INDEX(Personnel[Vatandaslik],$K100),"")</f>
        <v/>
      </c>
      <c r="D100" s="32" t="str">
        <f>IFERROR(INDEX(Personnel[Santiye],$K100),"")</f>
        <v/>
      </c>
      <c r="E100" s="32" t="str">
        <f>IFERROR(INDEX(Personnel[Ogretmen],$K100),"")</f>
        <v/>
      </c>
      <c r="F100" s="33" t="str">
        <f>IFERROR(INDEX(Personnel[[Sinav ]],$K100),"")</f>
        <v/>
      </c>
      <c r="G100" s="33" t="str">
        <f>IFERROR(INDEX(Personnel[Egtim durumu],$K100),"")</f>
        <v/>
      </c>
      <c r="H100" s="33" t="str">
        <f>IFERROR(INDEX(Personnel[Shohruh Not],$K100),"")</f>
        <v/>
      </c>
      <c r="I100" s="32" t="str">
        <f>IFERROR(INDEX(Personnel[Дней в РФ],$K100),"")</f>
        <v/>
      </c>
      <c r="K100" s="23" t="str">
        <f t="array" ref="K100">IFERROR(_xlfn.AGGREGATE(15,6,(ROW(Personnel[Egtim durumu])-MIN(ROW(Personnel[Egtim durumu]))+1)/((Personnel[Egtim durumu]="sinavi hazir")),ROWS($K$7:K100)),"")</f>
        <v/>
      </c>
    </row>
    <row r="101" spans="1:11" x14ac:dyDescent="0.25">
      <c r="A101" s="18" t="str">
        <f>IFERROR(INDEX(Personnel[Sicil],$K101),"")</f>
        <v/>
      </c>
      <c r="B101" s="17" t="str">
        <f>IFERROR(INDEX(Personnel[Adi Soyadi],$K101),"")</f>
        <v/>
      </c>
      <c r="C101" s="18" t="str">
        <f>IFERROR(INDEX(Personnel[Vatandaslik],$K101),"")</f>
        <v/>
      </c>
      <c r="D101" s="18" t="str">
        <f>IFERROR(INDEX(Personnel[Santiye],$K101),"")</f>
        <v/>
      </c>
      <c r="E101" s="18" t="str">
        <f>IFERROR(INDEX(Personnel[Ogretmen],$K101),"")</f>
        <v/>
      </c>
      <c r="F101" s="17" t="str">
        <f>IFERROR(INDEX(Personnel[[Sinav ]],$K101),"")</f>
        <v/>
      </c>
      <c r="G101" s="17" t="str">
        <f>IFERROR(INDEX(Personnel[Egtim durumu],$K101),"")</f>
        <v/>
      </c>
      <c r="H101" s="17" t="str">
        <f>IFERROR(INDEX(Personnel[Shohruh Not],$K101),"")</f>
        <v/>
      </c>
      <c r="I101" s="18" t="str">
        <f>IFERROR(INDEX(Personnel[Дней в РФ],$K101),"")</f>
        <v/>
      </c>
      <c r="K101" s="23" t="str">
        <f t="array" ref="K101">IFERROR(_xlfn.AGGREGATE(15,6,(ROW(Personnel[Egtim durumu])-MIN(ROW(Personnel[Egtim durumu]))+1)/((Personnel[Egtim durumu]="sinavi hazir")),ROWS($K$7:K101)),"")</f>
        <v/>
      </c>
    </row>
    <row r="102" spans="1:11" x14ac:dyDescent="0.25">
      <c r="A102" s="32" t="str">
        <f>IFERROR(INDEX(Personnel[Sicil],$K102),"")</f>
        <v/>
      </c>
      <c r="B102" s="33" t="str">
        <f>IFERROR(INDEX(Personnel[Adi Soyadi],$K102),"")</f>
        <v/>
      </c>
      <c r="C102" s="32" t="str">
        <f>IFERROR(INDEX(Personnel[Vatandaslik],$K102),"")</f>
        <v/>
      </c>
      <c r="D102" s="32" t="str">
        <f>IFERROR(INDEX(Personnel[Santiye],$K102),"")</f>
        <v/>
      </c>
      <c r="E102" s="32" t="str">
        <f>IFERROR(INDEX(Personnel[Ogretmen],$K102),"")</f>
        <v/>
      </c>
      <c r="F102" s="33" t="str">
        <f>IFERROR(INDEX(Personnel[[Sinav ]],$K102),"")</f>
        <v/>
      </c>
      <c r="G102" s="33" t="str">
        <f>IFERROR(INDEX(Personnel[Egtim durumu],$K102),"")</f>
        <v/>
      </c>
      <c r="H102" s="33" t="str">
        <f>IFERROR(INDEX(Personnel[Shohruh Not],$K102),"")</f>
        <v/>
      </c>
      <c r="I102" s="32" t="str">
        <f>IFERROR(INDEX(Personnel[Дней в РФ],$K102),"")</f>
        <v/>
      </c>
      <c r="K102" s="23" t="str">
        <f t="array" ref="K102">IFERROR(_xlfn.AGGREGATE(15,6,(ROW(Personnel[Egtim durumu])-MIN(ROW(Personnel[Egtim durumu]))+1)/((Personnel[Egtim durumu]="sinavi hazir")),ROWS($K$7:K102)),"")</f>
        <v/>
      </c>
    </row>
    <row r="103" spans="1:11" x14ac:dyDescent="0.25">
      <c r="A103" s="18" t="str">
        <f>IFERROR(INDEX(Personnel[Sicil],$K103),"")</f>
        <v/>
      </c>
      <c r="B103" s="17" t="str">
        <f>IFERROR(INDEX(Personnel[Adi Soyadi],$K103),"")</f>
        <v/>
      </c>
      <c r="C103" s="18" t="str">
        <f>IFERROR(INDEX(Personnel[Vatandaslik],$K103),"")</f>
        <v/>
      </c>
      <c r="D103" s="18" t="str">
        <f>IFERROR(INDEX(Personnel[Santiye],$K103),"")</f>
        <v/>
      </c>
      <c r="E103" s="18" t="str">
        <f>IFERROR(INDEX(Personnel[Ogretmen],$K103),"")</f>
        <v/>
      </c>
      <c r="F103" s="17" t="str">
        <f>IFERROR(INDEX(Personnel[[Sinav ]],$K103),"")</f>
        <v/>
      </c>
      <c r="G103" s="17" t="str">
        <f>IFERROR(INDEX(Personnel[Egtim durumu],$K103),"")</f>
        <v/>
      </c>
      <c r="H103" s="17" t="str">
        <f>IFERROR(INDEX(Personnel[Shohruh Not],$K103),"")</f>
        <v/>
      </c>
      <c r="I103" s="18" t="str">
        <f>IFERROR(INDEX(Personnel[Дней в РФ],$K103),"")</f>
        <v/>
      </c>
      <c r="K103" s="23" t="str">
        <f t="array" ref="K103">IFERROR(_xlfn.AGGREGATE(15,6,(ROW(Personnel[Egtim durumu])-MIN(ROW(Personnel[Egtim durumu]))+1)/((Personnel[Egtim durumu]="sinavi hazir")),ROWS($K$7:K103)),"")</f>
        <v/>
      </c>
    </row>
    <row r="104" spans="1:11" x14ac:dyDescent="0.25">
      <c r="A104" s="32" t="str">
        <f>IFERROR(INDEX(Personnel[Sicil],$K104),"")</f>
        <v/>
      </c>
      <c r="B104" s="33" t="str">
        <f>IFERROR(INDEX(Personnel[Adi Soyadi],$K104),"")</f>
        <v/>
      </c>
      <c r="C104" s="32" t="str">
        <f>IFERROR(INDEX(Personnel[Vatandaslik],$K104),"")</f>
        <v/>
      </c>
      <c r="D104" s="32" t="str">
        <f>IFERROR(INDEX(Personnel[Santiye],$K104),"")</f>
        <v/>
      </c>
      <c r="E104" s="32" t="str">
        <f>IFERROR(INDEX(Personnel[Ogretmen],$K104),"")</f>
        <v/>
      </c>
      <c r="F104" s="33" t="str">
        <f>IFERROR(INDEX(Personnel[[Sinav ]],$K104),"")</f>
        <v/>
      </c>
      <c r="G104" s="33" t="str">
        <f>IFERROR(INDEX(Personnel[Egtim durumu],$K104),"")</f>
        <v/>
      </c>
      <c r="H104" s="33" t="str">
        <f>IFERROR(INDEX(Personnel[Shohruh Not],$K104),"")</f>
        <v/>
      </c>
      <c r="I104" s="32" t="str">
        <f>IFERROR(INDEX(Personnel[Дней в РФ],$K104),"")</f>
        <v/>
      </c>
      <c r="K104" s="23" t="str">
        <f t="array" ref="K104">IFERROR(_xlfn.AGGREGATE(15,6,(ROW(Personnel[Egtim durumu])-MIN(ROW(Personnel[Egtim durumu]))+1)/((Personnel[Egtim durumu]="sinavi hazir")),ROWS($K$7:K104)),"")</f>
        <v/>
      </c>
    </row>
    <row r="105" spans="1:11" x14ac:dyDescent="0.25">
      <c r="A105" s="18" t="str">
        <f>IFERROR(INDEX(Personnel[Sicil],$K105),"")</f>
        <v/>
      </c>
      <c r="B105" s="17" t="str">
        <f>IFERROR(INDEX(Personnel[Adi Soyadi],$K105),"")</f>
        <v/>
      </c>
      <c r="C105" s="18" t="str">
        <f>IFERROR(INDEX(Personnel[Vatandaslik],$K105),"")</f>
        <v/>
      </c>
      <c r="D105" s="18" t="str">
        <f>IFERROR(INDEX(Personnel[Santiye],$K105),"")</f>
        <v/>
      </c>
      <c r="E105" s="18" t="str">
        <f>IFERROR(INDEX(Personnel[Ogretmen],$K105),"")</f>
        <v/>
      </c>
      <c r="F105" s="17" t="str">
        <f>IFERROR(INDEX(Personnel[[Sinav ]],$K105),"")</f>
        <v/>
      </c>
      <c r="G105" s="17" t="str">
        <f>IFERROR(INDEX(Personnel[Egtim durumu],$K105),"")</f>
        <v/>
      </c>
      <c r="H105" s="17" t="str">
        <f>IFERROR(INDEX(Personnel[Shohruh Not],$K105),"")</f>
        <v/>
      </c>
      <c r="I105" s="18" t="str">
        <f>IFERROR(INDEX(Personnel[Дней в РФ],$K105),"")</f>
        <v/>
      </c>
      <c r="K105" s="23" t="str">
        <f t="array" ref="K105">IFERROR(_xlfn.AGGREGATE(15,6,(ROW(Personnel[Egtim durumu])-MIN(ROW(Personnel[Egtim durumu]))+1)/((Personnel[Egtim durumu]="sinavi hazir")),ROWS($K$7:K105)),"")</f>
        <v/>
      </c>
    </row>
    <row r="106" spans="1:11" x14ac:dyDescent="0.25">
      <c r="A106" s="32" t="str">
        <f>IFERROR(INDEX(Personnel[Sicil],$K106),"")</f>
        <v/>
      </c>
      <c r="B106" s="33" t="str">
        <f>IFERROR(INDEX(Personnel[Adi Soyadi],$K106),"")</f>
        <v/>
      </c>
      <c r="C106" s="32" t="str">
        <f>IFERROR(INDEX(Personnel[Vatandaslik],$K106),"")</f>
        <v/>
      </c>
      <c r="D106" s="32" t="str">
        <f>IFERROR(INDEX(Personnel[Santiye],$K106),"")</f>
        <v/>
      </c>
      <c r="E106" s="32" t="str">
        <f>IFERROR(INDEX(Personnel[Ogretmen],$K106),"")</f>
        <v/>
      </c>
      <c r="F106" s="33" t="str">
        <f>IFERROR(INDEX(Personnel[[Sinav ]],$K106),"")</f>
        <v/>
      </c>
      <c r="G106" s="33" t="str">
        <f>IFERROR(INDEX(Personnel[Egtim durumu],$K106),"")</f>
        <v/>
      </c>
      <c r="H106" s="33" t="str">
        <f>IFERROR(INDEX(Personnel[Shohruh Not],$K106),"")</f>
        <v/>
      </c>
      <c r="I106" s="32" t="str">
        <f>IFERROR(INDEX(Personnel[Дней в РФ],$K106),"")</f>
        <v/>
      </c>
      <c r="K106" s="23" t="str">
        <f t="array" ref="K106">IFERROR(_xlfn.AGGREGATE(15,6,(ROW(Personnel[Egtim durumu])-MIN(ROW(Personnel[Egtim durumu]))+1)/((Personnel[Egtim durumu]="sinavi hazir")),ROWS($K$7:K106)),"")</f>
        <v/>
      </c>
    </row>
    <row r="107" spans="1:11" x14ac:dyDescent="0.25">
      <c r="A107" s="18" t="str">
        <f>IFERROR(INDEX(Personnel[Sicil],$K107),"")</f>
        <v/>
      </c>
      <c r="B107" s="17" t="str">
        <f>IFERROR(INDEX(Personnel[Adi Soyadi],$K107),"")</f>
        <v/>
      </c>
      <c r="C107" s="18" t="str">
        <f>IFERROR(INDEX(Personnel[Vatandaslik],$K107),"")</f>
        <v/>
      </c>
      <c r="D107" s="18" t="str">
        <f>IFERROR(INDEX(Personnel[Santiye],$K107),"")</f>
        <v/>
      </c>
      <c r="E107" s="18" t="str">
        <f>IFERROR(INDEX(Personnel[Ogretmen],$K107),"")</f>
        <v/>
      </c>
      <c r="F107" s="17" t="str">
        <f>IFERROR(INDEX(Personnel[[Sinav ]],$K107),"")</f>
        <v/>
      </c>
      <c r="G107" s="17" t="str">
        <f>IFERROR(INDEX(Personnel[Egtim durumu],$K107),"")</f>
        <v/>
      </c>
      <c r="H107" s="17" t="str">
        <f>IFERROR(INDEX(Personnel[Shohruh Not],$K107),"")</f>
        <v/>
      </c>
      <c r="I107" s="18" t="str">
        <f>IFERROR(INDEX(Personnel[Дней в РФ],$K107),"")</f>
        <v/>
      </c>
      <c r="K107" s="23" t="str">
        <f t="array" ref="K107">IFERROR(_xlfn.AGGREGATE(15,6,(ROW(Personnel[Egtim durumu])-MIN(ROW(Personnel[Egtim durumu]))+1)/((Personnel[Egtim durumu]="sinavi hazir")),ROWS($K$7:K107)),"")</f>
        <v/>
      </c>
    </row>
    <row r="108" spans="1:11" x14ac:dyDescent="0.25">
      <c r="A108" s="32" t="str">
        <f>IFERROR(INDEX(Personnel[Sicil],$K108),"")</f>
        <v/>
      </c>
      <c r="B108" s="33" t="str">
        <f>IFERROR(INDEX(Personnel[Adi Soyadi],$K108),"")</f>
        <v/>
      </c>
      <c r="C108" s="32" t="str">
        <f>IFERROR(INDEX(Personnel[Vatandaslik],$K108),"")</f>
        <v/>
      </c>
      <c r="D108" s="32" t="str">
        <f>IFERROR(INDEX(Personnel[Santiye],$K108),"")</f>
        <v/>
      </c>
      <c r="E108" s="32" t="str">
        <f>IFERROR(INDEX(Personnel[Ogretmen],$K108),"")</f>
        <v/>
      </c>
      <c r="F108" s="33" t="str">
        <f>IFERROR(INDEX(Personnel[[Sinav ]],$K108),"")</f>
        <v/>
      </c>
      <c r="G108" s="33" t="str">
        <f>IFERROR(INDEX(Personnel[Egtim durumu],$K108),"")</f>
        <v/>
      </c>
      <c r="H108" s="33" t="str">
        <f>IFERROR(INDEX(Personnel[Shohruh Not],$K108),"")</f>
        <v/>
      </c>
      <c r="I108" s="32" t="str">
        <f>IFERROR(INDEX(Personnel[Дней в РФ],$K108),"")</f>
        <v/>
      </c>
      <c r="K108" s="23" t="str">
        <f t="array" ref="K108">IFERROR(_xlfn.AGGREGATE(15,6,(ROW(Personnel[Egtim durumu])-MIN(ROW(Personnel[Egtim durumu]))+1)/((Personnel[Egtim durumu]="sinavi hazir")),ROWS($K$7:K108)),"")</f>
        <v/>
      </c>
    </row>
    <row r="109" spans="1:11" x14ac:dyDescent="0.25">
      <c r="A109" s="18" t="str">
        <f>IFERROR(INDEX(Personnel[Sicil],$K109),"")</f>
        <v/>
      </c>
      <c r="B109" s="17" t="str">
        <f>IFERROR(INDEX(Personnel[Adi Soyadi],$K109),"")</f>
        <v/>
      </c>
      <c r="C109" s="18" t="str">
        <f>IFERROR(INDEX(Personnel[Vatandaslik],$K109),"")</f>
        <v/>
      </c>
      <c r="D109" s="18" t="str">
        <f>IFERROR(INDEX(Personnel[Santiye],$K109),"")</f>
        <v/>
      </c>
      <c r="E109" s="18" t="str">
        <f>IFERROR(INDEX(Personnel[Ogretmen],$K109),"")</f>
        <v/>
      </c>
      <c r="F109" s="17" t="str">
        <f>IFERROR(INDEX(Personnel[[Sinav ]],$K109),"")</f>
        <v/>
      </c>
      <c r="G109" s="17" t="str">
        <f>IFERROR(INDEX(Personnel[Egtim durumu],$K109),"")</f>
        <v/>
      </c>
      <c r="H109" s="17" t="str">
        <f>IFERROR(INDEX(Personnel[Shohruh Not],$K109),"")</f>
        <v/>
      </c>
      <c r="I109" s="18" t="str">
        <f>IFERROR(INDEX(Personnel[Дней в РФ],$K109),"")</f>
        <v/>
      </c>
      <c r="K109" s="23" t="str">
        <f t="array" ref="K109">IFERROR(_xlfn.AGGREGATE(15,6,(ROW(Personnel[Egtim durumu])-MIN(ROW(Personnel[Egtim durumu]))+1)/((Personnel[Egtim durumu]="sinavi hazir")),ROWS($K$7:K109)),"")</f>
        <v/>
      </c>
    </row>
    <row r="110" spans="1:11" x14ac:dyDescent="0.25">
      <c r="A110" s="32" t="str">
        <f>IFERROR(INDEX(Personnel[Sicil],$K110),"")</f>
        <v/>
      </c>
      <c r="B110" s="33" t="str">
        <f>IFERROR(INDEX(Personnel[Adi Soyadi],$K110),"")</f>
        <v/>
      </c>
      <c r="C110" s="32" t="str">
        <f>IFERROR(INDEX(Personnel[Vatandaslik],$K110),"")</f>
        <v/>
      </c>
      <c r="D110" s="32" t="str">
        <f>IFERROR(INDEX(Personnel[Santiye],$K110),"")</f>
        <v/>
      </c>
      <c r="E110" s="32" t="str">
        <f>IFERROR(INDEX(Personnel[Ogretmen],$K110),"")</f>
        <v/>
      </c>
      <c r="F110" s="33" t="str">
        <f>IFERROR(INDEX(Personnel[[Sinav ]],$K110),"")</f>
        <v/>
      </c>
      <c r="G110" s="33" t="str">
        <f>IFERROR(INDEX(Personnel[Egtim durumu],$K110),"")</f>
        <v/>
      </c>
      <c r="H110" s="33" t="str">
        <f>IFERROR(INDEX(Personnel[Shohruh Not],$K110),"")</f>
        <v/>
      </c>
      <c r="I110" s="32" t="str">
        <f>IFERROR(INDEX(Personnel[Дней в РФ],$K110),"")</f>
        <v/>
      </c>
      <c r="K110" s="23" t="str">
        <f t="array" ref="K110">IFERROR(_xlfn.AGGREGATE(15,6,(ROW(Personnel[Egtim durumu])-MIN(ROW(Personnel[Egtim durumu]))+1)/((Personnel[Egtim durumu]="sinavi hazir")),ROWS($K$7:K110)),"")</f>
        <v/>
      </c>
    </row>
    <row r="111" spans="1:11" x14ac:dyDescent="0.25">
      <c r="A111" s="18" t="str">
        <f>IFERROR(INDEX(Personnel[Sicil],$K111),"")</f>
        <v/>
      </c>
      <c r="B111" s="17" t="str">
        <f>IFERROR(INDEX(Personnel[Adi Soyadi],$K111),"")</f>
        <v/>
      </c>
      <c r="C111" s="18" t="str">
        <f>IFERROR(INDEX(Personnel[Vatandaslik],$K111),"")</f>
        <v/>
      </c>
      <c r="D111" s="18" t="str">
        <f>IFERROR(INDEX(Personnel[Santiye],$K111),"")</f>
        <v/>
      </c>
      <c r="E111" s="18" t="str">
        <f>IFERROR(INDEX(Personnel[Ogretmen],$K111),"")</f>
        <v/>
      </c>
      <c r="F111" s="17" t="str">
        <f>IFERROR(INDEX(Personnel[[Sinav ]],$K111),"")</f>
        <v/>
      </c>
      <c r="G111" s="17" t="str">
        <f>IFERROR(INDEX(Personnel[Egtim durumu],$K111),"")</f>
        <v/>
      </c>
      <c r="H111" s="17" t="str">
        <f>IFERROR(INDEX(Personnel[Shohruh Not],$K111),"")</f>
        <v/>
      </c>
      <c r="I111" s="18" t="str">
        <f>IFERROR(INDEX(Personnel[Дней в РФ],$K111),"")</f>
        <v/>
      </c>
      <c r="K111" s="23" t="str">
        <f t="array" ref="K111">IFERROR(_xlfn.AGGREGATE(15,6,(ROW(Personnel[Egtim durumu])-MIN(ROW(Personnel[Egtim durumu]))+1)/((Personnel[Egtim durumu]="sinavi hazir")),ROWS($K$7:K111)),"")</f>
        <v/>
      </c>
    </row>
    <row r="112" spans="1:11" x14ac:dyDescent="0.25">
      <c r="A112" s="32" t="str">
        <f>IFERROR(INDEX(Personnel[Sicil],$K112),"")</f>
        <v/>
      </c>
      <c r="B112" s="33" t="str">
        <f>IFERROR(INDEX(Personnel[Adi Soyadi],$K112),"")</f>
        <v/>
      </c>
      <c r="C112" s="32" t="str">
        <f>IFERROR(INDEX(Personnel[Vatandaslik],$K112),"")</f>
        <v/>
      </c>
      <c r="D112" s="32" t="str">
        <f>IFERROR(INDEX(Personnel[Santiye],$K112),"")</f>
        <v/>
      </c>
      <c r="E112" s="32" t="str">
        <f>IFERROR(INDEX(Personnel[Ogretmen],$K112),"")</f>
        <v/>
      </c>
      <c r="F112" s="33" t="str">
        <f>IFERROR(INDEX(Personnel[[Sinav ]],$K112),"")</f>
        <v/>
      </c>
      <c r="G112" s="33" t="str">
        <f>IFERROR(INDEX(Personnel[Egtim durumu],$K112),"")</f>
        <v/>
      </c>
      <c r="H112" s="33" t="str">
        <f>IFERROR(INDEX(Personnel[Shohruh Not],$K112),"")</f>
        <v/>
      </c>
      <c r="I112" s="32" t="str">
        <f>IFERROR(INDEX(Personnel[Дней в РФ],$K112),"")</f>
        <v/>
      </c>
      <c r="K112" s="23" t="str">
        <f t="array" ref="K112">IFERROR(_xlfn.AGGREGATE(15,6,(ROW(Personnel[Egtim durumu])-MIN(ROW(Personnel[Egtim durumu]))+1)/((Personnel[Egtim durumu]="sinavi hazir")),ROWS($K$7:K112)),"")</f>
        <v/>
      </c>
    </row>
    <row r="113" spans="1:11" x14ac:dyDescent="0.25">
      <c r="A113" s="18" t="str">
        <f>IFERROR(INDEX(Personnel[Sicil],$K113),"")</f>
        <v/>
      </c>
      <c r="B113" s="17" t="str">
        <f>IFERROR(INDEX(Personnel[Adi Soyadi],$K113),"")</f>
        <v/>
      </c>
      <c r="C113" s="18" t="str">
        <f>IFERROR(INDEX(Personnel[Vatandaslik],$K113),"")</f>
        <v/>
      </c>
      <c r="D113" s="18" t="str">
        <f>IFERROR(INDEX(Personnel[Santiye],$K113),"")</f>
        <v/>
      </c>
      <c r="E113" s="18" t="str">
        <f>IFERROR(INDEX(Personnel[Ogretmen],$K113),"")</f>
        <v/>
      </c>
      <c r="F113" s="17" t="str">
        <f>IFERROR(INDEX(Personnel[[Sinav ]],$K113),"")</f>
        <v/>
      </c>
      <c r="G113" s="17" t="str">
        <f>IFERROR(INDEX(Personnel[Egtim durumu],$K113),"")</f>
        <v/>
      </c>
      <c r="H113" s="17" t="str">
        <f>IFERROR(INDEX(Personnel[Shohruh Not],$K113),"")</f>
        <v/>
      </c>
      <c r="I113" s="18" t="str">
        <f>IFERROR(INDEX(Personnel[Дней в РФ],$K113),"")</f>
        <v/>
      </c>
      <c r="K113" s="23" t="str">
        <f t="array" ref="K113">IFERROR(_xlfn.AGGREGATE(15,6,(ROW(Personnel[Egtim durumu])-MIN(ROW(Personnel[Egtim durumu]))+1)/((Personnel[Egtim durumu]="sinavi hazir")),ROWS($K$7:K113)),"")</f>
        <v/>
      </c>
    </row>
    <row r="114" spans="1:11" x14ac:dyDescent="0.25">
      <c r="A114" s="32" t="str">
        <f>IFERROR(INDEX(Personnel[Sicil],$K114),"")</f>
        <v/>
      </c>
      <c r="B114" s="33" t="str">
        <f>IFERROR(INDEX(Personnel[Adi Soyadi],$K114),"")</f>
        <v/>
      </c>
      <c r="C114" s="32" t="str">
        <f>IFERROR(INDEX(Personnel[Vatandaslik],$K114),"")</f>
        <v/>
      </c>
      <c r="D114" s="32" t="str">
        <f>IFERROR(INDEX(Personnel[Santiye],$K114),"")</f>
        <v/>
      </c>
      <c r="E114" s="32" t="str">
        <f>IFERROR(INDEX(Personnel[Ogretmen],$K114),"")</f>
        <v/>
      </c>
      <c r="F114" s="33" t="str">
        <f>IFERROR(INDEX(Personnel[[Sinav ]],$K114),"")</f>
        <v/>
      </c>
      <c r="G114" s="33" t="str">
        <f>IFERROR(INDEX(Personnel[Egtim durumu],$K114),"")</f>
        <v/>
      </c>
      <c r="H114" s="33" t="str">
        <f>IFERROR(INDEX(Personnel[Shohruh Not],$K114),"")</f>
        <v/>
      </c>
      <c r="I114" s="32" t="str">
        <f>IFERROR(INDEX(Personnel[Дней в РФ],$K114),"")</f>
        <v/>
      </c>
      <c r="K114" s="23" t="str">
        <f t="array" ref="K114">IFERROR(_xlfn.AGGREGATE(15,6,(ROW(Personnel[Egtim durumu])-MIN(ROW(Personnel[Egtim durumu]))+1)/((Personnel[Egtim durumu]="sinavi hazir")),ROWS($K$7:K114)),"")</f>
        <v/>
      </c>
    </row>
    <row r="115" spans="1:11" x14ac:dyDescent="0.25">
      <c r="A115" s="18" t="str">
        <f>IFERROR(INDEX(Personnel[Sicil],$K115),"")</f>
        <v/>
      </c>
      <c r="B115" s="17" t="str">
        <f>IFERROR(INDEX(Personnel[Adi Soyadi],$K115),"")</f>
        <v/>
      </c>
      <c r="C115" s="18" t="str">
        <f>IFERROR(INDEX(Personnel[Vatandaslik],$K115),"")</f>
        <v/>
      </c>
      <c r="D115" s="18" t="str">
        <f>IFERROR(INDEX(Personnel[Santiye],$K115),"")</f>
        <v/>
      </c>
      <c r="E115" s="18" t="str">
        <f>IFERROR(INDEX(Personnel[Ogretmen],$K115),"")</f>
        <v/>
      </c>
      <c r="F115" s="17" t="str">
        <f>IFERROR(INDEX(Personnel[[Sinav ]],$K115),"")</f>
        <v/>
      </c>
      <c r="G115" s="17" t="str">
        <f>IFERROR(INDEX(Personnel[Egtim durumu],$K115),"")</f>
        <v/>
      </c>
      <c r="H115" s="17" t="str">
        <f>IFERROR(INDEX(Personnel[Shohruh Not],$K115),"")</f>
        <v/>
      </c>
      <c r="I115" s="18" t="str">
        <f>IFERROR(INDEX(Personnel[Дней в РФ],$K115),"")</f>
        <v/>
      </c>
      <c r="K115" s="23" t="str">
        <f t="array" ref="K115">IFERROR(_xlfn.AGGREGATE(15,6,(ROW(Personnel[Egtim durumu])-MIN(ROW(Personnel[Egtim durumu]))+1)/((Personnel[Egtim durumu]="sinavi hazir")),ROWS($K$7:K115)),"")</f>
        <v/>
      </c>
    </row>
    <row r="116" spans="1:11" x14ac:dyDescent="0.25">
      <c r="A116" s="32" t="str">
        <f>IFERROR(INDEX(Personnel[Sicil],$K116),"")</f>
        <v/>
      </c>
      <c r="B116" s="33" t="str">
        <f>IFERROR(INDEX(Personnel[Adi Soyadi],$K116),"")</f>
        <v/>
      </c>
      <c r="C116" s="32" t="str">
        <f>IFERROR(INDEX(Personnel[Vatandaslik],$K116),"")</f>
        <v/>
      </c>
      <c r="D116" s="32" t="str">
        <f>IFERROR(INDEX(Personnel[Santiye],$K116),"")</f>
        <v/>
      </c>
      <c r="E116" s="32" t="str">
        <f>IFERROR(INDEX(Personnel[Ogretmen],$K116),"")</f>
        <v/>
      </c>
      <c r="F116" s="33" t="str">
        <f>IFERROR(INDEX(Personnel[[Sinav ]],$K116),"")</f>
        <v/>
      </c>
      <c r="G116" s="33" t="str">
        <f>IFERROR(INDEX(Personnel[Egtim durumu],$K116),"")</f>
        <v/>
      </c>
      <c r="H116" s="33" t="str">
        <f>IFERROR(INDEX(Personnel[Shohruh Not],$K116),"")</f>
        <v/>
      </c>
      <c r="I116" s="32" t="str">
        <f>IFERROR(INDEX(Personnel[Дней в РФ],$K116),"")</f>
        <v/>
      </c>
      <c r="K116" s="23" t="str">
        <f t="array" ref="K116">IFERROR(_xlfn.AGGREGATE(15,6,(ROW(Personnel[Egtim durumu])-MIN(ROW(Personnel[Egtim durumu]))+1)/((Personnel[Egtim durumu]="sinavi hazir")),ROWS($K$7:K116)),"")</f>
        <v/>
      </c>
    </row>
    <row r="117" spans="1:11" x14ac:dyDescent="0.25">
      <c r="A117" s="18" t="str">
        <f>IFERROR(INDEX(Personnel[Sicil],$K117),"")</f>
        <v/>
      </c>
      <c r="B117" s="17" t="str">
        <f>IFERROR(INDEX(Personnel[Adi Soyadi],$K117),"")</f>
        <v/>
      </c>
      <c r="C117" s="18" t="str">
        <f>IFERROR(INDEX(Personnel[Vatandaslik],$K117),"")</f>
        <v/>
      </c>
      <c r="D117" s="18" t="str">
        <f>IFERROR(INDEX(Personnel[Santiye],$K117),"")</f>
        <v/>
      </c>
      <c r="E117" s="18" t="str">
        <f>IFERROR(INDEX(Personnel[Ogretmen],$K117),"")</f>
        <v/>
      </c>
      <c r="F117" s="17" t="str">
        <f>IFERROR(INDEX(Personnel[[Sinav ]],$K117),"")</f>
        <v/>
      </c>
      <c r="G117" s="17" t="str">
        <f>IFERROR(INDEX(Personnel[Egtim durumu],$K117),"")</f>
        <v/>
      </c>
      <c r="H117" s="17" t="str">
        <f>IFERROR(INDEX(Personnel[Shohruh Not],$K117),"")</f>
        <v/>
      </c>
      <c r="I117" s="18" t="str">
        <f>IFERROR(INDEX(Personnel[Дней в РФ],$K117),"")</f>
        <v/>
      </c>
      <c r="K117" s="23" t="str">
        <f t="array" ref="K117">IFERROR(_xlfn.AGGREGATE(15,6,(ROW(Personnel[Egtim durumu])-MIN(ROW(Personnel[Egtim durumu]))+1)/((Personnel[Egtim durumu]="sinavi hazir")),ROWS($K$7:K117)),"")</f>
        <v/>
      </c>
    </row>
    <row r="118" spans="1:11" x14ac:dyDescent="0.25">
      <c r="A118" s="32" t="str">
        <f>IFERROR(INDEX(Personnel[Sicil],$K118),"")</f>
        <v/>
      </c>
      <c r="B118" s="33" t="str">
        <f>IFERROR(INDEX(Personnel[Adi Soyadi],$K118),"")</f>
        <v/>
      </c>
      <c r="C118" s="32" t="str">
        <f>IFERROR(INDEX(Personnel[Vatandaslik],$K118),"")</f>
        <v/>
      </c>
      <c r="D118" s="32" t="str">
        <f>IFERROR(INDEX(Personnel[Santiye],$K118),"")</f>
        <v/>
      </c>
      <c r="E118" s="32" t="str">
        <f>IFERROR(INDEX(Personnel[Ogretmen],$K118),"")</f>
        <v/>
      </c>
      <c r="F118" s="33" t="str">
        <f>IFERROR(INDEX(Personnel[[Sinav ]],$K118),"")</f>
        <v/>
      </c>
      <c r="G118" s="33" t="str">
        <f>IFERROR(INDEX(Personnel[Egtim durumu],$K118),"")</f>
        <v/>
      </c>
      <c r="H118" s="33" t="str">
        <f>IFERROR(INDEX(Personnel[Shohruh Not],$K118),"")</f>
        <v/>
      </c>
      <c r="I118" s="32" t="str">
        <f>IFERROR(INDEX(Personnel[Дней в РФ],$K118),"")</f>
        <v/>
      </c>
      <c r="K118" s="23" t="str">
        <f t="array" ref="K118">IFERROR(_xlfn.AGGREGATE(15,6,(ROW(Personnel[Egtim durumu])-MIN(ROW(Personnel[Egtim durumu]))+1)/((Personnel[Egtim durumu]="sinavi hazir")),ROWS($K$7:K118)),"")</f>
        <v/>
      </c>
    </row>
    <row r="119" spans="1:11" x14ac:dyDescent="0.25">
      <c r="A119" s="18" t="str">
        <f>IFERROR(INDEX(Personnel[Sicil],$K119),"")</f>
        <v/>
      </c>
      <c r="B119" s="17" t="str">
        <f>IFERROR(INDEX(Personnel[Adi Soyadi],$K119),"")</f>
        <v/>
      </c>
      <c r="C119" s="18" t="str">
        <f>IFERROR(INDEX(Personnel[Vatandaslik],$K119),"")</f>
        <v/>
      </c>
      <c r="D119" s="18" t="str">
        <f>IFERROR(INDEX(Personnel[Santiye],$K119),"")</f>
        <v/>
      </c>
      <c r="E119" s="18" t="str">
        <f>IFERROR(INDEX(Personnel[Ogretmen],$K119),"")</f>
        <v/>
      </c>
      <c r="F119" s="17" t="str">
        <f>IFERROR(INDEX(Personnel[[Sinav ]],$K119),"")</f>
        <v/>
      </c>
      <c r="G119" s="17" t="str">
        <f>IFERROR(INDEX(Personnel[Egtim durumu],$K119),"")</f>
        <v/>
      </c>
      <c r="H119" s="17" t="str">
        <f>IFERROR(INDEX(Personnel[Shohruh Not],$K119),"")</f>
        <v/>
      </c>
      <c r="I119" s="18" t="str">
        <f>IFERROR(INDEX(Personnel[Дней в РФ],$K119),"")</f>
        <v/>
      </c>
      <c r="K119" s="23" t="str">
        <f t="array" ref="K119">IFERROR(_xlfn.AGGREGATE(15,6,(ROW(Personnel[Egtim durumu])-MIN(ROW(Personnel[Egtim durumu]))+1)/((Personnel[Egtim durumu]="sinavi hazir")),ROWS($K$7:K119)),"")</f>
        <v/>
      </c>
    </row>
    <row r="120" spans="1:11" x14ac:dyDescent="0.25">
      <c r="A120" s="32" t="str">
        <f>IFERROR(INDEX(Personnel[Sicil],$K120),"")</f>
        <v/>
      </c>
      <c r="B120" s="33" t="str">
        <f>IFERROR(INDEX(Personnel[Adi Soyadi],$K120),"")</f>
        <v/>
      </c>
      <c r="C120" s="32" t="str">
        <f>IFERROR(INDEX(Personnel[Vatandaslik],$K120),"")</f>
        <v/>
      </c>
      <c r="D120" s="32" t="str">
        <f>IFERROR(INDEX(Personnel[Santiye],$K120),"")</f>
        <v/>
      </c>
      <c r="E120" s="32" t="str">
        <f>IFERROR(INDEX(Personnel[Ogretmen],$K120),"")</f>
        <v/>
      </c>
      <c r="F120" s="33" t="str">
        <f>IFERROR(INDEX(Personnel[[Sinav ]],$K120),"")</f>
        <v/>
      </c>
      <c r="G120" s="33" t="str">
        <f>IFERROR(INDEX(Personnel[Egtim durumu],$K120),"")</f>
        <v/>
      </c>
      <c r="H120" s="33" t="str">
        <f>IFERROR(INDEX(Personnel[Shohruh Not],$K120),"")</f>
        <v/>
      </c>
      <c r="I120" s="32" t="str">
        <f>IFERROR(INDEX(Personnel[Дней в РФ],$K120),"")</f>
        <v/>
      </c>
      <c r="K120" s="23" t="str">
        <f t="array" ref="K120">IFERROR(_xlfn.AGGREGATE(15,6,(ROW(Personnel[Egtim durumu])-MIN(ROW(Personnel[Egtim durumu]))+1)/((Personnel[Egtim durumu]="sinavi hazir")),ROWS($K$7:K120)),"")</f>
        <v/>
      </c>
    </row>
    <row r="121" spans="1:11" x14ac:dyDescent="0.25">
      <c r="A121" s="18" t="str">
        <f>IFERROR(INDEX(Personnel[Sicil],$K121),"")</f>
        <v/>
      </c>
      <c r="B121" s="17" t="str">
        <f>IFERROR(INDEX(Personnel[Adi Soyadi],$K121),"")</f>
        <v/>
      </c>
      <c r="C121" s="18" t="str">
        <f>IFERROR(INDEX(Personnel[Vatandaslik],$K121),"")</f>
        <v/>
      </c>
      <c r="D121" s="18" t="str">
        <f>IFERROR(INDEX(Personnel[Santiye],$K121),"")</f>
        <v/>
      </c>
      <c r="E121" s="18" t="str">
        <f>IFERROR(INDEX(Personnel[Ogretmen],$K121),"")</f>
        <v/>
      </c>
      <c r="F121" s="17" t="str">
        <f>IFERROR(INDEX(Personnel[[Sinav ]],$K121),"")</f>
        <v/>
      </c>
      <c r="G121" s="17" t="str">
        <f>IFERROR(INDEX(Personnel[Egtim durumu],$K121),"")</f>
        <v/>
      </c>
      <c r="H121" s="17" t="str">
        <f>IFERROR(INDEX(Personnel[Shohruh Not],$K121),"")</f>
        <v/>
      </c>
      <c r="I121" s="18" t="str">
        <f>IFERROR(INDEX(Personnel[Дней в РФ],$K121),"")</f>
        <v/>
      </c>
      <c r="K121" s="23" t="str">
        <f t="array" ref="K121">IFERROR(_xlfn.AGGREGATE(15,6,(ROW(Personnel[Egtim durumu])-MIN(ROW(Personnel[Egtim durumu]))+1)/((Personnel[Egtim durumu]="sinavi hazir")),ROWS($K$7:K121)),"")</f>
        <v/>
      </c>
    </row>
    <row r="122" spans="1:11" x14ac:dyDescent="0.25">
      <c r="A122" s="32" t="str">
        <f>IFERROR(INDEX(Personnel[Sicil],$K122),"")</f>
        <v/>
      </c>
      <c r="B122" s="33" t="str">
        <f>IFERROR(INDEX(Personnel[Adi Soyadi],$K122),"")</f>
        <v/>
      </c>
      <c r="C122" s="32" t="str">
        <f>IFERROR(INDEX(Personnel[Vatandaslik],$K122),"")</f>
        <v/>
      </c>
      <c r="D122" s="32" t="str">
        <f>IFERROR(INDEX(Personnel[Santiye],$K122),"")</f>
        <v/>
      </c>
      <c r="E122" s="32" t="str">
        <f>IFERROR(INDEX(Personnel[Ogretmen],$K122),"")</f>
        <v/>
      </c>
      <c r="F122" s="33" t="str">
        <f>IFERROR(INDEX(Personnel[[Sinav ]],$K122),"")</f>
        <v/>
      </c>
      <c r="G122" s="33" t="str">
        <f>IFERROR(INDEX(Personnel[Egtim durumu],$K122),"")</f>
        <v/>
      </c>
      <c r="H122" s="33" t="str">
        <f>IFERROR(INDEX(Personnel[Shohruh Not],$K122),"")</f>
        <v/>
      </c>
      <c r="I122" s="32" t="str">
        <f>IFERROR(INDEX(Personnel[Дней в РФ],$K122),"")</f>
        <v/>
      </c>
      <c r="K122" s="23" t="str">
        <f t="array" ref="K122">IFERROR(_xlfn.AGGREGATE(15,6,(ROW(Personnel[Egtim durumu])-MIN(ROW(Personnel[Egtim durumu]))+1)/((Personnel[Egtim durumu]="sinavi hazir")),ROWS($K$7:K122)),"")</f>
        <v/>
      </c>
    </row>
    <row r="123" spans="1:11" x14ac:dyDescent="0.25">
      <c r="A123" s="18" t="str">
        <f>IFERROR(INDEX(Personnel[Sicil],$K123),"")</f>
        <v/>
      </c>
      <c r="B123" s="17" t="str">
        <f>IFERROR(INDEX(Personnel[Adi Soyadi],$K123),"")</f>
        <v/>
      </c>
      <c r="C123" s="18" t="str">
        <f>IFERROR(INDEX(Personnel[Vatandaslik],$K123),"")</f>
        <v/>
      </c>
      <c r="D123" s="18" t="str">
        <f>IFERROR(INDEX(Personnel[Santiye],$K123),"")</f>
        <v/>
      </c>
      <c r="E123" s="18" t="str">
        <f>IFERROR(INDEX(Personnel[Ogretmen],$K123),"")</f>
        <v/>
      </c>
      <c r="F123" s="17" t="str">
        <f>IFERROR(INDEX(Personnel[[Sinav ]],$K123),"")</f>
        <v/>
      </c>
      <c r="G123" s="17" t="str">
        <f>IFERROR(INDEX(Personnel[Egtim durumu],$K123),"")</f>
        <v/>
      </c>
      <c r="H123" s="17" t="str">
        <f>IFERROR(INDEX(Personnel[Shohruh Not],$K123),"")</f>
        <v/>
      </c>
      <c r="I123" s="18" t="str">
        <f>IFERROR(INDEX(Personnel[Дней в РФ],$K123),"")</f>
        <v/>
      </c>
      <c r="K123" s="23" t="str">
        <f t="array" ref="K123">IFERROR(_xlfn.AGGREGATE(15,6,(ROW(Personnel[Egtim durumu])-MIN(ROW(Personnel[Egtim durumu]))+1)/((Personnel[Egtim durumu]="sinavi hazir")),ROWS($K$7:K123)),"")</f>
        <v/>
      </c>
    </row>
    <row r="124" spans="1:11" x14ac:dyDescent="0.25">
      <c r="A124" s="32" t="str">
        <f>IFERROR(INDEX(Personnel[Sicil],$K124),"")</f>
        <v/>
      </c>
      <c r="B124" s="33" t="str">
        <f>IFERROR(INDEX(Personnel[Adi Soyadi],$K124),"")</f>
        <v/>
      </c>
      <c r="C124" s="32" t="str">
        <f>IFERROR(INDEX(Personnel[Vatandaslik],$K124),"")</f>
        <v/>
      </c>
      <c r="D124" s="32" t="str">
        <f>IFERROR(INDEX(Personnel[Santiye],$K124),"")</f>
        <v/>
      </c>
      <c r="E124" s="32" t="str">
        <f>IFERROR(INDEX(Personnel[Ogretmen],$K124),"")</f>
        <v/>
      </c>
      <c r="F124" s="33" t="str">
        <f>IFERROR(INDEX(Personnel[[Sinav ]],$K124),"")</f>
        <v/>
      </c>
      <c r="G124" s="33" t="str">
        <f>IFERROR(INDEX(Personnel[Egtim durumu],$K124),"")</f>
        <v/>
      </c>
      <c r="H124" s="33" t="str">
        <f>IFERROR(INDEX(Personnel[Shohruh Not],$K124),"")</f>
        <v/>
      </c>
      <c r="I124" s="32" t="str">
        <f>IFERROR(INDEX(Personnel[Дней в РФ],$K124),"")</f>
        <v/>
      </c>
      <c r="K124" s="23" t="str">
        <f t="array" ref="K124">IFERROR(_xlfn.AGGREGATE(15,6,(ROW(Personnel[Egtim durumu])-MIN(ROW(Personnel[Egtim durumu]))+1)/((Personnel[Egtim durumu]="sinavi hazir")),ROWS($K$7:K124)),"")</f>
        <v/>
      </c>
    </row>
    <row r="125" spans="1:11" x14ac:dyDescent="0.25">
      <c r="A125" s="18" t="str">
        <f>IFERROR(INDEX(Personnel[Sicil],$K125),"")</f>
        <v/>
      </c>
      <c r="B125" s="17" t="str">
        <f>IFERROR(INDEX(Personnel[Adi Soyadi],$K125),"")</f>
        <v/>
      </c>
      <c r="C125" s="18" t="str">
        <f>IFERROR(INDEX(Personnel[Vatandaslik],$K125),"")</f>
        <v/>
      </c>
      <c r="D125" s="18" t="str">
        <f>IFERROR(INDEX(Personnel[Santiye],$K125),"")</f>
        <v/>
      </c>
      <c r="E125" s="18" t="str">
        <f>IFERROR(INDEX(Personnel[Ogretmen],$K125),"")</f>
        <v/>
      </c>
      <c r="F125" s="17" t="str">
        <f>IFERROR(INDEX(Personnel[[Sinav ]],$K125),"")</f>
        <v/>
      </c>
      <c r="G125" s="17" t="str">
        <f>IFERROR(INDEX(Personnel[Egtim durumu],$K125),"")</f>
        <v/>
      </c>
      <c r="H125" s="17" t="str">
        <f>IFERROR(INDEX(Personnel[Shohruh Not],$K125),"")</f>
        <v/>
      </c>
      <c r="I125" s="18" t="str">
        <f>IFERROR(INDEX(Personnel[Дней в РФ],$K125),"")</f>
        <v/>
      </c>
      <c r="K125" s="23" t="str">
        <f t="array" ref="K125">IFERROR(_xlfn.AGGREGATE(15,6,(ROW(Personnel[Egtim durumu])-MIN(ROW(Personnel[Egtim durumu]))+1)/((Personnel[Egtim durumu]="sinavi hazir")),ROWS($K$7:K125)),"")</f>
        <v/>
      </c>
    </row>
    <row r="126" spans="1:11" x14ac:dyDescent="0.25">
      <c r="A126" s="32" t="str">
        <f>IFERROR(INDEX(Personnel[Sicil],$K126),"")</f>
        <v/>
      </c>
      <c r="B126" s="33" t="str">
        <f>IFERROR(INDEX(Personnel[Adi Soyadi],$K126),"")</f>
        <v/>
      </c>
      <c r="C126" s="32" t="str">
        <f>IFERROR(INDEX(Personnel[Vatandaslik],$K126),"")</f>
        <v/>
      </c>
      <c r="D126" s="32" t="str">
        <f>IFERROR(INDEX(Personnel[Santiye],$K126),"")</f>
        <v/>
      </c>
      <c r="E126" s="32" t="str">
        <f>IFERROR(INDEX(Personnel[Ogretmen],$K126),"")</f>
        <v/>
      </c>
      <c r="F126" s="33" t="str">
        <f>IFERROR(INDEX(Personnel[[Sinav ]],$K126),"")</f>
        <v/>
      </c>
      <c r="G126" s="33" t="str">
        <f>IFERROR(INDEX(Personnel[Egtim durumu],$K126),"")</f>
        <v/>
      </c>
      <c r="H126" s="33" t="str">
        <f>IFERROR(INDEX(Personnel[Shohruh Not],$K126),"")</f>
        <v/>
      </c>
      <c r="I126" s="32" t="str">
        <f>IFERROR(INDEX(Personnel[Дней в РФ],$K126),"")</f>
        <v/>
      </c>
      <c r="K126" s="23" t="str">
        <f t="array" ref="K126">IFERROR(_xlfn.AGGREGATE(15,6,(ROW(Personnel[Egtim durumu])-MIN(ROW(Personnel[Egtim durumu]))+1)/((Personnel[Egtim durumu]="sinavi hazir")),ROWS($K$7:K126)),"")</f>
        <v/>
      </c>
    </row>
    <row r="127" spans="1:11" x14ac:dyDescent="0.25">
      <c r="A127" s="18" t="str">
        <f>IFERROR(INDEX(Personnel[Sicil],$K127),"")</f>
        <v/>
      </c>
      <c r="B127" s="17" t="str">
        <f>IFERROR(INDEX(Personnel[Adi Soyadi],$K127),"")</f>
        <v/>
      </c>
      <c r="C127" s="18" t="str">
        <f>IFERROR(INDEX(Personnel[Vatandaslik],$K127),"")</f>
        <v/>
      </c>
      <c r="D127" s="18" t="str">
        <f>IFERROR(INDEX(Personnel[Santiye],$K127),"")</f>
        <v/>
      </c>
      <c r="E127" s="18" t="str">
        <f>IFERROR(INDEX(Personnel[Ogretmen],$K127),"")</f>
        <v/>
      </c>
      <c r="F127" s="17" t="str">
        <f>IFERROR(INDEX(Personnel[[Sinav ]],$K127),"")</f>
        <v/>
      </c>
      <c r="G127" s="17" t="str">
        <f>IFERROR(INDEX(Personnel[Egtim durumu],$K127),"")</f>
        <v/>
      </c>
      <c r="H127" s="17" t="str">
        <f>IFERROR(INDEX(Personnel[Shohruh Not],$K127),"")</f>
        <v/>
      </c>
      <c r="I127" s="18" t="str">
        <f>IFERROR(INDEX(Personnel[Дней в РФ],$K127),"")</f>
        <v/>
      </c>
      <c r="K127" s="23" t="str">
        <f t="array" ref="K127">IFERROR(_xlfn.AGGREGATE(15,6,(ROW(Personnel[Egtim durumu])-MIN(ROW(Personnel[Egtim durumu]))+1)/((Personnel[Egtim durumu]="sinavi hazir")),ROWS($K$7:K127)),"")</f>
        <v/>
      </c>
    </row>
    <row r="128" spans="1:11" x14ac:dyDescent="0.25">
      <c r="A128" s="32" t="str">
        <f>IFERROR(INDEX(Personnel[Sicil],$K128),"")</f>
        <v/>
      </c>
      <c r="B128" s="33" t="str">
        <f>IFERROR(INDEX(Personnel[Adi Soyadi],$K128),"")</f>
        <v/>
      </c>
      <c r="C128" s="32" t="str">
        <f>IFERROR(INDEX(Personnel[Vatandaslik],$K128),"")</f>
        <v/>
      </c>
      <c r="D128" s="32" t="str">
        <f>IFERROR(INDEX(Personnel[Santiye],$K128),"")</f>
        <v/>
      </c>
      <c r="E128" s="32" t="str">
        <f>IFERROR(INDEX(Personnel[Ogretmen],$K128),"")</f>
        <v/>
      </c>
      <c r="F128" s="33" t="str">
        <f>IFERROR(INDEX(Personnel[[Sinav ]],$K128),"")</f>
        <v/>
      </c>
      <c r="G128" s="33" t="str">
        <f>IFERROR(INDEX(Personnel[Egtim durumu],$K128),"")</f>
        <v/>
      </c>
      <c r="H128" s="33" t="str">
        <f>IFERROR(INDEX(Personnel[Shohruh Not],$K128),"")</f>
        <v/>
      </c>
      <c r="I128" s="32" t="str">
        <f>IFERROR(INDEX(Personnel[Дней в РФ],$K128),"")</f>
        <v/>
      </c>
      <c r="K128" s="23" t="str">
        <f t="array" ref="K128">IFERROR(_xlfn.AGGREGATE(15,6,(ROW(Personnel[Egtim durumu])-MIN(ROW(Personnel[Egtim durumu]))+1)/((Personnel[Egtim durumu]="sinavi hazir")),ROWS($K$7:K128)),"")</f>
        <v/>
      </c>
    </row>
    <row r="129" spans="1:11" x14ac:dyDescent="0.25">
      <c r="A129" s="18" t="str">
        <f>IFERROR(INDEX(Personnel[Sicil],$K129),"")</f>
        <v/>
      </c>
      <c r="B129" s="17" t="str">
        <f>IFERROR(INDEX(Personnel[Adi Soyadi],$K129),"")</f>
        <v/>
      </c>
      <c r="C129" s="18" t="str">
        <f>IFERROR(INDEX(Personnel[Vatandaslik],$K129),"")</f>
        <v/>
      </c>
      <c r="D129" s="18" t="str">
        <f>IFERROR(INDEX(Personnel[Santiye],$K129),"")</f>
        <v/>
      </c>
      <c r="E129" s="18" t="str">
        <f>IFERROR(INDEX(Personnel[Ogretmen],$K129),"")</f>
        <v/>
      </c>
      <c r="F129" s="17" t="str">
        <f>IFERROR(INDEX(Personnel[[Sinav ]],$K129),"")</f>
        <v/>
      </c>
      <c r="G129" s="17" t="str">
        <f>IFERROR(INDEX(Personnel[Egtim durumu],$K129),"")</f>
        <v/>
      </c>
      <c r="H129" s="17" t="str">
        <f>IFERROR(INDEX(Personnel[Shohruh Not],$K129),"")</f>
        <v/>
      </c>
      <c r="I129" s="18" t="str">
        <f>IFERROR(INDEX(Personnel[Дней в РФ],$K129),"")</f>
        <v/>
      </c>
      <c r="K129" s="23" t="str">
        <f t="array" ref="K129">IFERROR(_xlfn.AGGREGATE(15,6,(ROW(Personnel[Egtim durumu])-MIN(ROW(Personnel[Egtim durumu]))+1)/((Personnel[Egtim durumu]="sinavi hazir")),ROWS($K$7:K129)),"")</f>
        <v/>
      </c>
    </row>
    <row r="130" spans="1:11" x14ac:dyDescent="0.25">
      <c r="A130" s="32" t="str">
        <f>IFERROR(INDEX(Personnel[Sicil],$K130),"")</f>
        <v/>
      </c>
      <c r="B130" s="33" t="str">
        <f>IFERROR(INDEX(Personnel[Adi Soyadi],$K130),"")</f>
        <v/>
      </c>
      <c r="C130" s="32" t="str">
        <f>IFERROR(INDEX(Personnel[Vatandaslik],$K130),"")</f>
        <v/>
      </c>
      <c r="D130" s="32" t="str">
        <f>IFERROR(INDEX(Personnel[Santiye],$K130),"")</f>
        <v/>
      </c>
      <c r="E130" s="32" t="str">
        <f>IFERROR(INDEX(Personnel[Ogretmen],$K130),"")</f>
        <v/>
      </c>
      <c r="F130" s="33" t="str">
        <f>IFERROR(INDEX(Personnel[[Sinav ]],$K130),"")</f>
        <v/>
      </c>
      <c r="G130" s="33" t="str">
        <f>IFERROR(INDEX(Personnel[Egtim durumu],$K130),"")</f>
        <v/>
      </c>
      <c r="H130" s="33" t="str">
        <f>IFERROR(INDEX(Personnel[Shohruh Not],$K130),"")</f>
        <v/>
      </c>
      <c r="I130" s="32" t="str">
        <f>IFERROR(INDEX(Personnel[Дней в РФ],$K130),"")</f>
        <v/>
      </c>
      <c r="K130" s="23" t="str">
        <f t="array" ref="K130">IFERROR(_xlfn.AGGREGATE(15,6,(ROW(Personnel[Egtim durumu])-MIN(ROW(Personnel[Egtim durumu]))+1)/((Personnel[Egtim durumu]="sinavi hazir")),ROWS($K$7:K130)),"")</f>
        <v/>
      </c>
    </row>
    <row r="131" spans="1:11" x14ac:dyDescent="0.25">
      <c r="A131" s="18" t="str">
        <f>IFERROR(INDEX(Personnel[Sicil],$K131),"")</f>
        <v/>
      </c>
      <c r="B131" s="17" t="str">
        <f>IFERROR(INDEX(Personnel[Adi Soyadi],$K131),"")</f>
        <v/>
      </c>
      <c r="C131" s="18" t="str">
        <f>IFERROR(INDEX(Personnel[Vatandaslik],$K131),"")</f>
        <v/>
      </c>
      <c r="D131" s="18" t="str">
        <f>IFERROR(INDEX(Personnel[Santiye],$K131),"")</f>
        <v/>
      </c>
      <c r="E131" s="18" t="str">
        <f>IFERROR(INDEX(Personnel[Ogretmen],$K131),"")</f>
        <v/>
      </c>
      <c r="F131" s="17" t="str">
        <f>IFERROR(INDEX(Personnel[[Sinav ]],$K131),"")</f>
        <v/>
      </c>
      <c r="G131" s="17" t="str">
        <f>IFERROR(INDEX(Personnel[Egtim durumu],$K131),"")</f>
        <v/>
      </c>
      <c r="H131" s="17" t="str">
        <f>IFERROR(INDEX(Personnel[Shohruh Not],$K131),"")</f>
        <v/>
      </c>
      <c r="I131" s="18" t="str">
        <f>IFERROR(INDEX(Personnel[Дней в РФ],$K131),"")</f>
        <v/>
      </c>
      <c r="K131" s="23" t="str">
        <f t="array" ref="K131">IFERROR(_xlfn.AGGREGATE(15,6,(ROW(Personnel[Egtim durumu])-MIN(ROW(Personnel[Egtim durumu]))+1)/((Personnel[Egtim durumu]="sinavi hazir")),ROWS($K$7:K131)),"")</f>
        <v/>
      </c>
    </row>
    <row r="132" spans="1:11" x14ac:dyDescent="0.25">
      <c r="A132" s="32" t="str">
        <f>IFERROR(INDEX(Personnel[Sicil],$K132),"")</f>
        <v/>
      </c>
      <c r="B132" s="33" t="str">
        <f>IFERROR(INDEX(Personnel[Adi Soyadi],$K132),"")</f>
        <v/>
      </c>
      <c r="C132" s="32" t="str">
        <f>IFERROR(INDEX(Personnel[Vatandaslik],$K132),"")</f>
        <v/>
      </c>
      <c r="D132" s="32" t="str">
        <f>IFERROR(INDEX(Personnel[Santiye],$K132),"")</f>
        <v/>
      </c>
      <c r="E132" s="32" t="str">
        <f>IFERROR(INDEX(Personnel[Ogretmen],$K132),"")</f>
        <v/>
      </c>
      <c r="F132" s="33" t="str">
        <f>IFERROR(INDEX(Personnel[[Sinav ]],$K132),"")</f>
        <v/>
      </c>
      <c r="G132" s="33" t="str">
        <f>IFERROR(INDEX(Personnel[Egtim durumu],$K132),"")</f>
        <v/>
      </c>
      <c r="H132" s="33" t="str">
        <f>IFERROR(INDEX(Personnel[Shohruh Not],$K132),"")</f>
        <v/>
      </c>
      <c r="I132" s="32" t="str">
        <f>IFERROR(INDEX(Personnel[Дней в РФ],$K132),"")</f>
        <v/>
      </c>
      <c r="K132" s="23" t="str">
        <f t="array" ref="K132">IFERROR(_xlfn.AGGREGATE(15,6,(ROW(Personnel[Egtim durumu])-MIN(ROW(Personnel[Egtim durumu]))+1)/((Personnel[Egtim durumu]="sinavi hazir")),ROWS($K$7:K132)),"")</f>
        <v/>
      </c>
    </row>
    <row r="133" spans="1:11" x14ac:dyDescent="0.25">
      <c r="A133" s="18" t="str">
        <f>IFERROR(INDEX(Personnel[Sicil],$K133),"")</f>
        <v/>
      </c>
      <c r="B133" s="17" t="str">
        <f>IFERROR(INDEX(Personnel[Adi Soyadi],$K133),"")</f>
        <v/>
      </c>
      <c r="C133" s="18" t="str">
        <f>IFERROR(INDEX(Personnel[Vatandaslik],$K133),"")</f>
        <v/>
      </c>
      <c r="D133" s="18" t="str">
        <f>IFERROR(INDEX(Personnel[Santiye],$K133),"")</f>
        <v/>
      </c>
      <c r="E133" s="18" t="str">
        <f>IFERROR(INDEX(Personnel[Ogretmen],$K133),"")</f>
        <v/>
      </c>
      <c r="F133" s="17" t="str">
        <f>IFERROR(INDEX(Personnel[[Sinav ]],$K133),"")</f>
        <v/>
      </c>
      <c r="G133" s="17" t="str">
        <f>IFERROR(INDEX(Personnel[Egtim durumu],$K133),"")</f>
        <v/>
      </c>
      <c r="H133" s="17" t="str">
        <f>IFERROR(INDEX(Personnel[Shohruh Not],$K133),"")</f>
        <v/>
      </c>
      <c r="I133" s="18" t="str">
        <f>IFERROR(INDEX(Personnel[Дней в РФ],$K133),"")</f>
        <v/>
      </c>
      <c r="K133" s="23" t="str">
        <f t="array" ref="K133">IFERROR(_xlfn.AGGREGATE(15,6,(ROW(Personnel[Egtim durumu])-MIN(ROW(Personnel[Egtim durumu]))+1)/((Personnel[Egtim durumu]="sinavi hazir")),ROWS($K$7:K133)),"")</f>
        <v/>
      </c>
    </row>
    <row r="134" spans="1:11" x14ac:dyDescent="0.25">
      <c r="A134" s="32" t="str">
        <f>IFERROR(INDEX(Personnel[Sicil],$K134),"")</f>
        <v/>
      </c>
      <c r="B134" s="33" t="str">
        <f>IFERROR(INDEX(Personnel[Adi Soyadi],$K134),"")</f>
        <v/>
      </c>
      <c r="C134" s="32" t="str">
        <f>IFERROR(INDEX(Personnel[Vatandaslik],$K134),"")</f>
        <v/>
      </c>
      <c r="D134" s="32" t="str">
        <f>IFERROR(INDEX(Personnel[Santiye],$K134),"")</f>
        <v/>
      </c>
      <c r="E134" s="32" t="str">
        <f>IFERROR(INDEX(Personnel[Ogretmen],$K134),"")</f>
        <v/>
      </c>
      <c r="F134" s="33" t="str">
        <f>IFERROR(INDEX(Personnel[[Sinav ]],$K134),"")</f>
        <v/>
      </c>
      <c r="G134" s="33" t="str">
        <f>IFERROR(INDEX(Personnel[Egtim durumu],$K134),"")</f>
        <v/>
      </c>
      <c r="H134" s="33" t="str">
        <f>IFERROR(INDEX(Personnel[Shohruh Not],$K134),"")</f>
        <v/>
      </c>
      <c r="I134" s="32" t="str">
        <f>IFERROR(INDEX(Personnel[Дней в РФ],$K134),"")</f>
        <v/>
      </c>
      <c r="K134" s="23" t="str">
        <f t="array" ref="K134">IFERROR(_xlfn.AGGREGATE(15,6,(ROW(Personnel[Egtim durumu])-MIN(ROW(Personnel[Egtim durumu]))+1)/((Personnel[Egtim durumu]="sinavi hazir")),ROWS($K$7:K134)),"")</f>
        <v/>
      </c>
    </row>
    <row r="135" spans="1:11" x14ac:dyDescent="0.25">
      <c r="A135" s="18" t="str">
        <f>IFERROR(INDEX(Personnel[Sicil],$K135),"")</f>
        <v/>
      </c>
      <c r="B135" s="17" t="str">
        <f>IFERROR(INDEX(Personnel[Adi Soyadi],$K135),"")</f>
        <v/>
      </c>
      <c r="C135" s="18" t="str">
        <f>IFERROR(INDEX(Personnel[Vatandaslik],$K135),"")</f>
        <v/>
      </c>
      <c r="D135" s="18" t="str">
        <f>IFERROR(INDEX(Personnel[Santiye],$K135),"")</f>
        <v/>
      </c>
      <c r="E135" s="18" t="str">
        <f>IFERROR(INDEX(Personnel[Ogretmen],$K135),"")</f>
        <v/>
      </c>
      <c r="F135" s="17" t="str">
        <f>IFERROR(INDEX(Personnel[[Sinav ]],$K135),"")</f>
        <v/>
      </c>
      <c r="G135" s="17" t="str">
        <f>IFERROR(INDEX(Personnel[Egtim durumu],$K135),"")</f>
        <v/>
      </c>
      <c r="H135" s="17" t="str">
        <f>IFERROR(INDEX(Personnel[Shohruh Not],$K135),"")</f>
        <v/>
      </c>
      <c r="I135" s="18" t="str">
        <f>IFERROR(INDEX(Personnel[Дней в РФ],$K135),"")</f>
        <v/>
      </c>
      <c r="K135" s="23" t="str">
        <f t="array" ref="K135">IFERROR(_xlfn.AGGREGATE(15,6,(ROW(Personnel[Egtim durumu])-MIN(ROW(Personnel[Egtim durumu]))+1)/((Personnel[Egtim durumu]="sinavi hazir")),ROWS($K$7:K135)),"")</f>
        <v/>
      </c>
    </row>
    <row r="136" spans="1:11" x14ac:dyDescent="0.25">
      <c r="A136" s="32" t="str">
        <f>IFERROR(INDEX(Personnel[Sicil],$K136),"")</f>
        <v/>
      </c>
      <c r="B136" s="33" t="str">
        <f>IFERROR(INDEX(Personnel[Adi Soyadi],$K136),"")</f>
        <v/>
      </c>
      <c r="C136" s="32" t="str">
        <f>IFERROR(INDEX(Personnel[Vatandaslik],$K136),"")</f>
        <v/>
      </c>
      <c r="D136" s="32" t="str">
        <f>IFERROR(INDEX(Personnel[Santiye],$K136),"")</f>
        <v/>
      </c>
      <c r="E136" s="32" t="str">
        <f>IFERROR(INDEX(Personnel[Ogretmen],$K136),"")</f>
        <v/>
      </c>
      <c r="F136" s="33" t="str">
        <f>IFERROR(INDEX(Personnel[[Sinav ]],$K136),"")</f>
        <v/>
      </c>
      <c r="G136" s="33" t="str">
        <f>IFERROR(INDEX(Personnel[Egtim durumu],$K136),"")</f>
        <v/>
      </c>
      <c r="H136" s="33" t="str">
        <f>IFERROR(INDEX(Personnel[Shohruh Not],$K136),"")</f>
        <v/>
      </c>
      <c r="I136" s="32" t="str">
        <f>IFERROR(INDEX(Personnel[Дней в РФ],$K136),"")</f>
        <v/>
      </c>
      <c r="K136" s="23" t="str">
        <f t="array" ref="K136">IFERROR(_xlfn.AGGREGATE(15,6,(ROW(Personnel[Egtim durumu])-MIN(ROW(Personnel[Egtim durumu]))+1)/((Personnel[Egtim durumu]="sinavi hazir")),ROWS($K$7:K136)),"")</f>
        <v/>
      </c>
    </row>
    <row r="137" spans="1:11" x14ac:dyDescent="0.25">
      <c r="A137" s="18" t="str">
        <f>IFERROR(INDEX(Personnel[Sicil],$K137),"")</f>
        <v/>
      </c>
      <c r="B137" s="17" t="str">
        <f>IFERROR(INDEX(Personnel[Adi Soyadi],$K137),"")</f>
        <v/>
      </c>
      <c r="C137" s="18" t="str">
        <f>IFERROR(INDEX(Personnel[Vatandaslik],$K137),"")</f>
        <v/>
      </c>
      <c r="D137" s="18" t="str">
        <f>IFERROR(INDEX(Personnel[Santiye],$K137),"")</f>
        <v/>
      </c>
      <c r="E137" s="18" t="str">
        <f>IFERROR(INDEX(Personnel[Ogretmen],$K137),"")</f>
        <v/>
      </c>
      <c r="F137" s="17" t="str">
        <f>IFERROR(INDEX(Personnel[[Sinav ]],$K137),"")</f>
        <v/>
      </c>
      <c r="G137" s="17" t="str">
        <f>IFERROR(INDEX(Personnel[Egtim durumu],$K137),"")</f>
        <v/>
      </c>
      <c r="H137" s="17" t="str">
        <f>IFERROR(INDEX(Personnel[Shohruh Not],$K137),"")</f>
        <v/>
      </c>
      <c r="I137" s="18" t="str">
        <f>IFERROR(INDEX(Personnel[Дней в РФ],$K137),"")</f>
        <v/>
      </c>
      <c r="K137" s="23" t="str">
        <f t="array" ref="K137">IFERROR(_xlfn.AGGREGATE(15,6,(ROW(Personnel[Egtim durumu])-MIN(ROW(Personnel[Egtim durumu]))+1)/((Personnel[Egtim durumu]="sinavi hazir")),ROWS($K$7:K137)),"")</f>
        <v/>
      </c>
    </row>
    <row r="138" spans="1:11" x14ac:dyDescent="0.25">
      <c r="A138" s="32" t="str">
        <f>IFERROR(INDEX(Personnel[Sicil],$K138),"")</f>
        <v/>
      </c>
      <c r="B138" s="33" t="str">
        <f>IFERROR(INDEX(Personnel[Adi Soyadi],$K138),"")</f>
        <v/>
      </c>
      <c r="C138" s="32" t="str">
        <f>IFERROR(INDEX(Personnel[Vatandaslik],$K138),"")</f>
        <v/>
      </c>
      <c r="D138" s="32" t="str">
        <f>IFERROR(INDEX(Personnel[Santiye],$K138),"")</f>
        <v/>
      </c>
      <c r="E138" s="32" t="str">
        <f>IFERROR(INDEX(Personnel[Ogretmen],$K138),"")</f>
        <v/>
      </c>
      <c r="F138" s="33" t="str">
        <f>IFERROR(INDEX(Personnel[[Sinav ]],$K138),"")</f>
        <v/>
      </c>
      <c r="G138" s="33" t="str">
        <f>IFERROR(INDEX(Personnel[Egtim durumu],$K138),"")</f>
        <v/>
      </c>
      <c r="H138" s="33" t="str">
        <f>IFERROR(INDEX(Personnel[Shohruh Not],$K138),"")</f>
        <v/>
      </c>
      <c r="I138" s="32" t="str">
        <f>IFERROR(INDEX(Personnel[Дней в РФ],$K138),"")</f>
        <v/>
      </c>
      <c r="K138" s="23" t="str">
        <f t="array" ref="K138">IFERROR(_xlfn.AGGREGATE(15,6,(ROW(Personnel[Egtim durumu])-MIN(ROW(Personnel[Egtim durumu]))+1)/((Personnel[Egtim durumu]="sinavi hazir")),ROWS($K$7:K138)),"")</f>
        <v/>
      </c>
    </row>
    <row r="139" spans="1:11" x14ac:dyDescent="0.25">
      <c r="A139" s="18" t="str">
        <f>IFERROR(INDEX(Personnel[Sicil],$K139),"")</f>
        <v/>
      </c>
      <c r="B139" s="17" t="str">
        <f>IFERROR(INDEX(Personnel[Adi Soyadi],$K139),"")</f>
        <v/>
      </c>
      <c r="C139" s="18" t="str">
        <f>IFERROR(INDEX(Personnel[Vatandaslik],$K139),"")</f>
        <v/>
      </c>
      <c r="D139" s="18" t="str">
        <f>IFERROR(INDEX(Personnel[Santiye],$K139),"")</f>
        <v/>
      </c>
      <c r="E139" s="18" t="str">
        <f>IFERROR(INDEX(Personnel[Ogretmen],$K139),"")</f>
        <v/>
      </c>
      <c r="F139" s="17" t="str">
        <f>IFERROR(INDEX(Personnel[[Sinav ]],$K139),"")</f>
        <v/>
      </c>
      <c r="G139" s="17" t="str">
        <f>IFERROR(INDEX(Personnel[Egtim durumu],$K139),"")</f>
        <v/>
      </c>
      <c r="H139" s="17" t="str">
        <f>IFERROR(INDEX(Personnel[Shohruh Not],$K139),"")</f>
        <v/>
      </c>
      <c r="I139" s="18" t="str">
        <f>IFERROR(INDEX(Personnel[Дней в РФ],$K139),"")</f>
        <v/>
      </c>
      <c r="K139" s="23" t="str">
        <f t="array" ref="K139">IFERROR(_xlfn.AGGREGATE(15,6,(ROW(Personnel[Egtim durumu])-MIN(ROW(Personnel[Egtim durumu]))+1)/((Personnel[Egtim durumu]="sinavi hazir")),ROWS($K$7:K139)),"")</f>
        <v/>
      </c>
    </row>
    <row r="140" spans="1:11" x14ac:dyDescent="0.25">
      <c r="A140" s="32" t="str">
        <f>IFERROR(INDEX(Personnel[Sicil],$K140),"")</f>
        <v/>
      </c>
      <c r="B140" s="33" t="str">
        <f>IFERROR(INDEX(Personnel[Adi Soyadi],$K140),"")</f>
        <v/>
      </c>
      <c r="C140" s="32" t="str">
        <f>IFERROR(INDEX(Personnel[Vatandaslik],$K140),"")</f>
        <v/>
      </c>
      <c r="D140" s="32" t="str">
        <f>IFERROR(INDEX(Personnel[Santiye],$K140),"")</f>
        <v/>
      </c>
      <c r="E140" s="32" t="str">
        <f>IFERROR(INDEX(Personnel[Ogretmen],$K140),"")</f>
        <v/>
      </c>
      <c r="F140" s="33" t="str">
        <f>IFERROR(INDEX(Personnel[[Sinav ]],$K140),"")</f>
        <v/>
      </c>
      <c r="G140" s="33" t="str">
        <f>IFERROR(INDEX(Personnel[Egtim durumu],$K140),"")</f>
        <v/>
      </c>
      <c r="H140" s="33" t="str">
        <f>IFERROR(INDEX(Personnel[Shohruh Not],$K140),"")</f>
        <v/>
      </c>
      <c r="I140" s="32" t="str">
        <f>IFERROR(INDEX(Personnel[Дней в РФ],$K140),"")</f>
        <v/>
      </c>
      <c r="K140" s="23" t="str">
        <f t="array" ref="K140">IFERROR(_xlfn.AGGREGATE(15,6,(ROW(Personnel[Egtim durumu])-MIN(ROW(Personnel[Egtim durumu]))+1)/((Personnel[Egtim durumu]="sinavi hazir")),ROWS($K$7:K140)),"")</f>
        <v/>
      </c>
    </row>
    <row r="141" spans="1:11" x14ac:dyDescent="0.25">
      <c r="A141" s="18" t="str">
        <f>IFERROR(INDEX(Personnel[Sicil],$K141),"")</f>
        <v/>
      </c>
      <c r="B141" s="17" t="str">
        <f>IFERROR(INDEX(Personnel[Adi Soyadi],$K141),"")</f>
        <v/>
      </c>
      <c r="C141" s="18" t="str">
        <f>IFERROR(INDEX(Personnel[Vatandaslik],$K141),"")</f>
        <v/>
      </c>
      <c r="D141" s="18" t="str">
        <f>IFERROR(INDEX(Personnel[Santiye],$K141),"")</f>
        <v/>
      </c>
      <c r="E141" s="18" t="str">
        <f>IFERROR(INDEX(Personnel[Ogretmen],$K141),"")</f>
        <v/>
      </c>
      <c r="F141" s="17" t="str">
        <f>IFERROR(INDEX(Personnel[[Sinav ]],$K141),"")</f>
        <v/>
      </c>
      <c r="G141" s="17" t="str">
        <f>IFERROR(INDEX(Personnel[Egtim durumu],$K141),"")</f>
        <v/>
      </c>
      <c r="H141" s="17" t="str">
        <f>IFERROR(INDEX(Personnel[Shohruh Not],$K141),"")</f>
        <v/>
      </c>
      <c r="I141" s="18" t="str">
        <f>IFERROR(INDEX(Personnel[Дней в РФ],$K141),"")</f>
        <v/>
      </c>
      <c r="K141" s="23" t="str">
        <f t="array" ref="K141">IFERROR(_xlfn.AGGREGATE(15,6,(ROW(Personnel[Egtim durumu])-MIN(ROW(Personnel[Egtim durumu]))+1)/((Personnel[Egtim durumu]="sinavi hazir")),ROWS($K$7:K141)),"")</f>
        <v/>
      </c>
    </row>
    <row r="142" spans="1:11" x14ac:dyDescent="0.25">
      <c r="A142" s="32" t="str">
        <f>IFERROR(INDEX(Personnel[Sicil],$K142),"")</f>
        <v/>
      </c>
      <c r="B142" s="33" t="str">
        <f>IFERROR(INDEX(Personnel[Adi Soyadi],$K142),"")</f>
        <v/>
      </c>
      <c r="C142" s="32" t="str">
        <f>IFERROR(INDEX(Personnel[Vatandaslik],$K142),"")</f>
        <v/>
      </c>
      <c r="D142" s="32" t="str">
        <f>IFERROR(INDEX(Personnel[Santiye],$K142),"")</f>
        <v/>
      </c>
      <c r="E142" s="32" t="str">
        <f>IFERROR(INDEX(Personnel[Ogretmen],$K142),"")</f>
        <v/>
      </c>
      <c r="F142" s="33" t="str">
        <f>IFERROR(INDEX(Personnel[[Sinav ]],$K142),"")</f>
        <v/>
      </c>
      <c r="G142" s="33" t="str">
        <f>IFERROR(INDEX(Personnel[Egtim durumu],$K142),"")</f>
        <v/>
      </c>
      <c r="H142" s="33" t="str">
        <f>IFERROR(INDEX(Personnel[Shohruh Not],$K142),"")</f>
        <v/>
      </c>
      <c r="I142" s="32" t="str">
        <f>IFERROR(INDEX(Personnel[Дней в РФ],$K142),"")</f>
        <v/>
      </c>
      <c r="K142" s="23" t="str">
        <f t="array" ref="K142">IFERROR(_xlfn.AGGREGATE(15,6,(ROW(Personnel[Egtim durumu])-MIN(ROW(Personnel[Egtim durumu]))+1)/((Personnel[Egtim durumu]="sinavi hazir")),ROWS($K$7:K142)),"")</f>
        <v/>
      </c>
    </row>
    <row r="143" spans="1:11" x14ac:dyDescent="0.25">
      <c r="A143" s="18" t="str">
        <f>IFERROR(INDEX(Personnel[Sicil],$K143),"")</f>
        <v/>
      </c>
      <c r="B143" s="17" t="str">
        <f>IFERROR(INDEX(Personnel[Adi Soyadi],$K143),"")</f>
        <v/>
      </c>
      <c r="C143" s="18" t="str">
        <f>IFERROR(INDEX(Personnel[Vatandaslik],$K143),"")</f>
        <v/>
      </c>
      <c r="D143" s="18" t="str">
        <f>IFERROR(INDEX(Personnel[Santiye],$K143),"")</f>
        <v/>
      </c>
      <c r="E143" s="18" t="str">
        <f>IFERROR(INDEX(Personnel[Ogretmen],$K143),"")</f>
        <v/>
      </c>
      <c r="F143" s="17" t="str">
        <f>IFERROR(INDEX(Personnel[[Sinav ]],$K143),"")</f>
        <v/>
      </c>
      <c r="G143" s="17" t="str">
        <f>IFERROR(INDEX(Personnel[Egtim durumu],$K143),"")</f>
        <v/>
      </c>
      <c r="H143" s="17" t="str">
        <f>IFERROR(INDEX(Personnel[Shohruh Not],$K143),"")</f>
        <v/>
      </c>
      <c r="I143" s="18" t="str">
        <f>IFERROR(INDEX(Personnel[Дней в РФ],$K143),"")</f>
        <v/>
      </c>
      <c r="K143" s="23" t="str">
        <f t="array" ref="K143">IFERROR(_xlfn.AGGREGATE(15,6,(ROW(Personnel[Egtim durumu])-MIN(ROW(Personnel[Egtim durumu]))+1)/((Personnel[Egtim durumu]="sinavi hazir")),ROWS($K$7:K143)),"")</f>
        <v/>
      </c>
    </row>
    <row r="144" spans="1:11" x14ac:dyDescent="0.25">
      <c r="A144" s="32" t="str">
        <f>IFERROR(INDEX(Personnel[Sicil],$K144),"")</f>
        <v/>
      </c>
      <c r="B144" s="33" t="str">
        <f>IFERROR(INDEX(Personnel[Adi Soyadi],$K144),"")</f>
        <v/>
      </c>
      <c r="C144" s="32" t="str">
        <f>IFERROR(INDEX(Personnel[Vatandaslik],$K144),"")</f>
        <v/>
      </c>
      <c r="D144" s="32" t="str">
        <f>IFERROR(INDEX(Personnel[Santiye],$K144),"")</f>
        <v/>
      </c>
      <c r="E144" s="32" t="str">
        <f>IFERROR(INDEX(Personnel[Ogretmen],$K144),"")</f>
        <v/>
      </c>
      <c r="F144" s="33" t="str">
        <f>IFERROR(INDEX(Personnel[[Sinav ]],$K144),"")</f>
        <v/>
      </c>
      <c r="G144" s="33" t="str">
        <f>IFERROR(INDEX(Personnel[Egtim durumu],$K144),"")</f>
        <v/>
      </c>
      <c r="H144" s="33" t="str">
        <f>IFERROR(INDEX(Personnel[Shohruh Not],$K144),"")</f>
        <v/>
      </c>
      <c r="I144" s="32" t="str">
        <f>IFERROR(INDEX(Personnel[Дней в РФ],$K144),"")</f>
        <v/>
      </c>
      <c r="K144" s="23" t="str">
        <f t="array" ref="K144">IFERROR(_xlfn.AGGREGATE(15,6,(ROW(Personnel[Egtim durumu])-MIN(ROW(Personnel[Egtim durumu]))+1)/((Personnel[Egtim durumu]="sinavi hazir")),ROWS($K$7:K144)),"")</f>
        <v/>
      </c>
    </row>
    <row r="145" spans="1:11" x14ac:dyDescent="0.25">
      <c r="A145" s="18" t="str">
        <f>IFERROR(INDEX(Personnel[Sicil],$K145),"")</f>
        <v/>
      </c>
      <c r="B145" s="17" t="str">
        <f>IFERROR(INDEX(Personnel[Adi Soyadi],$K145),"")</f>
        <v/>
      </c>
      <c r="C145" s="18" t="str">
        <f>IFERROR(INDEX(Personnel[Vatandaslik],$K145),"")</f>
        <v/>
      </c>
      <c r="D145" s="18" t="str">
        <f>IFERROR(INDEX(Personnel[Santiye],$K145),"")</f>
        <v/>
      </c>
      <c r="E145" s="18" t="str">
        <f>IFERROR(INDEX(Personnel[Ogretmen],$K145),"")</f>
        <v/>
      </c>
      <c r="F145" s="17" t="str">
        <f>IFERROR(INDEX(Personnel[[Sinav ]],$K145),"")</f>
        <v/>
      </c>
      <c r="G145" s="17" t="str">
        <f>IFERROR(INDEX(Personnel[Egtim durumu],$K145),"")</f>
        <v/>
      </c>
      <c r="H145" s="17" t="str">
        <f>IFERROR(INDEX(Personnel[Shohruh Not],$K145),"")</f>
        <v/>
      </c>
      <c r="I145" s="18" t="str">
        <f>IFERROR(INDEX(Personnel[Дней в РФ],$K145),"")</f>
        <v/>
      </c>
      <c r="K145" s="23" t="str">
        <f t="array" ref="K145">IFERROR(_xlfn.AGGREGATE(15,6,(ROW(Personnel[Egtim durumu])-MIN(ROW(Personnel[Egtim durumu]))+1)/((Personnel[Egtim durumu]="sinavi hazir")),ROWS($K$7:K145)),"")</f>
        <v/>
      </c>
    </row>
    <row r="146" spans="1:11" x14ac:dyDescent="0.25">
      <c r="A146" s="32" t="str">
        <f>IFERROR(INDEX(Personnel[Sicil],$K146),"")</f>
        <v/>
      </c>
      <c r="B146" s="33" t="str">
        <f>IFERROR(INDEX(Personnel[Adi Soyadi],$K146),"")</f>
        <v/>
      </c>
      <c r="C146" s="32" t="str">
        <f>IFERROR(INDEX(Personnel[Vatandaslik],$K146),"")</f>
        <v/>
      </c>
      <c r="D146" s="32" t="str">
        <f>IFERROR(INDEX(Personnel[Santiye],$K146),"")</f>
        <v/>
      </c>
      <c r="E146" s="32" t="str">
        <f>IFERROR(INDEX(Personnel[Ogretmen],$K146),"")</f>
        <v/>
      </c>
      <c r="F146" s="33" t="str">
        <f>IFERROR(INDEX(Personnel[[Sinav ]],$K146),"")</f>
        <v/>
      </c>
      <c r="G146" s="33" t="str">
        <f>IFERROR(INDEX(Personnel[Egtim durumu],$K146),"")</f>
        <v/>
      </c>
      <c r="H146" s="33" t="str">
        <f>IFERROR(INDEX(Personnel[Shohruh Not],$K146),"")</f>
        <v/>
      </c>
      <c r="I146" s="32" t="str">
        <f>IFERROR(INDEX(Personnel[Дней в РФ],$K146),"")</f>
        <v/>
      </c>
      <c r="K146" s="23" t="str">
        <f t="array" ref="K146">IFERROR(_xlfn.AGGREGATE(15,6,(ROW(Personnel[Egtim durumu])-MIN(ROW(Personnel[Egtim durumu]))+1)/((Personnel[Egtim durumu]="sinavi hazir")),ROWS($K$7:K146)),"")</f>
        <v/>
      </c>
    </row>
    <row r="147" spans="1:11" x14ac:dyDescent="0.25">
      <c r="A147" s="18" t="str">
        <f>IFERROR(INDEX(Personnel[Sicil],$K147),"")</f>
        <v/>
      </c>
      <c r="B147" s="17" t="str">
        <f>IFERROR(INDEX(Personnel[Adi Soyadi],$K147),"")</f>
        <v/>
      </c>
      <c r="C147" s="18" t="str">
        <f>IFERROR(INDEX(Personnel[Vatandaslik],$K147),"")</f>
        <v/>
      </c>
      <c r="D147" s="18" t="str">
        <f>IFERROR(INDEX(Personnel[Santiye],$K147),"")</f>
        <v/>
      </c>
      <c r="E147" s="18" t="str">
        <f>IFERROR(INDEX(Personnel[Ogretmen],$K147),"")</f>
        <v/>
      </c>
      <c r="F147" s="17" t="str">
        <f>IFERROR(INDEX(Personnel[[Sinav ]],$K147),"")</f>
        <v/>
      </c>
      <c r="G147" s="17" t="str">
        <f>IFERROR(INDEX(Personnel[Egtim durumu],$K147),"")</f>
        <v/>
      </c>
      <c r="H147" s="17" t="str">
        <f>IFERROR(INDEX(Personnel[Shohruh Not],$K147),"")</f>
        <v/>
      </c>
      <c r="I147" s="18" t="str">
        <f>IFERROR(INDEX(Personnel[Дней в РФ],$K147),"")</f>
        <v/>
      </c>
      <c r="K147" s="23" t="str">
        <f t="array" ref="K147">IFERROR(_xlfn.AGGREGATE(15,6,(ROW(Personnel[Egtim durumu])-MIN(ROW(Personnel[Egtim durumu]))+1)/((Personnel[Egtim durumu]="sinavi hazir")),ROWS($K$7:K147)),"")</f>
        <v/>
      </c>
    </row>
    <row r="148" spans="1:11" x14ac:dyDescent="0.25">
      <c r="A148" s="32" t="str">
        <f>IFERROR(INDEX(Personnel[Sicil],$K148),"")</f>
        <v/>
      </c>
      <c r="B148" s="33" t="str">
        <f>IFERROR(INDEX(Personnel[Adi Soyadi],$K148),"")</f>
        <v/>
      </c>
      <c r="C148" s="32" t="str">
        <f>IFERROR(INDEX(Personnel[Vatandaslik],$K148),"")</f>
        <v/>
      </c>
      <c r="D148" s="32" t="str">
        <f>IFERROR(INDEX(Personnel[Santiye],$K148),"")</f>
        <v/>
      </c>
      <c r="E148" s="32" t="str">
        <f>IFERROR(INDEX(Personnel[Ogretmen],$K148),"")</f>
        <v/>
      </c>
      <c r="F148" s="33" t="str">
        <f>IFERROR(INDEX(Personnel[[Sinav ]],$K148),"")</f>
        <v/>
      </c>
      <c r="G148" s="33" t="str">
        <f>IFERROR(INDEX(Personnel[Egtim durumu],$K148),"")</f>
        <v/>
      </c>
      <c r="H148" s="33" t="str">
        <f>IFERROR(INDEX(Personnel[Shohruh Not],$K148),"")</f>
        <v/>
      </c>
      <c r="I148" s="32" t="str">
        <f>IFERROR(INDEX(Personnel[Дней в РФ],$K148),"")</f>
        <v/>
      </c>
      <c r="K148" s="23" t="str">
        <f t="array" ref="K148">IFERROR(_xlfn.AGGREGATE(15,6,(ROW(Personnel[Egtim durumu])-MIN(ROW(Personnel[Egtim durumu]))+1)/((Personnel[Egtim durumu]="sinavi hazir")),ROWS($K$7:K148)),"")</f>
        <v/>
      </c>
    </row>
    <row r="149" spans="1:11" x14ac:dyDescent="0.25">
      <c r="A149" s="18" t="str">
        <f>IFERROR(INDEX(Personnel[Sicil],$K149),"")</f>
        <v/>
      </c>
      <c r="B149" s="17" t="str">
        <f>IFERROR(INDEX(Personnel[Adi Soyadi],$K149),"")</f>
        <v/>
      </c>
      <c r="C149" s="18" t="str">
        <f>IFERROR(INDEX(Personnel[Vatandaslik],$K149),"")</f>
        <v/>
      </c>
      <c r="D149" s="18" t="str">
        <f>IFERROR(INDEX(Personnel[Santiye],$K149),"")</f>
        <v/>
      </c>
      <c r="E149" s="18" t="str">
        <f>IFERROR(INDEX(Personnel[Ogretmen],$K149),"")</f>
        <v/>
      </c>
      <c r="F149" s="17" t="str">
        <f>IFERROR(INDEX(Personnel[[Sinav ]],$K149),"")</f>
        <v/>
      </c>
      <c r="G149" s="17" t="str">
        <f>IFERROR(INDEX(Personnel[Egtim durumu],$K149),"")</f>
        <v/>
      </c>
      <c r="H149" s="17" t="str">
        <f>IFERROR(INDEX(Personnel[Shohruh Not],$K149),"")</f>
        <v/>
      </c>
      <c r="I149" s="18" t="str">
        <f>IFERROR(INDEX(Personnel[Дней в РФ],$K149),"")</f>
        <v/>
      </c>
      <c r="K149" s="23" t="str">
        <f t="array" ref="K149">IFERROR(_xlfn.AGGREGATE(15,6,(ROW(Personnel[Egtim durumu])-MIN(ROW(Personnel[Egtim durumu]))+1)/((Personnel[Egtim durumu]="sinavi hazir")),ROWS($K$7:K149)),"")</f>
        <v/>
      </c>
    </row>
    <row r="150" spans="1:11" x14ac:dyDescent="0.25">
      <c r="A150" s="32" t="str">
        <f>IFERROR(INDEX(Personnel[Sicil],$K150),"")</f>
        <v/>
      </c>
      <c r="B150" s="33" t="str">
        <f>IFERROR(INDEX(Personnel[Adi Soyadi],$K150),"")</f>
        <v/>
      </c>
      <c r="C150" s="32" t="str">
        <f>IFERROR(INDEX(Personnel[Vatandaslik],$K150),"")</f>
        <v/>
      </c>
      <c r="D150" s="32" t="str">
        <f>IFERROR(INDEX(Personnel[Santiye],$K150),"")</f>
        <v/>
      </c>
      <c r="E150" s="32" t="str">
        <f>IFERROR(INDEX(Personnel[Ogretmen],$K150),"")</f>
        <v/>
      </c>
      <c r="F150" s="33" t="str">
        <f>IFERROR(INDEX(Personnel[[Sinav ]],$K150),"")</f>
        <v/>
      </c>
      <c r="G150" s="33" t="str">
        <f>IFERROR(INDEX(Personnel[Egtim durumu],$K150),"")</f>
        <v/>
      </c>
      <c r="H150" s="33" t="str">
        <f>IFERROR(INDEX(Personnel[Shohruh Not],$K150),"")</f>
        <v/>
      </c>
      <c r="I150" s="32" t="str">
        <f>IFERROR(INDEX(Personnel[Дней в РФ],$K150),"")</f>
        <v/>
      </c>
      <c r="K150" s="23" t="str">
        <f t="array" ref="K150">IFERROR(_xlfn.AGGREGATE(15,6,(ROW(Personnel[Egtim durumu])-MIN(ROW(Personnel[Egtim durumu]))+1)/((Personnel[Egtim durumu]="sinavi hazir")),ROWS($K$7:K150)),"")</f>
        <v/>
      </c>
    </row>
    <row r="151" spans="1:11" x14ac:dyDescent="0.25">
      <c r="A151" s="18" t="str">
        <f>IFERROR(INDEX(Personnel[Sicil],$K151),"")</f>
        <v/>
      </c>
      <c r="B151" s="17" t="str">
        <f>IFERROR(INDEX(Personnel[Adi Soyadi],$K151),"")</f>
        <v/>
      </c>
      <c r="C151" s="18" t="str">
        <f>IFERROR(INDEX(Personnel[Vatandaslik],$K151),"")</f>
        <v/>
      </c>
      <c r="D151" s="18" t="str">
        <f>IFERROR(INDEX(Personnel[Santiye],$K151),"")</f>
        <v/>
      </c>
      <c r="E151" s="18" t="str">
        <f>IFERROR(INDEX(Personnel[Ogretmen],$K151),"")</f>
        <v/>
      </c>
      <c r="F151" s="17" t="str">
        <f>IFERROR(INDEX(Personnel[[Sinav ]],$K151),"")</f>
        <v/>
      </c>
      <c r="G151" s="17" t="str">
        <f>IFERROR(INDEX(Personnel[Egtim durumu],$K151),"")</f>
        <v/>
      </c>
      <c r="H151" s="17" t="str">
        <f>IFERROR(INDEX(Personnel[Shohruh Not],$K151),"")</f>
        <v/>
      </c>
      <c r="I151" s="18" t="str">
        <f>IFERROR(INDEX(Personnel[Дней в РФ],$K151),"")</f>
        <v/>
      </c>
      <c r="K151" s="23" t="str">
        <f t="array" ref="K151">IFERROR(_xlfn.AGGREGATE(15,6,(ROW(Personnel[Egtim durumu])-MIN(ROW(Personnel[Egtim durumu]))+1)/((Personnel[Egtim durumu]="sinavi hazir")),ROWS($K$7:K151)),"")</f>
        <v/>
      </c>
    </row>
    <row r="152" spans="1:11" x14ac:dyDescent="0.25">
      <c r="A152" s="32" t="str">
        <f>IFERROR(INDEX(Personnel[Sicil],$K152),"")</f>
        <v/>
      </c>
      <c r="B152" s="33" t="str">
        <f>IFERROR(INDEX(Personnel[Adi Soyadi],$K152),"")</f>
        <v/>
      </c>
      <c r="C152" s="32" t="str">
        <f>IFERROR(INDEX(Personnel[Vatandaslik],$K152),"")</f>
        <v/>
      </c>
      <c r="D152" s="32" t="str">
        <f>IFERROR(INDEX(Personnel[Santiye],$K152),"")</f>
        <v/>
      </c>
      <c r="E152" s="32" t="str">
        <f>IFERROR(INDEX(Personnel[Ogretmen],$K152),"")</f>
        <v/>
      </c>
      <c r="F152" s="33" t="str">
        <f>IFERROR(INDEX(Personnel[[Sinav ]],$K152),"")</f>
        <v/>
      </c>
      <c r="G152" s="33" t="str">
        <f>IFERROR(INDEX(Personnel[Egtim durumu],$K152),"")</f>
        <v/>
      </c>
      <c r="H152" s="33" t="str">
        <f>IFERROR(INDEX(Personnel[Shohruh Not],$K152),"")</f>
        <v/>
      </c>
      <c r="I152" s="32" t="str">
        <f>IFERROR(INDEX(Personnel[Дней в РФ],$K152),"")</f>
        <v/>
      </c>
      <c r="K152" s="23" t="str">
        <f t="array" ref="K152">IFERROR(_xlfn.AGGREGATE(15,6,(ROW(Personnel[Egtim durumu])-MIN(ROW(Personnel[Egtim durumu]))+1)/((Personnel[Egtim durumu]="sinavi hazir")),ROWS($K$7:K152)),"")</f>
        <v/>
      </c>
    </row>
    <row r="153" spans="1:11" x14ac:dyDescent="0.25">
      <c r="A153" s="18" t="str">
        <f>IFERROR(INDEX(Personnel[Sicil],$K153),"")</f>
        <v/>
      </c>
      <c r="B153" s="17" t="str">
        <f>IFERROR(INDEX(Personnel[Adi Soyadi],$K153),"")</f>
        <v/>
      </c>
      <c r="C153" s="18" t="str">
        <f>IFERROR(INDEX(Personnel[Vatandaslik],$K153),"")</f>
        <v/>
      </c>
      <c r="D153" s="18" t="str">
        <f>IFERROR(INDEX(Personnel[Santiye],$K153),"")</f>
        <v/>
      </c>
      <c r="E153" s="18" t="str">
        <f>IFERROR(INDEX(Personnel[Ogretmen],$K153),"")</f>
        <v/>
      </c>
      <c r="F153" s="17" t="str">
        <f>IFERROR(INDEX(Personnel[[Sinav ]],$K153),"")</f>
        <v/>
      </c>
      <c r="G153" s="17" t="str">
        <f>IFERROR(INDEX(Personnel[Egtim durumu],$K153),"")</f>
        <v/>
      </c>
      <c r="H153" s="17" t="str">
        <f>IFERROR(INDEX(Personnel[Shohruh Not],$K153),"")</f>
        <v/>
      </c>
      <c r="I153" s="18" t="str">
        <f>IFERROR(INDEX(Personnel[Дней в РФ],$K153),"")</f>
        <v/>
      </c>
      <c r="K153" s="23" t="str">
        <f t="array" ref="K153">IFERROR(_xlfn.AGGREGATE(15,6,(ROW(Personnel[Egtim durumu])-MIN(ROW(Personnel[Egtim durumu]))+1)/((Personnel[Egtim durumu]="sinavi hazir")),ROWS($K$7:K153)),"")</f>
        <v/>
      </c>
    </row>
    <row r="154" spans="1:11" x14ac:dyDescent="0.25">
      <c r="A154" s="32" t="str">
        <f>IFERROR(INDEX(Personnel[Sicil],$K154),"")</f>
        <v/>
      </c>
      <c r="B154" s="33" t="str">
        <f>IFERROR(INDEX(Personnel[Adi Soyadi],$K154),"")</f>
        <v/>
      </c>
      <c r="C154" s="32" t="str">
        <f>IFERROR(INDEX(Personnel[Vatandaslik],$K154),"")</f>
        <v/>
      </c>
      <c r="D154" s="32" t="str">
        <f>IFERROR(INDEX(Personnel[Santiye],$K154),"")</f>
        <v/>
      </c>
      <c r="E154" s="32" t="str">
        <f>IFERROR(INDEX(Personnel[Ogretmen],$K154),"")</f>
        <v/>
      </c>
      <c r="F154" s="33" t="str">
        <f>IFERROR(INDEX(Personnel[[Sinav ]],$K154),"")</f>
        <v/>
      </c>
      <c r="G154" s="33" t="str">
        <f>IFERROR(INDEX(Personnel[Egtim durumu],$K154),"")</f>
        <v/>
      </c>
      <c r="H154" s="33" t="str">
        <f>IFERROR(INDEX(Personnel[Shohruh Not],$K154),"")</f>
        <v/>
      </c>
      <c r="I154" s="32" t="str">
        <f>IFERROR(INDEX(Personnel[Дней в РФ],$K154),"")</f>
        <v/>
      </c>
      <c r="K154" s="23" t="str">
        <f t="array" ref="K154">IFERROR(_xlfn.AGGREGATE(15,6,(ROW(Personnel[Egtim durumu])-MIN(ROW(Personnel[Egtim durumu]))+1)/((Personnel[Egtim durumu]="sinavi hazir")),ROWS($K$7:K154)),"")</f>
        <v/>
      </c>
    </row>
    <row r="155" spans="1:11" x14ac:dyDescent="0.25">
      <c r="A155" s="18" t="str">
        <f>IFERROR(INDEX(Personnel[Sicil],$K155),"")</f>
        <v/>
      </c>
      <c r="B155" s="17" t="str">
        <f>IFERROR(INDEX(Personnel[Adi Soyadi],$K155),"")</f>
        <v/>
      </c>
      <c r="C155" s="18" t="str">
        <f>IFERROR(INDEX(Personnel[Vatandaslik],$K155),"")</f>
        <v/>
      </c>
      <c r="D155" s="18" t="str">
        <f>IFERROR(INDEX(Personnel[Santiye],$K155),"")</f>
        <v/>
      </c>
      <c r="E155" s="18" t="str">
        <f>IFERROR(INDEX(Personnel[Ogretmen],$K155),"")</f>
        <v/>
      </c>
      <c r="F155" s="17" t="str">
        <f>IFERROR(INDEX(Personnel[[Sinav ]],$K155),"")</f>
        <v/>
      </c>
      <c r="G155" s="17" t="str">
        <f>IFERROR(INDEX(Personnel[Egtim durumu],$K155),"")</f>
        <v/>
      </c>
      <c r="H155" s="17" t="str">
        <f>IFERROR(INDEX(Personnel[Shohruh Not],$K155),"")</f>
        <v/>
      </c>
      <c r="I155" s="18" t="str">
        <f>IFERROR(INDEX(Personnel[Дней в РФ],$K155),"")</f>
        <v/>
      </c>
      <c r="K155" s="23" t="str">
        <f t="array" ref="K155">IFERROR(_xlfn.AGGREGATE(15,6,(ROW(Personnel[Egtim durumu])-MIN(ROW(Personnel[Egtim durumu]))+1)/((Personnel[Egtim durumu]="sinavi hazir")),ROWS($K$7:K155)),"")</f>
        <v/>
      </c>
    </row>
    <row r="156" spans="1:11" x14ac:dyDescent="0.25">
      <c r="A156" s="32" t="str">
        <f>IFERROR(INDEX(Personnel[Sicil],$K156),"")</f>
        <v/>
      </c>
      <c r="B156" s="33" t="str">
        <f>IFERROR(INDEX(Personnel[Adi Soyadi],$K156),"")</f>
        <v/>
      </c>
      <c r="C156" s="32" t="str">
        <f>IFERROR(INDEX(Personnel[Vatandaslik],$K156),"")</f>
        <v/>
      </c>
      <c r="D156" s="32" t="str">
        <f>IFERROR(INDEX(Personnel[Santiye],$K156),"")</f>
        <v/>
      </c>
      <c r="E156" s="32" t="str">
        <f>IFERROR(INDEX(Personnel[Ogretmen],$K156),"")</f>
        <v/>
      </c>
      <c r="F156" s="33" t="str">
        <f>IFERROR(INDEX(Personnel[[Sinav ]],$K156),"")</f>
        <v/>
      </c>
      <c r="G156" s="33" t="str">
        <f>IFERROR(INDEX(Personnel[Egtim durumu],$K156),"")</f>
        <v/>
      </c>
      <c r="H156" s="33" t="str">
        <f>IFERROR(INDEX(Personnel[Shohruh Not],$K156),"")</f>
        <v/>
      </c>
      <c r="I156" s="32" t="str">
        <f>IFERROR(INDEX(Personnel[Дней в РФ],$K156),"")</f>
        <v/>
      </c>
      <c r="K156" s="23" t="str">
        <f t="array" ref="K156">IFERROR(_xlfn.AGGREGATE(15,6,(ROW(Personnel[Egtim durumu])-MIN(ROW(Personnel[Egtim durumu]))+1)/((Personnel[Egtim durumu]="sinavi hazir")),ROWS($K$7:K156)),"")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6A4C93"/>
  </sheetPr>
  <dimension ref="A1:K156"/>
  <sheetViews>
    <sheetView showGridLines="0" zoomScaleNormal="100" workbookViewId="0">
      <pane ySplit="6" topLeftCell="A7" activePane="bottomLeft" state="frozen"/>
      <selection activeCell="F30" sqref="F30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93" t="s">
        <v>1805</v>
      </c>
      <c r="B1" s="93"/>
      <c r="C1" s="93"/>
    </row>
    <row r="3" spans="1:11" ht="21" x14ac:dyDescent="0.35">
      <c r="A3" s="94" t="s">
        <v>1819</v>
      </c>
      <c r="B3" s="94"/>
      <c r="C3" s="94"/>
      <c r="D3" s="94"/>
      <c r="E3" s="94"/>
      <c r="F3" s="94"/>
      <c r="G3" s="94"/>
      <c r="H3" s="94"/>
    </row>
    <row r="4" spans="1:11" x14ac:dyDescent="0.25">
      <c r="A4" s="85" t="s">
        <v>1820</v>
      </c>
      <c r="B4" s="85"/>
      <c r="C4" s="85"/>
      <c r="D4" s="85"/>
      <c r="E4" s="85"/>
      <c r="F4" s="85"/>
      <c r="G4" s="85"/>
      <c r="H4" s="85"/>
    </row>
    <row r="5" spans="1:11" x14ac:dyDescent="0.25">
      <c r="A5" s="95" t="str">
        <f>"Найдено записей: "&amp;COUNTIF(Personnel[Egtim durumu],"Egitime  devem eden")</f>
        <v>Найдено записей: 31</v>
      </c>
      <c r="B5" s="95"/>
      <c r="C5" s="95"/>
      <c r="D5" s="95"/>
      <c r="E5" s="95"/>
      <c r="F5" s="95"/>
      <c r="G5" s="95"/>
      <c r="H5" s="95"/>
    </row>
    <row r="6" spans="1:11" ht="27.75" customHeight="1" x14ac:dyDescent="0.25">
      <c r="A6" s="35" t="s">
        <v>1808</v>
      </c>
      <c r="B6" s="35" t="s">
        <v>1809</v>
      </c>
      <c r="C6" s="35" t="s">
        <v>1784</v>
      </c>
      <c r="D6" s="35" t="s">
        <v>1810</v>
      </c>
      <c r="E6" s="35" t="s">
        <v>1811</v>
      </c>
      <c r="F6" s="35" t="s">
        <v>1812</v>
      </c>
      <c r="G6" s="35" t="s">
        <v>1813</v>
      </c>
      <c r="H6" s="35" t="s">
        <v>1814</v>
      </c>
      <c r="I6" s="35" t="s">
        <v>24</v>
      </c>
    </row>
    <row r="7" spans="1:11" x14ac:dyDescent="0.25">
      <c r="A7" s="18">
        <f>IFERROR(INDEX(Personnel[Sicil],$K7),"")</f>
        <v>646801</v>
      </c>
      <c r="B7" s="17" t="str">
        <f>IFERROR(INDEX(Personnel[Adi Soyadi],$K7),"")</f>
        <v>Алиев Давриддин Зухриддин Угли</v>
      </c>
      <c r="C7" s="18" t="str">
        <f>IFERROR(INDEX(Personnel[Vatandaslik],$K7),"")</f>
        <v>УЗБЕКИСТАН</v>
      </c>
      <c r="D7" s="18" t="str">
        <f>IFERROR(INDEX(Personnel[Santiye],$K7),"")</f>
        <v>GPP Proje</v>
      </c>
      <c r="E7" s="18" t="str">
        <f>IFERROR(INDEX(Personnel[Ogretmen],$K7),"")</f>
        <v>Ziazetdinov Arslan/ Валерия Алексеева</v>
      </c>
      <c r="F7" s="17" t="str">
        <f>IFERROR(INDEX(Personnel[[Sinav ]],$K7),"")</f>
        <v>Ic testimizden gecemedi 18.08.2026</v>
      </c>
      <c r="G7" s="17" t="str">
        <f>IFERROR(INDEX(Personnel[Egtim durumu],$K7),"")</f>
        <v>Egitime  devem eden</v>
      </c>
      <c r="H7" s="17" t="str">
        <f>IFERROR(INDEX(Personnel[Shohruh Not],$K7),"")</f>
        <v>-</v>
      </c>
      <c r="I7" s="22">
        <f ca="1">IFERROR(INDEX(Personnel[Дней в РФ],$K7),"")</f>
        <v>11</v>
      </c>
      <c r="K7" s="23">
        <f t="array" ref="K7">IFERROR(_xlfn.AGGREGATE(15,6,(ROW(Personnel[Egtim durumu])-MIN(ROW(Personnel[Egtim durumu]))+1)/((Personnel[Egtim durumu]="Egitime  devem eden")),ROWS($K$7:K7)),"")</f>
        <v>732</v>
      </c>
    </row>
    <row r="8" spans="1:11" x14ac:dyDescent="0.25">
      <c r="A8" s="36">
        <f>IFERROR(INDEX(Personnel[Sicil],$K8),"")</f>
        <v>646813</v>
      </c>
      <c r="B8" s="37" t="str">
        <f>IFERROR(INDEX(Personnel[Adi Soyadi],$K8),"")</f>
        <v>Аннеков Хамид Арисланбек Угли</v>
      </c>
      <c r="C8" s="36" t="str">
        <f>IFERROR(INDEX(Personnel[Vatandaslik],$K8),"")</f>
        <v>УЗБЕКИСТАН</v>
      </c>
      <c r="D8" s="36" t="str">
        <f>IFERROR(INDEX(Personnel[Santiye],$K8),"")</f>
        <v>GPP Proje</v>
      </c>
      <c r="E8" s="36" t="str">
        <f>IFERROR(INDEX(Personnel[Ogretmen],$K8),"")</f>
        <v>Ziazetdinov Arslan/ Валерия Алексеева</v>
      </c>
      <c r="F8" s="37" t="str">
        <f>IFERROR(INDEX(Personnel[[Sinav ]],$K8),"")</f>
        <v>Ic testimizden gecemedi 18.08.2026</v>
      </c>
      <c r="G8" s="37" t="str">
        <f>IFERROR(INDEX(Personnel[Egtim durumu],$K8),"")</f>
        <v>Egitime  devem eden</v>
      </c>
      <c r="H8" s="37" t="str">
        <f>IFERROR(INDEX(Personnel[Shohruh Not],$K8),"")</f>
        <v>-</v>
      </c>
      <c r="I8" s="38">
        <f ca="1">IFERROR(INDEX(Personnel[Дней в РФ],$K8),"")</f>
        <v>11</v>
      </c>
      <c r="K8" s="23">
        <f t="array" ref="K8">IFERROR(_xlfn.AGGREGATE(15,6,(ROW(Personnel[Egtim durumu])-MIN(ROW(Personnel[Egtim durumu]))+1)/((Personnel[Egtim durumu]="Egitime  devem eden")),ROWS($K$7:K8)),"")</f>
        <v>733</v>
      </c>
    </row>
    <row r="9" spans="1:11" x14ac:dyDescent="0.25">
      <c r="A9" s="18">
        <f>IFERROR(INDEX(Personnel[Sicil],$K9),"")</f>
        <v>274067</v>
      </c>
      <c r="B9" s="17" t="str">
        <f>IFERROR(INDEX(Personnel[Adi Soyadi],$K9),"")</f>
        <v>Гадоев Бахридин Фатхудинович</v>
      </c>
      <c r="C9" s="18" t="str">
        <f>IFERROR(INDEX(Personnel[Vatandaslik],$K9),"")</f>
        <v>ТАДЖИКИСТАН</v>
      </c>
      <c r="D9" s="18" t="str">
        <f>IFERROR(INDEX(Personnel[Santiye],$K9),"")</f>
        <v>GPP Proje</v>
      </c>
      <c r="E9" s="18" t="str">
        <f>IFERROR(INDEX(Personnel[Ogretmen],$K9),"")</f>
        <v>Ziazetdinov Arslan/ Валерия Алексеева</v>
      </c>
      <c r="F9" s="17" t="str">
        <f>IFERROR(INDEX(Personnel[[Sinav ]],$K9),"")</f>
        <v>Ic testimizden gecemedi 18.08.2026</v>
      </c>
      <c r="G9" s="17" t="str">
        <f>IFERROR(INDEX(Personnel[Egtim durumu],$K9),"")</f>
        <v>Egitime  devem eden</v>
      </c>
      <c r="H9" s="17" t="str">
        <f>IFERROR(INDEX(Personnel[Shohruh Not],$K9),"")</f>
        <v>-</v>
      </c>
      <c r="I9" s="22">
        <f ca="1">IFERROR(INDEX(Personnel[Дней в РФ],$K9),"")</f>
        <v>11</v>
      </c>
      <c r="K9" s="23">
        <f t="array" ref="K9">IFERROR(_xlfn.AGGREGATE(15,6,(ROW(Personnel[Egtim durumu])-MIN(ROW(Personnel[Egtim durumu]))+1)/((Personnel[Egtim durumu]="Egitime  devem eden")),ROWS($K$7:K9)),"")</f>
        <v>736</v>
      </c>
    </row>
    <row r="10" spans="1:11" x14ac:dyDescent="0.25">
      <c r="A10" s="36">
        <f>IFERROR(INDEX(Personnel[Sicil],$K10),"")</f>
        <v>646791</v>
      </c>
      <c r="B10" s="37" t="str">
        <f>IFERROR(INDEX(Personnel[Adi Soyadi],$K10),"")</f>
        <v>Дониёров Озодбек Химматалиевич</v>
      </c>
      <c r="C10" s="36" t="str">
        <f>IFERROR(INDEX(Personnel[Vatandaslik],$K10),"")</f>
        <v>УЗБЕКИСТАН</v>
      </c>
      <c r="D10" s="36" t="str">
        <f>IFERROR(INDEX(Personnel[Santiye],$K10),"")</f>
        <v>GPP Proje</v>
      </c>
      <c r="E10" s="36" t="str">
        <f>IFERROR(INDEX(Personnel[Ogretmen],$K10),"")</f>
        <v>Ziazetdinov Arslan/ Валерия Алексеева</v>
      </c>
      <c r="F10" s="37" t="str">
        <f>IFERROR(INDEX(Personnel[[Sinav ]],$K10),"")</f>
        <v>Ic testimizden gecemedi 18.08.2026</v>
      </c>
      <c r="G10" s="37" t="str">
        <f>IFERROR(INDEX(Personnel[Egtim durumu],$K10),"")</f>
        <v>Egitime  devem eden</v>
      </c>
      <c r="H10" s="37" t="str">
        <f>IFERROR(INDEX(Personnel[Shohruh Not],$K10),"")</f>
        <v>-</v>
      </c>
      <c r="I10" s="38">
        <f ca="1">IFERROR(INDEX(Personnel[Дней в РФ],$K10),"")</f>
        <v>12</v>
      </c>
      <c r="K10" s="23">
        <f t="array" ref="K10">IFERROR(_xlfn.AGGREGATE(15,6,(ROW(Personnel[Egtim durumu])-MIN(ROW(Personnel[Egtim durumu]))+1)/((Personnel[Egtim durumu]="Egitime  devem eden")),ROWS($K$7:K10)),"")</f>
        <v>737</v>
      </c>
    </row>
    <row r="11" spans="1:11" x14ac:dyDescent="0.25">
      <c r="A11" s="18">
        <f>IFERROR(INDEX(Personnel[Sicil],$K11),"")</f>
        <v>646802</v>
      </c>
      <c r="B11" s="17" t="str">
        <f>IFERROR(INDEX(Personnel[Adi Soyadi],$K11),"")</f>
        <v>Жуллибаев Шахзод Асадулла Угли</v>
      </c>
      <c r="C11" s="18" t="str">
        <f>IFERROR(INDEX(Personnel[Vatandaslik],$K11),"")</f>
        <v>УЗБЕКИСТАН</v>
      </c>
      <c r="D11" s="18" t="str">
        <f>IFERROR(INDEX(Personnel[Santiye],$K11),"")</f>
        <v>GPP Proje</v>
      </c>
      <c r="E11" s="18" t="str">
        <f>IFERROR(INDEX(Personnel[Ogretmen],$K11),"")</f>
        <v>Ziazetdinov Arslan/ Валерия Алексеева</v>
      </c>
      <c r="F11" s="17" t="str">
        <f>IFERROR(INDEX(Personnel[[Sinav ]],$K11),"")</f>
        <v>Ic testimizden gecemedi 18.08.2026</v>
      </c>
      <c r="G11" s="17" t="str">
        <f>IFERROR(INDEX(Personnel[Egtim durumu],$K11),"")</f>
        <v>Egitime  devem eden</v>
      </c>
      <c r="H11" s="17" t="str">
        <f>IFERROR(INDEX(Personnel[Shohruh Not],$K11),"")</f>
        <v>-</v>
      </c>
      <c r="I11" s="22">
        <f ca="1">IFERROR(INDEX(Personnel[Дней в РФ],$K11),"")</f>
        <v>11</v>
      </c>
      <c r="K11" s="23">
        <f t="array" ref="K11">IFERROR(_xlfn.AGGREGATE(15,6,(ROW(Personnel[Egtim durumu])-MIN(ROW(Personnel[Egtim durumu]))+1)/((Personnel[Egtim durumu]="Egitime  devem eden")),ROWS($K$7:K11)),"")</f>
        <v>738</v>
      </c>
    </row>
    <row r="12" spans="1:11" x14ac:dyDescent="0.25">
      <c r="A12" s="36">
        <f>IFERROR(INDEX(Personnel[Sicil],$K12),"")</f>
        <v>646804</v>
      </c>
      <c r="B12" s="37" t="str">
        <f>IFERROR(INDEX(Personnel[Adi Soyadi],$K12),"")</f>
        <v>Косимов Музаффар Мехмоналиевич</v>
      </c>
      <c r="C12" s="36" t="str">
        <f>IFERROR(INDEX(Personnel[Vatandaslik],$K12),"")</f>
        <v>УЗБЕКИСТАН</v>
      </c>
      <c r="D12" s="36" t="str">
        <f>IFERROR(INDEX(Personnel[Santiye],$K12),"")</f>
        <v>GPP Proje</v>
      </c>
      <c r="E12" s="36" t="str">
        <f>IFERROR(INDEX(Personnel[Ogretmen],$K12),"")</f>
        <v>Ziazetdinov Arslan/ Валерия Алексеева</v>
      </c>
      <c r="F12" s="37" t="str">
        <f>IFERROR(INDEX(Personnel[[Sinav ]],$K12),"")</f>
        <v>Ic testimizden gecemedi 18.08.2026</v>
      </c>
      <c r="G12" s="37" t="str">
        <f>IFERROR(INDEX(Personnel[Egtim durumu],$K12),"")</f>
        <v>Egitime  devem eden</v>
      </c>
      <c r="H12" s="37" t="str">
        <f>IFERROR(INDEX(Personnel[Shohruh Not],$K12),"")</f>
        <v>-</v>
      </c>
      <c r="I12" s="38">
        <f ca="1">IFERROR(INDEX(Personnel[Дней в РФ],$K12),"")</f>
        <v>11</v>
      </c>
      <c r="K12" s="23">
        <f t="array" ref="K12">IFERROR(_xlfn.AGGREGATE(15,6,(ROW(Personnel[Egtim durumu])-MIN(ROW(Personnel[Egtim durumu]))+1)/((Personnel[Egtim durumu]="Egitime  devem eden")),ROWS($K$7:K12)),"")</f>
        <v>740</v>
      </c>
    </row>
    <row r="13" spans="1:11" x14ac:dyDescent="0.25">
      <c r="A13" s="18">
        <f>IFERROR(INDEX(Personnel[Sicil],$K13),"")</f>
        <v>646795</v>
      </c>
      <c r="B13" s="17" t="str">
        <f>IFERROR(INDEX(Personnel[Adi Soyadi],$K13),"")</f>
        <v>Курязов Алишер Пархатович</v>
      </c>
      <c r="C13" s="18" t="str">
        <f>IFERROR(INDEX(Personnel[Vatandaslik],$K13),"")</f>
        <v>УЗБЕКИСТАН</v>
      </c>
      <c r="D13" s="18" t="str">
        <f>IFERROR(INDEX(Personnel[Santiye],$K13),"")</f>
        <v>GPP Proje</v>
      </c>
      <c r="E13" s="18" t="str">
        <f>IFERROR(INDEX(Personnel[Ogretmen],$K13),"")</f>
        <v>Ziazetdinov Arslan/ Валерия Алексеева</v>
      </c>
      <c r="F13" s="17" t="str">
        <f>IFERROR(INDEX(Personnel[[Sinav ]],$K13),"")</f>
        <v>Ic testimizden gecemedi 18.08.2026</v>
      </c>
      <c r="G13" s="17" t="str">
        <f>IFERROR(INDEX(Personnel[Egtim durumu],$K13),"")</f>
        <v>Egitime  devem eden</v>
      </c>
      <c r="H13" s="17" t="str">
        <f>IFERROR(INDEX(Personnel[Shohruh Not],$K13),"")</f>
        <v>-</v>
      </c>
      <c r="I13" s="22">
        <f ca="1">IFERROR(INDEX(Personnel[Дней в РФ],$K13),"")</f>
        <v>11</v>
      </c>
      <c r="K13" s="23">
        <f t="array" ref="K13">IFERROR(_xlfn.AGGREGATE(15,6,(ROW(Personnel[Egtim durumu])-MIN(ROW(Personnel[Egtim durumu]))+1)/((Personnel[Egtim durumu]="Egitime  devem eden")),ROWS($K$7:K13)),"")</f>
        <v>742</v>
      </c>
    </row>
    <row r="14" spans="1:11" x14ac:dyDescent="0.25">
      <c r="A14" s="36">
        <f>IFERROR(INDEX(Personnel[Sicil],$K14),"")</f>
        <v>646743</v>
      </c>
      <c r="B14" s="37" t="str">
        <f>IFERROR(INDEX(Personnel[Adi Soyadi],$K14),"")</f>
        <v>Латифли Джавидан Сабир Оглы</v>
      </c>
      <c r="C14" s="36" t="str">
        <f>IFERROR(INDEX(Personnel[Vatandaslik],$K14),"")</f>
        <v>АЗЕРБАЙДЖАН</v>
      </c>
      <c r="D14" s="36" t="str">
        <f>IFERROR(INDEX(Personnel[Santiye],$K14),"")</f>
        <v>GPP Proje</v>
      </c>
      <c r="E14" s="36" t="str">
        <f>IFERROR(INDEX(Personnel[Ogretmen],$K14),"")</f>
        <v>Валерия Алексеева</v>
      </c>
      <c r="F14" s="37" t="str">
        <f>IFERROR(INDEX(Personnel[[Sinav ]],$K14),"")</f>
        <v>-</v>
      </c>
      <c r="G14" s="37" t="str">
        <f>IFERROR(INDEX(Personnel[Egtim durumu],$K14),"")</f>
        <v>Egitime  devem eden</v>
      </c>
      <c r="H14" s="37" t="str">
        <f>IFERROR(INDEX(Personnel[Shohruh Not],$K14),"")</f>
        <v>-</v>
      </c>
      <c r="I14" s="38">
        <f ca="1">IFERROR(INDEX(Personnel[Дней в РФ],$K14),"")</f>
        <v>9</v>
      </c>
      <c r="K14" s="23">
        <f t="array" ref="K14">IFERROR(_xlfn.AGGREGATE(15,6,(ROW(Personnel[Egtim durumu])-MIN(ROW(Personnel[Egtim durumu]))+1)/((Personnel[Egtim durumu]="Egitime  devem eden")),ROWS($K$7:K14)),"")</f>
        <v>743</v>
      </c>
    </row>
    <row r="15" spans="1:11" x14ac:dyDescent="0.25">
      <c r="A15" s="18">
        <f>IFERROR(INDEX(Personnel[Sicil],$K15),"")</f>
        <v>646818</v>
      </c>
      <c r="B15" s="17" t="str">
        <f>IFERROR(INDEX(Personnel[Adi Soyadi],$K15),"")</f>
        <v>Матчанов Жавохир Муродбек Угли</v>
      </c>
      <c r="C15" s="18" t="str">
        <f>IFERROR(INDEX(Personnel[Vatandaslik],$K15),"")</f>
        <v>УЗБЕКИСТАН</v>
      </c>
      <c r="D15" s="18" t="str">
        <f>IFERROR(INDEX(Personnel[Santiye],$K15),"")</f>
        <v>GPP Proje</v>
      </c>
      <c r="E15" s="18" t="str">
        <f>IFERROR(INDEX(Personnel[Ogretmen],$K15),"")</f>
        <v>Ziazetdinov Arslan/ Валерия Алексеева</v>
      </c>
      <c r="F15" s="17" t="str">
        <f>IFERROR(INDEX(Personnel[[Sinav ]],$K15),"")</f>
        <v>Ic testimizden gecemedi 18.08.2026</v>
      </c>
      <c r="G15" s="17" t="str">
        <f>IFERROR(INDEX(Personnel[Egtim durumu],$K15),"")</f>
        <v>Egitime  devem eden</v>
      </c>
      <c r="H15" s="17" t="str">
        <f>IFERROR(INDEX(Personnel[Shohruh Not],$K15),"")</f>
        <v>-</v>
      </c>
      <c r="I15" s="22">
        <f ca="1">IFERROR(INDEX(Personnel[Дней в РФ],$K15),"")</f>
        <v>11</v>
      </c>
      <c r="K15" s="23">
        <f t="array" ref="K15">IFERROR(_xlfn.AGGREGATE(15,6,(ROW(Personnel[Egtim durumu])-MIN(ROW(Personnel[Egtim durumu]))+1)/((Personnel[Egtim durumu]="Egitime  devem eden")),ROWS($K$7:K15)),"")</f>
        <v>744</v>
      </c>
    </row>
    <row r="16" spans="1:11" x14ac:dyDescent="0.25">
      <c r="A16" s="36">
        <f>IFERROR(INDEX(Personnel[Sicil],$K16),"")</f>
        <v>646789</v>
      </c>
      <c r="B16" s="37" t="str">
        <f>IFERROR(INDEX(Personnel[Adi Soyadi],$K16),"")</f>
        <v>Норбоев Тулкин Шаймарданович</v>
      </c>
      <c r="C16" s="36" t="str">
        <f>IFERROR(INDEX(Personnel[Vatandaslik],$K16),"")</f>
        <v>УЗБЕКИСТАН</v>
      </c>
      <c r="D16" s="36" t="str">
        <f>IFERROR(INDEX(Personnel[Santiye],$K16),"")</f>
        <v>GPP Proje</v>
      </c>
      <c r="E16" s="36" t="str">
        <f>IFERROR(INDEX(Personnel[Ogretmen],$K16),"")</f>
        <v>Ziazetdinov Arslan/ Валерия Алексеева</v>
      </c>
      <c r="F16" s="37" t="str">
        <f>IFERROR(INDEX(Personnel[[Sinav ]],$K16),"")</f>
        <v>Ic testimizden gecemedi 18.08.2026</v>
      </c>
      <c r="G16" s="37" t="str">
        <f>IFERROR(INDEX(Personnel[Egtim durumu],$K16),"")</f>
        <v>Egitime  devem eden</v>
      </c>
      <c r="H16" s="37" t="str">
        <f>IFERROR(INDEX(Personnel[Shohruh Not],$K16),"")</f>
        <v>-</v>
      </c>
      <c r="I16" s="38">
        <f ca="1">IFERROR(INDEX(Personnel[Дней в РФ],$K16),"")</f>
        <v>12</v>
      </c>
      <c r="K16" s="23">
        <f t="array" ref="K16">IFERROR(_xlfn.AGGREGATE(15,6,(ROW(Personnel[Egtim durumu])-MIN(ROW(Personnel[Egtim durumu]))+1)/((Personnel[Egtim durumu]="Egitime  devem eden")),ROWS($K$7:K16)),"")</f>
        <v>747</v>
      </c>
    </row>
    <row r="17" spans="1:11" ht="25.5" x14ac:dyDescent="0.25">
      <c r="A17" s="18">
        <f>IFERROR(INDEX(Personnel[Sicil],$K17),"")</f>
        <v>512037</v>
      </c>
      <c r="B17" s="17" t="str">
        <f>IFERROR(INDEX(Personnel[Adi Soyadi],$K17),"")</f>
        <v>Нортоджиев Азамат Махмараджаб угли</v>
      </c>
      <c r="C17" s="18" t="str">
        <f>IFERROR(INDEX(Personnel[Vatandaslik],$K17),"")</f>
        <v>УЗБЕКИСТАН</v>
      </c>
      <c r="D17" s="18" t="str">
        <f>IFERROR(INDEX(Personnel[Santiye],$K17),"")</f>
        <v>GPP Proje</v>
      </c>
      <c r="E17" s="18" t="str">
        <f>IFERROR(INDEX(Personnel[Ogretmen],$K17),"")</f>
        <v>Валерия Алексеева</v>
      </c>
      <c r="F17" s="17" t="str">
        <f>IFERROR(INDEX(Personnel[[Sinav ]],$K17),"")</f>
        <v>-</v>
      </c>
      <c r="G17" s="17" t="str">
        <f>IFERROR(INDEX(Personnel[Egtim durumu],$K17),"")</f>
        <v>Egitime  devem eden</v>
      </c>
      <c r="H17" s="17" t="str">
        <f>IFERROR(INDEX(Personnel[Shohruh Not],$K17),"")</f>
        <v>-</v>
      </c>
      <c r="I17" s="22">
        <f ca="1">IFERROR(INDEX(Personnel[Дней в РФ],$K17),"")</f>
        <v>12</v>
      </c>
      <c r="K17" s="23">
        <f t="array" ref="K17">IFERROR(_xlfn.AGGREGATE(15,6,(ROW(Personnel[Egtim durumu])-MIN(ROW(Personnel[Egtim durumu]))+1)/((Personnel[Egtim durumu]="Egitime  devem eden")),ROWS($K$7:K17)),"")</f>
        <v>748</v>
      </c>
    </row>
    <row r="18" spans="1:11" ht="25.5" x14ac:dyDescent="0.25">
      <c r="A18" s="36">
        <f>IFERROR(INDEX(Personnel[Sicil],$K18),"")</f>
        <v>646810</v>
      </c>
      <c r="B18" s="37" t="str">
        <f>IFERROR(INDEX(Personnel[Adi Soyadi],$K18),"")</f>
        <v>Оллаберганов Максадбек Шухрат Угли</v>
      </c>
      <c r="C18" s="36" t="str">
        <f>IFERROR(INDEX(Personnel[Vatandaslik],$K18),"")</f>
        <v>УЗБЕКИСТАН</v>
      </c>
      <c r="D18" s="36" t="str">
        <f>IFERROR(INDEX(Personnel[Santiye],$K18),"")</f>
        <v>GPP Proje</v>
      </c>
      <c r="E18" s="36" t="str">
        <f>IFERROR(INDEX(Personnel[Ogretmen],$K18),"")</f>
        <v xml:space="preserve">Ziazetdinov Arslan </v>
      </c>
      <c r="F18" s="37" t="str">
        <f>IFERROR(INDEX(Personnel[[Sinav ]],$K18),"")</f>
        <v>Ic testimizden gecemedi 18.08.2026</v>
      </c>
      <c r="G18" s="37" t="str">
        <f>IFERROR(INDEX(Personnel[Egtim durumu],$K18),"")</f>
        <v>Egitime  devem eden</v>
      </c>
      <c r="H18" s="37" t="str">
        <f>IFERROR(INDEX(Personnel[Shohruh Not],$K18),"")</f>
        <v>-</v>
      </c>
      <c r="I18" s="38">
        <f ca="1">IFERROR(INDEX(Personnel[Дней в РФ],$K18),"")</f>
        <v>11</v>
      </c>
      <c r="K18" s="23">
        <f t="array" ref="K18">IFERROR(_xlfn.AGGREGATE(15,6,(ROW(Personnel[Egtim durumu])-MIN(ROW(Personnel[Egtim durumu]))+1)/((Personnel[Egtim durumu]="Egitime  devem eden")),ROWS($K$7:K18)),"")</f>
        <v>749</v>
      </c>
    </row>
    <row r="19" spans="1:11" x14ac:dyDescent="0.25">
      <c r="A19" s="18">
        <f>IFERROR(INDEX(Personnel[Sicil],$K19),"")</f>
        <v>613164</v>
      </c>
      <c r="B19" s="17" t="str">
        <f>IFERROR(INDEX(Personnel[Adi Soyadi],$K19),"")</f>
        <v>Сапаров Сайдилла Ашурович</v>
      </c>
      <c r="C19" s="18" t="str">
        <f>IFERROR(INDEX(Personnel[Vatandaslik],$K19),"")</f>
        <v>УЗБЕКИСТАН</v>
      </c>
      <c r="D19" s="18" t="str">
        <f>IFERROR(INDEX(Personnel[Santiye],$K19),"")</f>
        <v>GPP Proje</v>
      </c>
      <c r="E19" s="18" t="str">
        <f>IFERROR(INDEX(Personnel[Ogretmen],$K19),"")</f>
        <v xml:space="preserve">Ziazetdinov Arslan </v>
      </c>
      <c r="F19" s="17" t="str">
        <f>IFERROR(INDEX(Personnel[[Sinav ]],$K19),"")</f>
        <v>Ic testimizden gecemedi 18.08.2026</v>
      </c>
      <c r="G19" s="17" t="str">
        <f>IFERROR(INDEX(Personnel[Egtim durumu],$K19),"")</f>
        <v>Egitime  devem eden</v>
      </c>
      <c r="H19" s="17" t="str">
        <f>IFERROR(INDEX(Personnel[Shohruh Not],$K19),"")</f>
        <v>-</v>
      </c>
      <c r="I19" s="22">
        <f ca="1">IFERROR(INDEX(Personnel[Дней в РФ],$K19),"")</f>
        <v>11</v>
      </c>
      <c r="K19" s="23">
        <f t="array" ref="K19">IFERROR(_xlfn.AGGREGATE(15,6,(ROW(Personnel[Egtim durumu])-MIN(ROW(Personnel[Egtim durumu]))+1)/((Personnel[Egtim durumu]="Egitime  devem eden")),ROWS($K$7:K19)),"")</f>
        <v>752</v>
      </c>
    </row>
    <row r="20" spans="1:11" x14ac:dyDescent="0.25">
      <c r="A20" s="36">
        <f>IFERROR(INDEX(Personnel[Sicil],$K20),"")</f>
        <v>646820</v>
      </c>
      <c r="B20" s="37" t="str">
        <f>IFERROR(INDEX(Personnel[Adi Soyadi],$K20),"")</f>
        <v>Хожаев Хожаназар Айытназар Угли</v>
      </c>
      <c r="C20" s="36" t="str">
        <f>IFERROR(INDEX(Personnel[Vatandaslik],$K20),"")</f>
        <v>УЗБЕКИСТАН</v>
      </c>
      <c r="D20" s="36" t="str">
        <f>IFERROR(INDEX(Personnel[Santiye],$K20),"")</f>
        <v>GPP Proje</v>
      </c>
      <c r="E20" s="36" t="str">
        <f>IFERROR(INDEX(Personnel[Ogretmen],$K20),"")</f>
        <v>Ziazetdinov Arslan/ Валерия Алексеева</v>
      </c>
      <c r="F20" s="37" t="str">
        <f>IFERROR(INDEX(Personnel[[Sinav ]],$K20),"")</f>
        <v>Ic testimizden gecemedi 18.08.2026</v>
      </c>
      <c r="G20" s="37" t="str">
        <f>IFERROR(INDEX(Personnel[Egtim durumu],$K20),"")</f>
        <v>Egitime  devem eden</v>
      </c>
      <c r="H20" s="37" t="str">
        <f>IFERROR(INDEX(Personnel[Shohruh Not],$K20),"")</f>
        <v>-</v>
      </c>
      <c r="I20" s="38">
        <f ca="1">IFERROR(INDEX(Personnel[Дней в РФ],$K20),"")</f>
        <v>11</v>
      </c>
      <c r="K20" s="23">
        <f t="array" ref="K20">IFERROR(_xlfn.AGGREGATE(15,6,(ROW(Personnel[Egtim durumu])-MIN(ROW(Personnel[Egtim durumu]))+1)/((Personnel[Egtim durumu]="Egitime  devem eden")),ROWS($K$7:K20)),"")</f>
        <v>755</v>
      </c>
    </row>
    <row r="21" spans="1:11" x14ac:dyDescent="0.25">
      <c r="A21" s="18">
        <f>IFERROR(INDEX(Personnel[Sicil],$K21),"")</f>
        <v>646792</v>
      </c>
      <c r="B21" s="17" t="str">
        <f>IFERROR(INDEX(Personnel[Adi Soyadi],$K21),"")</f>
        <v>Холбоев Рустомжон Тухтаевич</v>
      </c>
      <c r="C21" s="18" t="str">
        <f>IFERROR(INDEX(Personnel[Vatandaslik],$K21),"")</f>
        <v>УЗБЕКИСТАН</v>
      </c>
      <c r="D21" s="18" t="str">
        <f>IFERROR(INDEX(Personnel[Santiye],$K21),"")</f>
        <v>GPP Proje</v>
      </c>
      <c r="E21" s="18" t="str">
        <f>IFERROR(INDEX(Personnel[Ogretmen],$K21),"")</f>
        <v>Ziazetdinov Arslan/ Валерия Алексеева</v>
      </c>
      <c r="F21" s="17" t="str">
        <f>IFERROR(INDEX(Personnel[[Sinav ]],$K21),"")</f>
        <v>Ic testimizden gecemedi 18.08.2026</v>
      </c>
      <c r="G21" s="17" t="str">
        <f>IFERROR(INDEX(Personnel[Egtim durumu],$K21),"")</f>
        <v>Egitime  devem eden</v>
      </c>
      <c r="H21" s="17" t="str">
        <f>IFERROR(INDEX(Personnel[Shohruh Not],$K21),"")</f>
        <v>-</v>
      </c>
      <c r="I21" s="22">
        <f ca="1">IFERROR(INDEX(Personnel[Дней в РФ],$K21),"")</f>
        <v>12</v>
      </c>
      <c r="K21" s="23">
        <f t="array" ref="K21">IFERROR(_xlfn.AGGREGATE(15,6,(ROW(Personnel[Egtim durumu])-MIN(ROW(Personnel[Egtim durumu]))+1)/((Personnel[Egtim durumu]="Egitime  devem eden")),ROWS($K$7:K21)),"")</f>
        <v>756</v>
      </c>
    </row>
    <row r="22" spans="1:11" x14ac:dyDescent="0.25">
      <c r="A22" s="36">
        <f>IFERROR(INDEX(Personnel[Sicil],$K22),"")</f>
        <v>646796</v>
      </c>
      <c r="B22" s="37" t="str">
        <f>IFERROR(INDEX(Personnel[Adi Soyadi],$K22),"")</f>
        <v>Худайбердиев Сохбет Базарбаевич</v>
      </c>
      <c r="C22" s="36" t="str">
        <f>IFERROR(INDEX(Personnel[Vatandaslik],$K22),"")</f>
        <v>УЗБЕКИСТАН</v>
      </c>
      <c r="D22" s="36" t="str">
        <f>IFERROR(INDEX(Personnel[Santiye],$K22),"")</f>
        <v>GPP Proje</v>
      </c>
      <c r="E22" s="36" t="str">
        <f>IFERROR(INDEX(Personnel[Ogretmen],$K22),"")</f>
        <v>Ziazetdinov Arslan/ Валерия Алексеева</v>
      </c>
      <c r="F22" s="37" t="str">
        <f>IFERROR(INDEX(Personnel[[Sinav ]],$K22),"")</f>
        <v>Ic testimizden gecemedi 18.08.2026</v>
      </c>
      <c r="G22" s="37" t="str">
        <f>IFERROR(INDEX(Personnel[Egtim durumu],$K22),"")</f>
        <v>Egitime  devem eden</v>
      </c>
      <c r="H22" s="37" t="str">
        <f>IFERROR(INDEX(Personnel[Shohruh Not],$K22),"")</f>
        <v>-</v>
      </c>
      <c r="I22" s="38">
        <f ca="1">IFERROR(INDEX(Personnel[Дней в РФ],$K22),"")</f>
        <v>11</v>
      </c>
      <c r="K22" s="23">
        <f t="array" ref="K22">IFERROR(_xlfn.AGGREGATE(15,6,(ROW(Personnel[Egtim durumu])-MIN(ROW(Personnel[Egtim durumu]))+1)/((Personnel[Egtim durumu]="Egitime  devem eden")),ROWS($K$7:K22)),"")</f>
        <v>757</v>
      </c>
    </row>
    <row r="23" spans="1:11" x14ac:dyDescent="0.25">
      <c r="A23" s="18">
        <f>IFERROR(INDEX(Personnel[Sicil],$K23),"")</f>
        <v>646808</v>
      </c>
      <c r="B23" s="17" t="str">
        <f>IFERROR(INDEX(Personnel[Adi Soyadi],$K23),"")</f>
        <v>Эшонкулов Акмал Очилович</v>
      </c>
      <c r="C23" s="18" t="str">
        <f>IFERROR(INDEX(Personnel[Vatandaslik],$K23),"")</f>
        <v>УЗБЕКИСТАН</v>
      </c>
      <c r="D23" s="18" t="str">
        <f>IFERROR(INDEX(Personnel[Santiye],$K23),"")</f>
        <v>GPP Proje</v>
      </c>
      <c r="E23" s="18" t="str">
        <f>IFERROR(INDEX(Personnel[Ogretmen],$K23),"")</f>
        <v>Ziazetdinov Arslan/ Валерия Алексеева</v>
      </c>
      <c r="F23" s="17" t="str">
        <f>IFERROR(INDEX(Personnel[[Sinav ]],$K23),"")</f>
        <v>Ic testimizden gecemedi 18.08.2026</v>
      </c>
      <c r="G23" s="17" t="str">
        <f>IFERROR(INDEX(Personnel[Egtim durumu],$K23),"")</f>
        <v>Egitime  devem eden</v>
      </c>
      <c r="H23" s="17" t="str">
        <f>IFERROR(INDEX(Personnel[Shohruh Not],$K23),"")</f>
        <v>-</v>
      </c>
      <c r="I23" s="22">
        <f ca="1">IFERROR(INDEX(Personnel[Дней в РФ],$K23),"")</f>
        <v>11</v>
      </c>
      <c r="K23" s="23">
        <f t="array" ref="K23">IFERROR(_xlfn.AGGREGATE(15,6,(ROW(Personnel[Egtim durumu])-MIN(ROW(Personnel[Egtim durumu]))+1)/((Personnel[Egtim durumu]="Egitime  devem eden")),ROWS($K$7:K23)),"")</f>
        <v>758</v>
      </c>
    </row>
    <row r="24" spans="1:11" x14ac:dyDescent="0.25">
      <c r="A24" s="36">
        <f>IFERROR(INDEX(Personnel[Sicil],$K24),"")</f>
        <v>646776</v>
      </c>
      <c r="B24" s="37" t="str">
        <f>IFERROR(INDEX(Personnel[Adi Soyadi],$K24),"")</f>
        <v>Юлдашев Мехмонали Пирназарович</v>
      </c>
      <c r="C24" s="36" t="str">
        <f>IFERROR(INDEX(Personnel[Vatandaslik],$K24),"")</f>
        <v>ТАДЖИКИСТАН</v>
      </c>
      <c r="D24" s="36" t="str">
        <f>IFERROR(INDEX(Personnel[Santiye],$K24),"")</f>
        <v>GPP Proje</v>
      </c>
      <c r="E24" s="36" t="str">
        <f>IFERROR(INDEX(Personnel[Ogretmen],$K24),"")</f>
        <v>Ziazetdinov Arslan/ Валерия Алексеева</v>
      </c>
      <c r="F24" s="37" t="str">
        <f>IFERROR(INDEX(Personnel[[Sinav ]],$K24),"")</f>
        <v>Ic testimizden gecemedi 18.08.2026</v>
      </c>
      <c r="G24" s="37" t="str">
        <f>IFERROR(INDEX(Personnel[Egtim durumu],$K24),"")</f>
        <v>Egitime  devem eden</v>
      </c>
      <c r="H24" s="37" t="str">
        <f>IFERROR(INDEX(Personnel[Shohruh Not],$K24),"")</f>
        <v>-</v>
      </c>
      <c r="I24" s="38">
        <f ca="1">IFERROR(INDEX(Personnel[Дней в РФ],$K24),"")</f>
        <v>11</v>
      </c>
      <c r="K24" s="23">
        <f t="array" ref="K24">IFERROR(_xlfn.AGGREGATE(15,6,(ROW(Personnel[Egtim durumu])-MIN(ROW(Personnel[Egtim durumu]))+1)/((Personnel[Egtim durumu]="Egitime  devem eden")),ROWS($K$7:K24)),"")</f>
        <v>759</v>
      </c>
    </row>
    <row r="25" spans="1:11" x14ac:dyDescent="0.25">
      <c r="A25" s="18">
        <f>IFERROR(INDEX(Personnel[Sicil],$K25),"")</f>
        <v>646859</v>
      </c>
      <c r="B25" s="17" t="str">
        <f>IFERROR(INDEX(Personnel[Adi Soyadi],$K25),"")</f>
        <v>Болтаев Максуд Аширали Угли</v>
      </c>
      <c r="C25" s="18" t="str">
        <f>IFERROR(INDEX(Personnel[Vatandaslik],$K25),"")</f>
        <v>УЗБЕКИСТАН</v>
      </c>
      <c r="D25" s="18" t="str">
        <f>IFERROR(INDEX(Personnel[Santiye],$K25),"")</f>
        <v>GPP Proje</v>
      </c>
      <c r="E25" s="18" t="str">
        <f>IFERROR(INDEX(Personnel[Ogretmen],$K25),"")</f>
        <v>Валерия Алексеева</v>
      </c>
      <c r="F25" s="17" t="str">
        <f>IFERROR(INDEX(Personnel[[Sinav ]],$K25),"")</f>
        <v>-</v>
      </c>
      <c r="G25" s="17" t="str">
        <f>IFERROR(INDEX(Personnel[Egtim durumu],$K25),"")</f>
        <v>Egitime  devem eden</v>
      </c>
      <c r="H25" s="17" t="str">
        <f>IFERROR(INDEX(Personnel[Shohruh Not],$K25),"")</f>
        <v>-</v>
      </c>
      <c r="I25" s="22">
        <f ca="1">IFERROR(INDEX(Personnel[Дней в РФ],$K25),"")</f>
        <v>9</v>
      </c>
      <c r="K25" s="23">
        <f t="array" ref="K25">IFERROR(_xlfn.AGGREGATE(15,6,(ROW(Personnel[Egtim durumu])-MIN(ROW(Personnel[Egtim durumu]))+1)/((Personnel[Egtim durumu]="Egitime  devem eden")),ROWS($K$7:K25)),"")</f>
        <v>760</v>
      </c>
    </row>
    <row r="26" spans="1:11" x14ac:dyDescent="0.25">
      <c r="A26" s="36">
        <f>IFERROR(INDEX(Personnel[Sicil],$K26),"")</f>
        <v>646861</v>
      </c>
      <c r="B26" s="37" t="str">
        <f>IFERROR(INDEX(Personnel[Adi Soyadi],$K26),"")</f>
        <v>Галиев Журабек Акмал Угли</v>
      </c>
      <c r="C26" s="36" t="str">
        <f>IFERROR(INDEX(Personnel[Vatandaslik],$K26),"")</f>
        <v>УЗБЕКИСТАН</v>
      </c>
      <c r="D26" s="36" t="str">
        <f>IFERROR(INDEX(Personnel[Santiye],$K26),"")</f>
        <v>GPP Proje</v>
      </c>
      <c r="E26" s="36" t="str">
        <f>IFERROR(INDEX(Personnel[Ogretmen],$K26),"")</f>
        <v>Валерия Алексеева</v>
      </c>
      <c r="F26" s="37" t="str">
        <f>IFERROR(INDEX(Personnel[[Sinav ]],$K26),"")</f>
        <v>-</v>
      </c>
      <c r="G26" s="37" t="str">
        <f>IFERROR(INDEX(Personnel[Egtim durumu],$K26),"")</f>
        <v>Egitime  devem eden</v>
      </c>
      <c r="H26" s="37" t="str">
        <f>IFERROR(INDEX(Personnel[Shohruh Not],$K26),"")</f>
        <v>-</v>
      </c>
      <c r="I26" s="38">
        <f ca="1">IFERROR(INDEX(Personnel[Дней в РФ],$K26),"")</f>
        <v>9</v>
      </c>
      <c r="K26" s="23">
        <f t="array" ref="K26">IFERROR(_xlfn.AGGREGATE(15,6,(ROW(Personnel[Egtim durumu])-MIN(ROW(Personnel[Egtim durumu]))+1)/((Personnel[Egtim durumu]="Egitime  devem eden")),ROWS($K$7:K26)),"")</f>
        <v>761</v>
      </c>
    </row>
    <row r="27" spans="1:11" x14ac:dyDescent="0.25">
      <c r="A27" s="18">
        <f>IFERROR(INDEX(Personnel[Sicil],$K27),"")</f>
        <v>646857</v>
      </c>
      <c r="B27" s="17" t="str">
        <f>IFERROR(INDEX(Personnel[Adi Soyadi],$K27),"")</f>
        <v>Жумаев Фахриддин Сахобиддин Угли</v>
      </c>
      <c r="C27" s="18" t="str">
        <f>IFERROR(INDEX(Personnel[Vatandaslik],$K27),"")</f>
        <v>УЗБЕКИСТАН</v>
      </c>
      <c r="D27" s="18" t="str">
        <f>IFERROR(INDEX(Personnel[Santiye],$K27),"")</f>
        <v>GPP Proje</v>
      </c>
      <c r="E27" s="18" t="str">
        <f>IFERROR(INDEX(Personnel[Ogretmen],$K27),"")</f>
        <v>Валерия Алексеева</v>
      </c>
      <c r="F27" s="17" t="str">
        <f>IFERROR(INDEX(Personnel[[Sinav ]],$K27),"")</f>
        <v>-</v>
      </c>
      <c r="G27" s="17" t="str">
        <f>IFERROR(INDEX(Personnel[Egtim durumu],$K27),"")</f>
        <v>Egitime  devem eden</v>
      </c>
      <c r="H27" s="17" t="str">
        <f>IFERROR(INDEX(Personnel[Shohruh Not],$K27),"")</f>
        <v>-</v>
      </c>
      <c r="I27" s="22">
        <f ca="1">IFERROR(INDEX(Personnel[Дней в РФ],$K27),"")</f>
        <v>8</v>
      </c>
      <c r="K27" s="23">
        <f t="array" ref="K27">IFERROR(_xlfn.AGGREGATE(15,6,(ROW(Personnel[Egtim durumu])-MIN(ROW(Personnel[Egtim durumu]))+1)/((Personnel[Egtim durumu]="Egitime  devem eden")),ROWS($K$7:K27)),"")</f>
        <v>762</v>
      </c>
    </row>
    <row r="28" spans="1:11" x14ac:dyDescent="0.25">
      <c r="A28" s="36">
        <f>IFERROR(INDEX(Personnel[Sicil],$K28),"")</f>
        <v>609416</v>
      </c>
      <c r="B28" s="37" t="str">
        <f>IFERROR(INDEX(Personnel[Adi Soyadi],$K28),"")</f>
        <v>Кандахаров Достонбек Холбобо Угли</v>
      </c>
      <c r="C28" s="36" t="str">
        <f>IFERROR(INDEX(Personnel[Vatandaslik],$K28),"")</f>
        <v>УЗБЕКИСТАН</v>
      </c>
      <c r="D28" s="36" t="str">
        <f>IFERROR(INDEX(Personnel[Santiye],$K28),"")</f>
        <v>GPP Proje</v>
      </c>
      <c r="E28" s="36" t="str">
        <f>IFERROR(INDEX(Personnel[Ogretmen],$K28),"")</f>
        <v>Валерия Алексеева</v>
      </c>
      <c r="F28" s="37" t="str">
        <f>IFERROR(INDEX(Personnel[[Sinav ]],$K28),"")</f>
        <v>-</v>
      </c>
      <c r="G28" s="37" t="str">
        <f>IFERROR(INDEX(Personnel[Egtim durumu],$K28),"")</f>
        <v>Egitime  devem eden</v>
      </c>
      <c r="H28" s="37" t="str">
        <f>IFERROR(INDEX(Personnel[Shohruh Not],$K28),"")</f>
        <v>-</v>
      </c>
      <c r="I28" s="38">
        <f ca="1">IFERROR(INDEX(Personnel[Дней в РФ],$K28),"")</f>
        <v>9</v>
      </c>
      <c r="K28" s="23">
        <f t="array" ref="K28">IFERROR(_xlfn.AGGREGATE(15,6,(ROW(Personnel[Egtim durumu])-MIN(ROW(Personnel[Egtim durumu]))+1)/((Personnel[Egtim durumu]="Egitime  devem eden")),ROWS($K$7:K28)),"")</f>
        <v>763</v>
      </c>
    </row>
    <row r="29" spans="1:11" x14ac:dyDescent="0.25">
      <c r="A29" s="18">
        <f>IFERROR(INDEX(Personnel[Sicil],$K29),"")</f>
        <v>646858</v>
      </c>
      <c r="B29" s="17" t="str">
        <f>IFERROR(INDEX(Personnel[Adi Soyadi],$K29),"")</f>
        <v xml:space="preserve">Суяров Шодиёр Абдурахим Угли </v>
      </c>
      <c r="C29" s="18" t="str">
        <f>IFERROR(INDEX(Personnel[Vatandaslik],$K29),"")</f>
        <v>УЗБЕКИСТАН</v>
      </c>
      <c r="D29" s="18" t="str">
        <f>IFERROR(INDEX(Personnel[Santiye],$K29),"")</f>
        <v>GPP Proje</v>
      </c>
      <c r="E29" s="18" t="str">
        <f>IFERROR(INDEX(Personnel[Ogretmen],$K29),"")</f>
        <v>Валерия Алексеева</v>
      </c>
      <c r="F29" s="17" t="str">
        <f>IFERROR(INDEX(Personnel[[Sinav ]],$K29),"")</f>
        <v>-</v>
      </c>
      <c r="G29" s="17" t="str">
        <f>IFERROR(INDEX(Personnel[Egtim durumu],$K29),"")</f>
        <v>Egitime  devem eden</v>
      </c>
      <c r="H29" s="17" t="str">
        <f>IFERROR(INDEX(Personnel[Shohruh Not],$K29),"")</f>
        <v>-</v>
      </c>
      <c r="I29" s="22">
        <f ca="1">IFERROR(INDEX(Personnel[Дней в РФ],$K29),"")</f>
        <v>9</v>
      </c>
      <c r="K29" s="23">
        <f t="array" ref="K29">IFERROR(_xlfn.AGGREGATE(15,6,(ROW(Personnel[Egtim durumu])-MIN(ROW(Personnel[Egtim durumu]))+1)/((Personnel[Egtim durumu]="Egitime  devem eden")),ROWS($K$7:K29)),"")</f>
        <v>764</v>
      </c>
    </row>
    <row r="30" spans="1:11" ht="25.5" x14ac:dyDescent="0.25">
      <c r="A30" s="36">
        <f>IFERROR(INDEX(Personnel[Sicil],$K30),"")</f>
        <v>528101</v>
      </c>
      <c r="B30" s="37" t="str">
        <f>IFERROR(INDEX(Personnel[Adi Soyadi],$K30),"")</f>
        <v xml:space="preserve">Абдуманнопов Мухаммад Абдумутал угли </v>
      </c>
      <c r="C30" s="36" t="str">
        <f>IFERROR(INDEX(Personnel[Vatandaslik],$K30),"")</f>
        <v>УЗБЕКИСТАН</v>
      </c>
      <c r="D30" s="36" t="str">
        <f>IFERROR(INDEX(Personnel[Santiye],$K30),"")</f>
        <v>GPP Proje</v>
      </c>
      <c r="E30" s="36" t="str">
        <f>IFERROR(INDEX(Personnel[Ogretmen],$K30),"")</f>
        <v>Валерия Алексеева</v>
      </c>
      <c r="F30" s="37" t="str">
        <f>IFERROR(INDEX(Personnel[[Sinav ]],$K30),"")</f>
        <v>-</v>
      </c>
      <c r="G30" s="37" t="str">
        <f>IFERROR(INDEX(Personnel[Egtim durumu],$K30),"")</f>
        <v>Egitime  devem eden</v>
      </c>
      <c r="H30" s="37" t="str">
        <f>IFERROR(INDEX(Personnel[Shohruh Not],$K30),"")</f>
        <v>-</v>
      </c>
      <c r="I30" s="38">
        <f ca="1">IFERROR(INDEX(Personnel[Дней в РФ],$K30),"")</f>
        <v>46256</v>
      </c>
      <c r="K30" s="23">
        <f t="array" ref="K30">IFERROR(_xlfn.AGGREGATE(15,6,(ROW(Personnel[Egtim durumu])-MIN(ROW(Personnel[Egtim durumu]))+1)/((Personnel[Egtim durumu]="Egitime  devem eden")),ROWS($K$7:K30)),"")</f>
        <v>766</v>
      </c>
    </row>
    <row r="31" spans="1:11" x14ac:dyDescent="0.25">
      <c r="A31" s="18">
        <f>IFERROR(INDEX(Personnel[Sicil],$K31),"")</f>
        <v>482554</v>
      </c>
      <c r="B31" s="17" t="str">
        <f>IFERROR(INDEX(Personnel[Adi Soyadi],$K31),"")</f>
        <v>Абдуллаев Садулла Абдуллаевич</v>
      </c>
      <c r="C31" s="18" t="str">
        <f>IFERROR(INDEX(Personnel[Vatandaslik],$K31),"")</f>
        <v>УЗБЕКИСТАН</v>
      </c>
      <c r="D31" s="18" t="str">
        <f>IFERROR(INDEX(Personnel[Santiye],$K31),"")</f>
        <v>GPP Proje</v>
      </c>
      <c r="E31" s="18" t="str">
        <f>IFERROR(INDEX(Personnel[Ogretmen],$K31),"")</f>
        <v>Валерия Алексеева</v>
      </c>
      <c r="F31" s="17" t="str">
        <f>IFERROR(INDEX(Personnel[[Sinav ]],$K31),"")</f>
        <v>-</v>
      </c>
      <c r="G31" s="17" t="str">
        <f>IFERROR(INDEX(Personnel[Egtim durumu],$K31),"")</f>
        <v>Egitime  devem eden</v>
      </c>
      <c r="H31" s="17" t="str">
        <f>IFERROR(INDEX(Personnel[Shohruh Not],$K31),"")</f>
        <v>-</v>
      </c>
      <c r="I31" s="18">
        <f ca="1">IFERROR(INDEX(Personnel[Дней в РФ],$K31),"")</f>
        <v>7</v>
      </c>
      <c r="K31" s="23">
        <f t="array" ref="K31">IFERROR(_xlfn.AGGREGATE(15,6,(ROW(Personnel[Egtim durumu])-MIN(ROW(Personnel[Egtim durumu]))+1)/((Personnel[Egtim durumu]="Egitime  devem eden")),ROWS($K$7:K31)),"")</f>
        <v>767</v>
      </c>
    </row>
    <row r="32" spans="1:11" ht="25.5" x14ac:dyDescent="0.25">
      <c r="A32" s="36">
        <f>IFERROR(INDEX(Personnel[Sicil],$K32),"")</f>
        <v>646875</v>
      </c>
      <c r="B32" s="37" t="str">
        <f>IFERROR(INDEX(Personnel[Adi Soyadi],$K32),"")</f>
        <v>Азамхонов Максудхон Аблиясхон Угли</v>
      </c>
      <c r="C32" s="36" t="str">
        <f>IFERROR(INDEX(Personnel[Vatandaslik],$K32),"")</f>
        <v>УЗБЕКИСТАН</v>
      </c>
      <c r="D32" s="36" t="str">
        <f>IFERROR(INDEX(Personnel[Santiye],$K32),"")</f>
        <v>GPP Proje</v>
      </c>
      <c r="E32" s="36" t="str">
        <f>IFERROR(INDEX(Personnel[Ogretmen],$K32),"")</f>
        <v>Валерия Алексеева</v>
      </c>
      <c r="F32" s="37" t="str">
        <f>IFERROR(INDEX(Personnel[[Sinav ]],$K32),"")</f>
        <v>-</v>
      </c>
      <c r="G32" s="37" t="str">
        <f>IFERROR(INDEX(Personnel[Egtim durumu],$K32),"")</f>
        <v>Egitime  devem eden</v>
      </c>
      <c r="H32" s="37" t="str">
        <f>IFERROR(INDEX(Personnel[Shohruh Not],$K32),"")</f>
        <v>-</v>
      </c>
      <c r="I32" s="36">
        <f ca="1">IFERROR(INDEX(Personnel[Дней в РФ],$K32),"")</f>
        <v>5</v>
      </c>
      <c r="K32" s="23">
        <f t="array" ref="K32">IFERROR(_xlfn.AGGREGATE(15,6,(ROW(Personnel[Egtim durumu])-MIN(ROW(Personnel[Egtim durumu]))+1)/((Personnel[Egtim durumu]="Egitime  devem eden")),ROWS($K$7:K32)),"")</f>
        <v>768</v>
      </c>
    </row>
    <row r="33" spans="1:11" x14ac:dyDescent="0.25">
      <c r="A33" s="18">
        <f>IFERROR(INDEX(Personnel[Sicil],$K33),"")</f>
        <v>633244</v>
      </c>
      <c r="B33" s="17" t="str">
        <f>IFERROR(INDEX(Personnel[Adi Soyadi],$K33),"")</f>
        <v>Рузиев Дилмурод Кудратович</v>
      </c>
      <c r="C33" s="18" t="str">
        <f>IFERROR(INDEX(Personnel[Vatandaslik],$K33),"")</f>
        <v>УЗБЕКИСТАН</v>
      </c>
      <c r="D33" s="18" t="str">
        <f>IFERROR(INDEX(Personnel[Santiye],$K33),"")</f>
        <v>GPP Proje</v>
      </c>
      <c r="E33" s="18" t="str">
        <f>IFERROR(INDEX(Personnel[Ogretmen],$K33),"")</f>
        <v>Валерия Алексеева</v>
      </c>
      <c r="F33" s="17" t="str">
        <f>IFERROR(INDEX(Personnel[[Sinav ]],$K33),"")</f>
        <v>-</v>
      </c>
      <c r="G33" s="17" t="str">
        <f>IFERROR(INDEX(Personnel[Egtim durumu],$K33),"")</f>
        <v>Egitime  devem eden</v>
      </c>
      <c r="H33" s="17" t="str">
        <f>IFERROR(INDEX(Personnel[Shohruh Not],$K33),"")</f>
        <v>-</v>
      </c>
      <c r="I33" s="18">
        <f ca="1">IFERROR(INDEX(Personnel[Дней в РФ],$K33),"")</f>
        <v>6</v>
      </c>
      <c r="K33" s="23">
        <f t="array" ref="K33">IFERROR(_xlfn.AGGREGATE(15,6,(ROW(Personnel[Egtim durumu])-MIN(ROW(Personnel[Egtim durumu]))+1)/((Personnel[Egtim durumu]="Egitime  devem eden")),ROWS($K$7:K33)),"")</f>
        <v>770</v>
      </c>
    </row>
    <row r="34" spans="1:11" x14ac:dyDescent="0.25">
      <c r="A34" s="36">
        <f>IFERROR(INDEX(Personnel[Sicil],$K34),"")</f>
        <v>548848</v>
      </c>
      <c r="B34" s="37" t="str">
        <f>IFERROR(INDEX(Personnel[Adi Soyadi],$K34),"")</f>
        <v>Чориев Сайфиддин Туйчи угли</v>
      </c>
      <c r="C34" s="36" t="str">
        <f>IFERROR(INDEX(Personnel[Vatandaslik],$K34),"")</f>
        <v>УЗБЕКИСТАН</v>
      </c>
      <c r="D34" s="36" t="str">
        <f>IFERROR(INDEX(Personnel[Santiye],$K34),"")</f>
        <v>GPP Proje</v>
      </c>
      <c r="E34" s="36" t="str">
        <f>IFERROR(INDEX(Personnel[Ogretmen],$K34),"")</f>
        <v>Валерия Алексеева</v>
      </c>
      <c r="F34" s="37" t="str">
        <f>IFERROR(INDEX(Personnel[[Sinav ]],$K34),"")</f>
        <v>-</v>
      </c>
      <c r="G34" s="37" t="str">
        <f>IFERROR(INDEX(Personnel[Egtim durumu],$K34),"")</f>
        <v>Egitime  devem eden</v>
      </c>
      <c r="H34" s="37" t="str">
        <f>IFERROR(INDEX(Personnel[Shohruh Not],$K34),"")</f>
        <v>-</v>
      </c>
      <c r="I34" s="36">
        <f ca="1">IFERROR(INDEX(Personnel[Дней в РФ],$K34),"")</f>
        <v>5</v>
      </c>
      <c r="K34" s="23">
        <f t="array" ref="K34">IFERROR(_xlfn.AGGREGATE(15,6,(ROW(Personnel[Egtim durumu])-MIN(ROW(Personnel[Egtim durumu]))+1)/((Personnel[Egtim durumu]="Egitime  devem eden")),ROWS($K$7:K34)),"")</f>
        <v>772</v>
      </c>
    </row>
    <row r="35" spans="1:11" x14ac:dyDescent="0.25">
      <c r="A35" s="18">
        <f>IFERROR(INDEX(Personnel[Sicil],$K35),"")</f>
        <v>646896</v>
      </c>
      <c r="B35" s="17" t="str">
        <f>IFERROR(INDEX(Personnel[Adi Soyadi],$K35),"")</f>
        <v>Каюмов Шохзод Акрам Угли</v>
      </c>
      <c r="C35" s="18" t="str">
        <f>IFERROR(INDEX(Personnel[Vatandaslik],$K35),"")</f>
        <v>УЗБЕКИСТАН</v>
      </c>
      <c r="D35" s="18" t="str">
        <f>IFERROR(INDEX(Personnel[Santiye],$K35),"")</f>
        <v>GPP Proje</v>
      </c>
      <c r="E35" s="18" t="str">
        <f>IFERROR(INDEX(Personnel[Ogretmen],$K35),"")</f>
        <v>Валерия Алексеева</v>
      </c>
      <c r="F35" s="17" t="str">
        <f>IFERROR(INDEX(Personnel[[Sinav ]],$K35),"")</f>
        <v>-</v>
      </c>
      <c r="G35" s="17" t="str">
        <f>IFERROR(INDEX(Personnel[Egtim durumu],$K35),"")</f>
        <v>Egitime  devem eden</v>
      </c>
      <c r="H35" s="17" t="str">
        <f>IFERROR(INDEX(Personnel[Shohruh Not],$K35),"")</f>
        <v>-</v>
      </c>
      <c r="I35" s="18">
        <f ca="1">IFERROR(INDEX(Personnel[Дней в РФ],$K35),"")</f>
        <v>5</v>
      </c>
      <c r="K35" s="23">
        <f t="array" ref="K35">IFERROR(_xlfn.AGGREGATE(15,6,(ROW(Personnel[Egtim durumu])-MIN(ROW(Personnel[Egtim durumu]))+1)/((Personnel[Egtim durumu]="Egitime  devem eden")),ROWS($K$7:K35)),"")</f>
        <v>773</v>
      </c>
    </row>
    <row r="36" spans="1:11" x14ac:dyDescent="0.25">
      <c r="A36" s="36">
        <f>IFERROR(INDEX(Personnel[Sicil],$K36),"")</f>
        <v>646894</v>
      </c>
      <c r="B36" s="37" t="str">
        <f>IFERROR(INDEX(Personnel[Adi Soyadi],$K36),"")</f>
        <v>Хурсанов Нурбек Шодмонович</v>
      </c>
      <c r="C36" s="36" t="str">
        <f>IFERROR(INDEX(Personnel[Vatandaslik],$K36),"")</f>
        <v>УЗБЕКИСТАН</v>
      </c>
      <c r="D36" s="36" t="str">
        <f>IFERROR(INDEX(Personnel[Santiye],$K36),"")</f>
        <v>GPP Proje</v>
      </c>
      <c r="E36" s="36" t="str">
        <f>IFERROR(INDEX(Personnel[Ogretmen],$K36),"")</f>
        <v>Валерия Алексеева</v>
      </c>
      <c r="F36" s="37" t="str">
        <f>IFERROR(INDEX(Personnel[[Sinav ]],$K36),"")</f>
        <v>-</v>
      </c>
      <c r="G36" s="37" t="str">
        <f>IFERROR(INDEX(Personnel[Egtim durumu],$K36),"")</f>
        <v>Egitime  devem eden</v>
      </c>
      <c r="H36" s="37" t="str">
        <f>IFERROR(INDEX(Personnel[Shohruh Not],$K36),"")</f>
        <v>-</v>
      </c>
      <c r="I36" s="36">
        <f ca="1">IFERROR(INDEX(Personnel[Дней в РФ],$K36),"")</f>
        <v>5</v>
      </c>
      <c r="K36" s="23">
        <f t="array" ref="K36">IFERROR(_xlfn.AGGREGATE(15,6,(ROW(Personnel[Egtim durumu])-MIN(ROW(Personnel[Egtim durumu]))+1)/((Personnel[Egtim durumu]="Egitime  devem eden")),ROWS($K$7:K36)),"")</f>
        <v>774</v>
      </c>
    </row>
    <row r="37" spans="1:11" x14ac:dyDescent="0.25">
      <c r="A37" s="18">
        <f>IFERROR(INDEX(Personnel[Sicil],$K37),"")</f>
        <v>646897</v>
      </c>
      <c r="B37" s="17" t="str">
        <f>IFERROR(INDEX(Personnel[Adi Soyadi],$K37),"")</f>
        <v>Хурсанов Фазлиддин Шодмон Угли</v>
      </c>
      <c r="C37" s="18" t="str">
        <f>IFERROR(INDEX(Personnel[Vatandaslik],$K37),"")</f>
        <v>УЗБЕКИСТАН</v>
      </c>
      <c r="D37" s="18" t="str">
        <f>IFERROR(INDEX(Personnel[Santiye],$K37),"")</f>
        <v>GPP Proje</v>
      </c>
      <c r="E37" s="18" t="str">
        <f>IFERROR(INDEX(Personnel[Ogretmen],$K37),"")</f>
        <v>Валерия Алексеева</v>
      </c>
      <c r="F37" s="17" t="str">
        <f>IFERROR(INDEX(Personnel[[Sinav ]],$K37),"")</f>
        <v>-</v>
      </c>
      <c r="G37" s="17" t="str">
        <f>IFERROR(INDEX(Personnel[Egtim durumu],$K37),"")</f>
        <v>Egitime  devem eden</v>
      </c>
      <c r="H37" s="17" t="str">
        <f>IFERROR(INDEX(Personnel[Shohruh Not],$K37),"")</f>
        <v>-</v>
      </c>
      <c r="I37" s="18">
        <f ca="1">IFERROR(INDEX(Personnel[Дней в РФ],$K37),"")</f>
        <v>5</v>
      </c>
      <c r="K37" s="23">
        <f t="array" ref="K37">IFERROR(_xlfn.AGGREGATE(15,6,(ROW(Personnel[Egtim durumu])-MIN(ROW(Personnel[Egtim durumu]))+1)/((Personnel[Egtim durumu]="Egitime  devem eden")),ROWS($K$7:K37)),"")</f>
        <v>775</v>
      </c>
    </row>
    <row r="38" spans="1:11" x14ac:dyDescent="0.25">
      <c r="A38" s="36" t="str">
        <f>IFERROR(INDEX(Personnel[Sicil],$K38),"")</f>
        <v/>
      </c>
      <c r="B38" s="37" t="str">
        <f>IFERROR(INDEX(Personnel[Adi Soyadi],$K38),"")</f>
        <v/>
      </c>
      <c r="C38" s="36" t="str">
        <f>IFERROR(INDEX(Personnel[Vatandaslik],$K38),"")</f>
        <v/>
      </c>
      <c r="D38" s="36" t="str">
        <f>IFERROR(INDEX(Personnel[Santiye],$K38),"")</f>
        <v/>
      </c>
      <c r="E38" s="36" t="str">
        <f>IFERROR(INDEX(Personnel[Ogretmen],$K38),"")</f>
        <v/>
      </c>
      <c r="F38" s="37" t="str">
        <f>IFERROR(INDEX(Personnel[[Sinav ]],$K38),"")</f>
        <v/>
      </c>
      <c r="G38" s="37" t="str">
        <f>IFERROR(INDEX(Personnel[Egtim durumu],$K38),"")</f>
        <v/>
      </c>
      <c r="H38" s="37" t="str">
        <f>IFERROR(INDEX(Personnel[Shohruh Not],$K38),"")</f>
        <v/>
      </c>
      <c r="I38" s="36" t="str">
        <f>IFERROR(INDEX(Personnel[Дней в РФ],$K38),"")</f>
        <v/>
      </c>
      <c r="K38" s="23" t="str">
        <f t="array" ref="K38">IFERROR(_xlfn.AGGREGATE(15,6,(ROW(Personnel[Egtim durumu])-MIN(ROW(Personnel[Egtim durumu]))+1)/((Personnel[Egtim durumu]="Egitime  devem eden")),ROWS($K$7:K38)),"")</f>
        <v/>
      </c>
    </row>
    <row r="39" spans="1:11" x14ac:dyDescent="0.25">
      <c r="A39" s="18" t="str">
        <f>IFERROR(INDEX(Personnel[Sicil],$K39),"")</f>
        <v/>
      </c>
      <c r="B39" s="17" t="str">
        <f>IFERROR(INDEX(Personnel[Adi Soyadi],$K39),"")</f>
        <v/>
      </c>
      <c r="C39" s="18" t="str">
        <f>IFERROR(INDEX(Personnel[Vatandaslik],$K39),"")</f>
        <v/>
      </c>
      <c r="D39" s="18" t="str">
        <f>IFERROR(INDEX(Personnel[Santiye],$K39),"")</f>
        <v/>
      </c>
      <c r="E39" s="18" t="str">
        <f>IFERROR(INDEX(Personnel[Ogretmen],$K39),"")</f>
        <v/>
      </c>
      <c r="F39" s="17" t="str">
        <f>IFERROR(INDEX(Personnel[[Sinav ]],$K39),"")</f>
        <v/>
      </c>
      <c r="G39" s="17" t="str">
        <f>IFERROR(INDEX(Personnel[Egtim durumu],$K39),"")</f>
        <v/>
      </c>
      <c r="H39" s="17" t="str">
        <f>IFERROR(INDEX(Personnel[Shohruh Not],$K39),"")</f>
        <v/>
      </c>
      <c r="I39" s="18" t="str">
        <f>IFERROR(INDEX(Personnel[Дней в РФ],$K39),"")</f>
        <v/>
      </c>
      <c r="K39" s="23" t="str">
        <f t="array" ref="K39">IFERROR(_xlfn.AGGREGATE(15,6,(ROW(Personnel[Egtim durumu])-MIN(ROW(Personnel[Egtim durumu]))+1)/((Personnel[Egtim durumu]="Egitime  devem eden")),ROWS($K$7:K39)),"")</f>
        <v/>
      </c>
    </row>
    <row r="40" spans="1:11" x14ac:dyDescent="0.25">
      <c r="A40" s="36" t="str">
        <f>IFERROR(INDEX(Personnel[Sicil],$K40),"")</f>
        <v/>
      </c>
      <c r="B40" s="37" t="str">
        <f>IFERROR(INDEX(Personnel[Adi Soyadi],$K40),"")</f>
        <v/>
      </c>
      <c r="C40" s="36" t="str">
        <f>IFERROR(INDEX(Personnel[Vatandaslik],$K40),"")</f>
        <v/>
      </c>
      <c r="D40" s="36" t="str">
        <f>IFERROR(INDEX(Personnel[Santiye],$K40),"")</f>
        <v/>
      </c>
      <c r="E40" s="36" t="str">
        <f>IFERROR(INDEX(Personnel[Ogretmen],$K40),"")</f>
        <v/>
      </c>
      <c r="F40" s="37" t="str">
        <f>IFERROR(INDEX(Personnel[[Sinav ]],$K40),"")</f>
        <v/>
      </c>
      <c r="G40" s="37" t="str">
        <f>IFERROR(INDEX(Personnel[Egtim durumu],$K40),"")</f>
        <v/>
      </c>
      <c r="H40" s="37" t="str">
        <f>IFERROR(INDEX(Personnel[Shohruh Not],$K40),"")</f>
        <v/>
      </c>
      <c r="I40" s="36" t="str">
        <f>IFERROR(INDEX(Personnel[Дней в РФ],$K40),"")</f>
        <v/>
      </c>
      <c r="K40" s="23" t="str">
        <f t="array" ref="K40">IFERROR(_xlfn.AGGREGATE(15,6,(ROW(Personnel[Egtim durumu])-MIN(ROW(Personnel[Egtim durumu]))+1)/((Personnel[Egtim durumu]="Egitime  devem eden")),ROWS($K$7:K40)),"")</f>
        <v/>
      </c>
    </row>
    <row r="41" spans="1:11" x14ac:dyDescent="0.25">
      <c r="A41" s="18" t="str">
        <f>IFERROR(INDEX(Personnel[Sicil],$K41),"")</f>
        <v/>
      </c>
      <c r="B41" s="17" t="str">
        <f>IFERROR(INDEX(Personnel[Adi Soyadi],$K41),"")</f>
        <v/>
      </c>
      <c r="C41" s="18" t="str">
        <f>IFERROR(INDEX(Personnel[Vatandaslik],$K41),"")</f>
        <v/>
      </c>
      <c r="D41" s="18" t="str">
        <f>IFERROR(INDEX(Personnel[Santiye],$K41),"")</f>
        <v/>
      </c>
      <c r="E41" s="18" t="str">
        <f>IFERROR(INDEX(Personnel[Ogretmen],$K41),"")</f>
        <v/>
      </c>
      <c r="F41" s="17" t="str">
        <f>IFERROR(INDEX(Personnel[[Sinav ]],$K41),"")</f>
        <v/>
      </c>
      <c r="G41" s="17" t="str">
        <f>IFERROR(INDEX(Personnel[Egtim durumu],$K41),"")</f>
        <v/>
      </c>
      <c r="H41" s="17" t="str">
        <f>IFERROR(INDEX(Personnel[Shohruh Not],$K41),"")</f>
        <v/>
      </c>
      <c r="I41" s="18" t="str">
        <f>IFERROR(INDEX(Personnel[Дней в РФ],$K41),"")</f>
        <v/>
      </c>
      <c r="K41" s="23" t="str">
        <f t="array" ref="K41">IFERROR(_xlfn.AGGREGATE(15,6,(ROW(Personnel[Egtim durumu])-MIN(ROW(Personnel[Egtim durumu]))+1)/((Personnel[Egtim durumu]="Egitime  devem eden")),ROWS($K$7:K41)),"")</f>
        <v/>
      </c>
    </row>
    <row r="42" spans="1:11" x14ac:dyDescent="0.25">
      <c r="A42" s="36" t="str">
        <f>IFERROR(INDEX(Personnel[Sicil],$K42),"")</f>
        <v/>
      </c>
      <c r="B42" s="37" t="str">
        <f>IFERROR(INDEX(Personnel[Adi Soyadi],$K42),"")</f>
        <v/>
      </c>
      <c r="C42" s="36" t="str">
        <f>IFERROR(INDEX(Personnel[Vatandaslik],$K42),"")</f>
        <v/>
      </c>
      <c r="D42" s="36" t="str">
        <f>IFERROR(INDEX(Personnel[Santiye],$K42),"")</f>
        <v/>
      </c>
      <c r="E42" s="36" t="str">
        <f>IFERROR(INDEX(Personnel[Ogretmen],$K42),"")</f>
        <v/>
      </c>
      <c r="F42" s="37" t="str">
        <f>IFERROR(INDEX(Personnel[[Sinav ]],$K42),"")</f>
        <v/>
      </c>
      <c r="G42" s="37" t="str">
        <f>IFERROR(INDEX(Personnel[Egtim durumu],$K42),"")</f>
        <v/>
      </c>
      <c r="H42" s="37" t="str">
        <f>IFERROR(INDEX(Personnel[Shohruh Not],$K42),"")</f>
        <v/>
      </c>
      <c r="I42" s="36" t="str">
        <f>IFERROR(INDEX(Personnel[Дней в РФ],$K42),"")</f>
        <v/>
      </c>
      <c r="K42" s="23" t="str">
        <f t="array" ref="K42">IFERROR(_xlfn.AGGREGATE(15,6,(ROW(Personnel[Egtim durumu])-MIN(ROW(Personnel[Egtim durumu]))+1)/((Personnel[Egtim durumu]="Egitime  devem eden")),ROWS($K$7:K42)),"")</f>
        <v/>
      </c>
    </row>
    <row r="43" spans="1:11" x14ac:dyDescent="0.25">
      <c r="A43" s="18" t="str">
        <f>IFERROR(INDEX(Personnel[Sicil],$K43),"")</f>
        <v/>
      </c>
      <c r="B43" s="17" t="str">
        <f>IFERROR(INDEX(Personnel[Adi Soyadi],$K43),"")</f>
        <v/>
      </c>
      <c r="C43" s="18" t="str">
        <f>IFERROR(INDEX(Personnel[Vatandaslik],$K43),"")</f>
        <v/>
      </c>
      <c r="D43" s="18" t="str">
        <f>IFERROR(INDEX(Personnel[Santiye],$K43),"")</f>
        <v/>
      </c>
      <c r="E43" s="18" t="str">
        <f>IFERROR(INDEX(Personnel[Ogretmen],$K43),"")</f>
        <v/>
      </c>
      <c r="F43" s="17" t="str">
        <f>IFERROR(INDEX(Personnel[[Sinav ]],$K43),"")</f>
        <v/>
      </c>
      <c r="G43" s="17" t="str">
        <f>IFERROR(INDEX(Personnel[Egtim durumu],$K43),"")</f>
        <v/>
      </c>
      <c r="H43" s="17" t="str">
        <f>IFERROR(INDEX(Personnel[Shohruh Not],$K43),"")</f>
        <v/>
      </c>
      <c r="I43" s="18" t="str">
        <f>IFERROR(INDEX(Personnel[Дней в РФ],$K43),"")</f>
        <v/>
      </c>
      <c r="K43" s="23" t="str">
        <f t="array" ref="K43">IFERROR(_xlfn.AGGREGATE(15,6,(ROW(Personnel[Egtim durumu])-MIN(ROW(Personnel[Egtim durumu]))+1)/((Personnel[Egtim durumu]="Egitime  devem eden")),ROWS($K$7:K43)),"")</f>
        <v/>
      </c>
    </row>
    <row r="44" spans="1:11" x14ac:dyDescent="0.25">
      <c r="A44" s="36" t="str">
        <f>IFERROR(INDEX(Personnel[Sicil],$K44),"")</f>
        <v/>
      </c>
      <c r="B44" s="37" t="str">
        <f>IFERROR(INDEX(Personnel[Adi Soyadi],$K44),"")</f>
        <v/>
      </c>
      <c r="C44" s="36" t="str">
        <f>IFERROR(INDEX(Personnel[Vatandaslik],$K44),"")</f>
        <v/>
      </c>
      <c r="D44" s="36" t="str">
        <f>IFERROR(INDEX(Personnel[Santiye],$K44),"")</f>
        <v/>
      </c>
      <c r="E44" s="36" t="str">
        <f>IFERROR(INDEX(Personnel[Ogretmen],$K44),"")</f>
        <v/>
      </c>
      <c r="F44" s="37" t="str">
        <f>IFERROR(INDEX(Personnel[[Sinav ]],$K44),"")</f>
        <v/>
      </c>
      <c r="G44" s="37" t="str">
        <f>IFERROR(INDEX(Personnel[Egtim durumu],$K44),"")</f>
        <v/>
      </c>
      <c r="H44" s="37" t="str">
        <f>IFERROR(INDEX(Personnel[Shohruh Not],$K44),"")</f>
        <v/>
      </c>
      <c r="I44" s="36" t="str">
        <f>IFERROR(INDEX(Personnel[Дней в РФ],$K44),"")</f>
        <v/>
      </c>
      <c r="K44" s="23" t="str">
        <f t="array" ref="K44">IFERROR(_xlfn.AGGREGATE(15,6,(ROW(Personnel[Egtim durumu])-MIN(ROW(Personnel[Egtim durumu]))+1)/((Personnel[Egtim durumu]="Egitime  devem eden")),ROWS($K$7:K44)),"")</f>
        <v/>
      </c>
    </row>
    <row r="45" spans="1:11" x14ac:dyDescent="0.25">
      <c r="A45" s="18" t="str">
        <f>IFERROR(INDEX(Personnel[Sicil],$K45),"")</f>
        <v/>
      </c>
      <c r="B45" s="17" t="str">
        <f>IFERROR(INDEX(Personnel[Adi Soyadi],$K45),"")</f>
        <v/>
      </c>
      <c r="C45" s="18" t="str">
        <f>IFERROR(INDEX(Personnel[Vatandaslik],$K45),"")</f>
        <v/>
      </c>
      <c r="D45" s="18" t="str">
        <f>IFERROR(INDEX(Personnel[Santiye],$K45),"")</f>
        <v/>
      </c>
      <c r="E45" s="18" t="str">
        <f>IFERROR(INDEX(Personnel[Ogretmen],$K45),"")</f>
        <v/>
      </c>
      <c r="F45" s="17" t="str">
        <f>IFERROR(INDEX(Personnel[[Sinav ]],$K45),"")</f>
        <v/>
      </c>
      <c r="G45" s="17" t="str">
        <f>IFERROR(INDEX(Personnel[Egtim durumu],$K45),"")</f>
        <v/>
      </c>
      <c r="H45" s="17" t="str">
        <f>IFERROR(INDEX(Personnel[Shohruh Not],$K45),"")</f>
        <v/>
      </c>
      <c r="I45" s="18" t="str">
        <f>IFERROR(INDEX(Personnel[Дней в РФ],$K45),"")</f>
        <v/>
      </c>
      <c r="K45" s="23" t="str">
        <f t="array" ref="K45">IFERROR(_xlfn.AGGREGATE(15,6,(ROW(Personnel[Egtim durumu])-MIN(ROW(Personnel[Egtim durumu]))+1)/((Personnel[Egtim durumu]="Egitime  devem eden")),ROWS($K$7:K45)),"")</f>
        <v/>
      </c>
    </row>
    <row r="46" spans="1:11" x14ac:dyDescent="0.25">
      <c r="A46" s="36" t="str">
        <f>IFERROR(INDEX(Personnel[Sicil],$K46),"")</f>
        <v/>
      </c>
      <c r="B46" s="37" t="str">
        <f>IFERROR(INDEX(Personnel[Adi Soyadi],$K46),"")</f>
        <v/>
      </c>
      <c r="C46" s="36" t="str">
        <f>IFERROR(INDEX(Personnel[Vatandaslik],$K46),"")</f>
        <v/>
      </c>
      <c r="D46" s="36" t="str">
        <f>IFERROR(INDEX(Personnel[Santiye],$K46),"")</f>
        <v/>
      </c>
      <c r="E46" s="36" t="str">
        <f>IFERROR(INDEX(Personnel[Ogretmen],$K46),"")</f>
        <v/>
      </c>
      <c r="F46" s="37" t="str">
        <f>IFERROR(INDEX(Personnel[[Sinav ]],$K46),"")</f>
        <v/>
      </c>
      <c r="G46" s="37" t="str">
        <f>IFERROR(INDEX(Personnel[Egtim durumu],$K46),"")</f>
        <v/>
      </c>
      <c r="H46" s="37" t="str">
        <f>IFERROR(INDEX(Personnel[Shohruh Not],$K46),"")</f>
        <v/>
      </c>
      <c r="I46" s="36" t="str">
        <f>IFERROR(INDEX(Personnel[Дней в РФ],$K46),"")</f>
        <v/>
      </c>
      <c r="K46" s="23" t="str">
        <f t="array" ref="K46">IFERROR(_xlfn.AGGREGATE(15,6,(ROW(Personnel[Egtim durumu])-MIN(ROW(Personnel[Egtim durumu]))+1)/((Personnel[Egtim durumu]="Egitime  devem eden")),ROWS($K$7:K46)),"")</f>
        <v/>
      </c>
    </row>
    <row r="47" spans="1:11" x14ac:dyDescent="0.25">
      <c r="A47" s="18" t="str">
        <f>IFERROR(INDEX(Personnel[Sicil],$K47),"")</f>
        <v/>
      </c>
      <c r="B47" s="17" t="str">
        <f>IFERROR(INDEX(Personnel[Adi Soyadi],$K47),"")</f>
        <v/>
      </c>
      <c r="C47" s="18" t="str">
        <f>IFERROR(INDEX(Personnel[Vatandaslik],$K47),"")</f>
        <v/>
      </c>
      <c r="D47" s="18" t="str">
        <f>IFERROR(INDEX(Personnel[Santiye],$K47),"")</f>
        <v/>
      </c>
      <c r="E47" s="18" t="str">
        <f>IFERROR(INDEX(Personnel[Ogretmen],$K47),"")</f>
        <v/>
      </c>
      <c r="F47" s="17" t="str">
        <f>IFERROR(INDEX(Personnel[[Sinav ]],$K47),"")</f>
        <v/>
      </c>
      <c r="G47" s="17" t="str">
        <f>IFERROR(INDEX(Personnel[Egtim durumu],$K47),"")</f>
        <v/>
      </c>
      <c r="H47" s="17" t="str">
        <f>IFERROR(INDEX(Personnel[Shohruh Not],$K47),"")</f>
        <v/>
      </c>
      <c r="I47" s="18" t="str">
        <f>IFERROR(INDEX(Personnel[Дней в РФ],$K47),"")</f>
        <v/>
      </c>
      <c r="K47" s="23" t="str">
        <f t="array" ref="K47">IFERROR(_xlfn.AGGREGATE(15,6,(ROW(Personnel[Egtim durumu])-MIN(ROW(Personnel[Egtim durumu]))+1)/((Personnel[Egtim durumu]="Egitime  devem eden")),ROWS($K$7:K47)),"")</f>
        <v/>
      </c>
    </row>
    <row r="48" spans="1:11" x14ac:dyDescent="0.25">
      <c r="A48" s="36" t="str">
        <f>IFERROR(INDEX(Personnel[Sicil],$K48),"")</f>
        <v/>
      </c>
      <c r="B48" s="37" t="str">
        <f>IFERROR(INDEX(Personnel[Adi Soyadi],$K48),"")</f>
        <v/>
      </c>
      <c r="C48" s="36" t="str">
        <f>IFERROR(INDEX(Personnel[Vatandaslik],$K48),"")</f>
        <v/>
      </c>
      <c r="D48" s="36" t="str">
        <f>IFERROR(INDEX(Personnel[Santiye],$K48),"")</f>
        <v/>
      </c>
      <c r="E48" s="36" t="str">
        <f>IFERROR(INDEX(Personnel[Ogretmen],$K48),"")</f>
        <v/>
      </c>
      <c r="F48" s="37" t="str">
        <f>IFERROR(INDEX(Personnel[[Sinav ]],$K48),"")</f>
        <v/>
      </c>
      <c r="G48" s="37" t="str">
        <f>IFERROR(INDEX(Personnel[Egtim durumu],$K48),"")</f>
        <v/>
      </c>
      <c r="H48" s="37" t="str">
        <f>IFERROR(INDEX(Personnel[Shohruh Not],$K48),"")</f>
        <v/>
      </c>
      <c r="I48" s="36" t="str">
        <f>IFERROR(INDEX(Personnel[Дней в РФ],$K48),"")</f>
        <v/>
      </c>
      <c r="K48" s="23" t="str">
        <f t="array" ref="K48">IFERROR(_xlfn.AGGREGATE(15,6,(ROW(Personnel[Egtim durumu])-MIN(ROW(Personnel[Egtim durumu]))+1)/((Personnel[Egtim durumu]="Egitime  devem eden")),ROWS($K$7:K48)),"")</f>
        <v/>
      </c>
    </row>
    <row r="49" spans="1:11" x14ac:dyDescent="0.25">
      <c r="A49" s="18" t="str">
        <f>IFERROR(INDEX(Personnel[Sicil],$K49),"")</f>
        <v/>
      </c>
      <c r="B49" s="17" t="str">
        <f>IFERROR(INDEX(Personnel[Adi Soyadi],$K49),"")</f>
        <v/>
      </c>
      <c r="C49" s="18" t="str">
        <f>IFERROR(INDEX(Personnel[Vatandaslik],$K49),"")</f>
        <v/>
      </c>
      <c r="D49" s="18" t="str">
        <f>IFERROR(INDEX(Personnel[Santiye],$K49),"")</f>
        <v/>
      </c>
      <c r="E49" s="18" t="str">
        <f>IFERROR(INDEX(Personnel[Ogretmen],$K49),"")</f>
        <v/>
      </c>
      <c r="F49" s="17" t="str">
        <f>IFERROR(INDEX(Personnel[[Sinav ]],$K49),"")</f>
        <v/>
      </c>
      <c r="G49" s="17" t="str">
        <f>IFERROR(INDEX(Personnel[Egtim durumu],$K49),"")</f>
        <v/>
      </c>
      <c r="H49" s="17" t="str">
        <f>IFERROR(INDEX(Personnel[Shohruh Not],$K49),"")</f>
        <v/>
      </c>
      <c r="I49" s="18" t="str">
        <f>IFERROR(INDEX(Personnel[Дней в РФ],$K49),"")</f>
        <v/>
      </c>
      <c r="K49" s="23" t="str">
        <f t="array" ref="K49">IFERROR(_xlfn.AGGREGATE(15,6,(ROW(Personnel[Egtim durumu])-MIN(ROW(Personnel[Egtim durumu]))+1)/((Personnel[Egtim durumu]="Egitime  devem eden")),ROWS($K$7:K49)),"")</f>
        <v/>
      </c>
    </row>
    <row r="50" spans="1:11" x14ac:dyDescent="0.25">
      <c r="A50" s="36" t="str">
        <f>IFERROR(INDEX(Personnel[Sicil],$K50),"")</f>
        <v/>
      </c>
      <c r="B50" s="37" t="str">
        <f>IFERROR(INDEX(Personnel[Adi Soyadi],$K50),"")</f>
        <v/>
      </c>
      <c r="C50" s="36" t="str">
        <f>IFERROR(INDEX(Personnel[Vatandaslik],$K50),"")</f>
        <v/>
      </c>
      <c r="D50" s="36" t="str">
        <f>IFERROR(INDEX(Personnel[Santiye],$K50),"")</f>
        <v/>
      </c>
      <c r="E50" s="36" t="str">
        <f>IFERROR(INDEX(Personnel[Ogretmen],$K50),"")</f>
        <v/>
      </c>
      <c r="F50" s="37" t="str">
        <f>IFERROR(INDEX(Personnel[[Sinav ]],$K50),"")</f>
        <v/>
      </c>
      <c r="G50" s="37" t="str">
        <f>IFERROR(INDEX(Personnel[Egtim durumu],$K50),"")</f>
        <v/>
      </c>
      <c r="H50" s="37" t="str">
        <f>IFERROR(INDEX(Personnel[Shohruh Not],$K50),"")</f>
        <v/>
      </c>
      <c r="I50" s="36" t="str">
        <f>IFERROR(INDEX(Personnel[Дней в РФ],$K50),"")</f>
        <v/>
      </c>
      <c r="K50" s="23" t="str">
        <f t="array" ref="K50">IFERROR(_xlfn.AGGREGATE(15,6,(ROW(Personnel[Egtim durumu])-MIN(ROW(Personnel[Egtim durumu]))+1)/((Personnel[Egtim durumu]="Egitime  devem eden")),ROWS($K$7:K50)),"")</f>
        <v/>
      </c>
    </row>
    <row r="51" spans="1:11" x14ac:dyDescent="0.25">
      <c r="A51" s="18" t="str">
        <f>IFERROR(INDEX(Personnel[Sicil],$K51),"")</f>
        <v/>
      </c>
      <c r="B51" s="17" t="str">
        <f>IFERROR(INDEX(Personnel[Adi Soyadi],$K51),"")</f>
        <v/>
      </c>
      <c r="C51" s="18" t="str">
        <f>IFERROR(INDEX(Personnel[Vatandaslik],$K51),"")</f>
        <v/>
      </c>
      <c r="D51" s="18" t="str">
        <f>IFERROR(INDEX(Personnel[Santiye],$K51),"")</f>
        <v/>
      </c>
      <c r="E51" s="18" t="str">
        <f>IFERROR(INDEX(Personnel[Ogretmen],$K51),"")</f>
        <v/>
      </c>
      <c r="F51" s="17" t="str">
        <f>IFERROR(INDEX(Personnel[[Sinav ]],$K51),"")</f>
        <v/>
      </c>
      <c r="G51" s="17" t="str">
        <f>IFERROR(INDEX(Personnel[Egtim durumu],$K51),"")</f>
        <v/>
      </c>
      <c r="H51" s="17" t="str">
        <f>IFERROR(INDEX(Personnel[Shohruh Not],$K51),"")</f>
        <v/>
      </c>
      <c r="I51" s="18" t="str">
        <f>IFERROR(INDEX(Personnel[Дней в РФ],$K51),"")</f>
        <v/>
      </c>
      <c r="K51" s="23" t="str">
        <f t="array" ref="K51">IFERROR(_xlfn.AGGREGATE(15,6,(ROW(Personnel[Egtim durumu])-MIN(ROW(Personnel[Egtim durumu]))+1)/((Personnel[Egtim durumu]="Egitime  devem eden")),ROWS($K$7:K51)),"")</f>
        <v/>
      </c>
    </row>
    <row r="52" spans="1:11" x14ac:dyDescent="0.25">
      <c r="A52" s="36" t="str">
        <f>IFERROR(INDEX(Personnel[Sicil],$K52),"")</f>
        <v/>
      </c>
      <c r="B52" s="37" t="str">
        <f>IFERROR(INDEX(Personnel[Adi Soyadi],$K52),"")</f>
        <v/>
      </c>
      <c r="C52" s="36" t="str">
        <f>IFERROR(INDEX(Personnel[Vatandaslik],$K52),"")</f>
        <v/>
      </c>
      <c r="D52" s="36" t="str">
        <f>IFERROR(INDEX(Personnel[Santiye],$K52),"")</f>
        <v/>
      </c>
      <c r="E52" s="36" t="str">
        <f>IFERROR(INDEX(Personnel[Ogretmen],$K52),"")</f>
        <v/>
      </c>
      <c r="F52" s="37" t="str">
        <f>IFERROR(INDEX(Personnel[[Sinav ]],$K52),"")</f>
        <v/>
      </c>
      <c r="G52" s="37" t="str">
        <f>IFERROR(INDEX(Personnel[Egtim durumu],$K52),"")</f>
        <v/>
      </c>
      <c r="H52" s="37" t="str">
        <f>IFERROR(INDEX(Personnel[Shohruh Not],$K52),"")</f>
        <v/>
      </c>
      <c r="I52" s="36" t="str">
        <f>IFERROR(INDEX(Personnel[Дней в РФ],$K52),"")</f>
        <v/>
      </c>
      <c r="K52" s="23" t="str">
        <f t="array" ref="K52">IFERROR(_xlfn.AGGREGATE(15,6,(ROW(Personnel[Egtim durumu])-MIN(ROW(Personnel[Egtim durumu]))+1)/((Personnel[Egtim durumu]="Egitime  devem eden")),ROWS($K$7:K52)),"")</f>
        <v/>
      </c>
    </row>
    <row r="53" spans="1:11" x14ac:dyDescent="0.25">
      <c r="A53" s="18" t="str">
        <f>IFERROR(INDEX(Personnel[Sicil],$K53),"")</f>
        <v/>
      </c>
      <c r="B53" s="17" t="str">
        <f>IFERROR(INDEX(Personnel[Adi Soyadi],$K53),"")</f>
        <v/>
      </c>
      <c r="C53" s="18" t="str">
        <f>IFERROR(INDEX(Personnel[Vatandaslik],$K53),"")</f>
        <v/>
      </c>
      <c r="D53" s="18" t="str">
        <f>IFERROR(INDEX(Personnel[Santiye],$K53),"")</f>
        <v/>
      </c>
      <c r="E53" s="18" t="str">
        <f>IFERROR(INDEX(Personnel[Ogretmen],$K53),"")</f>
        <v/>
      </c>
      <c r="F53" s="17" t="str">
        <f>IFERROR(INDEX(Personnel[[Sinav ]],$K53),"")</f>
        <v/>
      </c>
      <c r="G53" s="17" t="str">
        <f>IFERROR(INDEX(Personnel[Egtim durumu],$K53),"")</f>
        <v/>
      </c>
      <c r="H53" s="17" t="str">
        <f>IFERROR(INDEX(Personnel[Shohruh Not],$K53),"")</f>
        <v/>
      </c>
      <c r="I53" s="18" t="str">
        <f>IFERROR(INDEX(Personnel[Дней в РФ],$K53),"")</f>
        <v/>
      </c>
      <c r="K53" s="23" t="str">
        <f t="array" ref="K53">IFERROR(_xlfn.AGGREGATE(15,6,(ROW(Personnel[Egtim durumu])-MIN(ROW(Personnel[Egtim durumu]))+1)/((Personnel[Egtim durumu]="Egitime  devem eden")),ROWS($K$7:K53)),"")</f>
        <v/>
      </c>
    </row>
    <row r="54" spans="1:11" x14ac:dyDescent="0.25">
      <c r="A54" s="36" t="str">
        <f>IFERROR(INDEX(Personnel[Sicil],$K54),"")</f>
        <v/>
      </c>
      <c r="B54" s="37" t="str">
        <f>IFERROR(INDEX(Personnel[Adi Soyadi],$K54),"")</f>
        <v/>
      </c>
      <c r="C54" s="36" t="str">
        <f>IFERROR(INDEX(Personnel[Vatandaslik],$K54),"")</f>
        <v/>
      </c>
      <c r="D54" s="36" t="str">
        <f>IFERROR(INDEX(Personnel[Santiye],$K54),"")</f>
        <v/>
      </c>
      <c r="E54" s="36" t="str">
        <f>IFERROR(INDEX(Personnel[Ogretmen],$K54),"")</f>
        <v/>
      </c>
      <c r="F54" s="37" t="str">
        <f>IFERROR(INDEX(Personnel[[Sinav ]],$K54),"")</f>
        <v/>
      </c>
      <c r="G54" s="37" t="str">
        <f>IFERROR(INDEX(Personnel[Egtim durumu],$K54),"")</f>
        <v/>
      </c>
      <c r="H54" s="37" t="str">
        <f>IFERROR(INDEX(Personnel[Shohruh Not],$K54),"")</f>
        <v/>
      </c>
      <c r="I54" s="36" t="str">
        <f>IFERROR(INDEX(Personnel[Дней в РФ],$K54),"")</f>
        <v/>
      </c>
      <c r="K54" s="23" t="str">
        <f t="array" ref="K54">IFERROR(_xlfn.AGGREGATE(15,6,(ROW(Personnel[Egtim durumu])-MIN(ROW(Personnel[Egtim durumu]))+1)/((Personnel[Egtim durumu]="Egitime  devem eden")),ROWS($K$7:K54)),"")</f>
        <v/>
      </c>
    </row>
    <row r="55" spans="1:11" x14ac:dyDescent="0.25">
      <c r="A55" s="18" t="str">
        <f>IFERROR(INDEX(Personnel[Sicil],$K55),"")</f>
        <v/>
      </c>
      <c r="B55" s="17" t="str">
        <f>IFERROR(INDEX(Personnel[Adi Soyadi],$K55),"")</f>
        <v/>
      </c>
      <c r="C55" s="18" t="str">
        <f>IFERROR(INDEX(Personnel[Vatandaslik],$K55),"")</f>
        <v/>
      </c>
      <c r="D55" s="18" t="str">
        <f>IFERROR(INDEX(Personnel[Santiye],$K55),"")</f>
        <v/>
      </c>
      <c r="E55" s="18" t="str">
        <f>IFERROR(INDEX(Personnel[Ogretmen],$K55),"")</f>
        <v/>
      </c>
      <c r="F55" s="17" t="str">
        <f>IFERROR(INDEX(Personnel[[Sinav ]],$K55),"")</f>
        <v/>
      </c>
      <c r="G55" s="17" t="str">
        <f>IFERROR(INDEX(Personnel[Egtim durumu],$K55),"")</f>
        <v/>
      </c>
      <c r="H55" s="17" t="str">
        <f>IFERROR(INDEX(Personnel[Shohruh Not],$K55),"")</f>
        <v/>
      </c>
      <c r="I55" s="18" t="str">
        <f>IFERROR(INDEX(Personnel[Дней в РФ],$K55),"")</f>
        <v/>
      </c>
      <c r="K55" s="23" t="str">
        <f t="array" ref="K55">IFERROR(_xlfn.AGGREGATE(15,6,(ROW(Personnel[Egtim durumu])-MIN(ROW(Personnel[Egtim durumu]))+1)/((Personnel[Egtim durumu]="Egitime  devem eden")),ROWS($K$7:K55)),"")</f>
        <v/>
      </c>
    </row>
    <row r="56" spans="1:11" x14ac:dyDescent="0.25">
      <c r="A56" s="36" t="str">
        <f>IFERROR(INDEX(Personnel[Sicil],$K56),"")</f>
        <v/>
      </c>
      <c r="B56" s="37" t="str">
        <f>IFERROR(INDEX(Personnel[Adi Soyadi],$K56),"")</f>
        <v/>
      </c>
      <c r="C56" s="36" t="str">
        <f>IFERROR(INDEX(Personnel[Vatandaslik],$K56),"")</f>
        <v/>
      </c>
      <c r="D56" s="36" t="str">
        <f>IFERROR(INDEX(Personnel[Santiye],$K56),"")</f>
        <v/>
      </c>
      <c r="E56" s="36" t="str">
        <f>IFERROR(INDEX(Personnel[Ogretmen],$K56),"")</f>
        <v/>
      </c>
      <c r="F56" s="37" t="str">
        <f>IFERROR(INDEX(Personnel[[Sinav ]],$K56),"")</f>
        <v/>
      </c>
      <c r="G56" s="37" t="str">
        <f>IFERROR(INDEX(Personnel[Egtim durumu],$K56),"")</f>
        <v/>
      </c>
      <c r="H56" s="37" t="str">
        <f>IFERROR(INDEX(Personnel[Shohruh Not],$K56),"")</f>
        <v/>
      </c>
      <c r="I56" s="36" t="str">
        <f>IFERROR(INDEX(Personnel[Дней в РФ],$K56),"")</f>
        <v/>
      </c>
      <c r="K56" s="23" t="str">
        <f t="array" ref="K56">IFERROR(_xlfn.AGGREGATE(15,6,(ROW(Personnel[Egtim durumu])-MIN(ROW(Personnel[Egtim durumu]))+1)/((Personnel[Egtim durumu]="Egitime  devem eden")),ROWS($K$7:K56)),"")</f>
        <v/>
      </c>
    </row>
    <row r="57" spans="1:11" x14ac:dyDescent="0.25">
      <c r="A57" s="18" t="str">
        <f>IFERROR(INDEX(Personnel[Sicil],$K57),"")</f>
        <v/>
      </c>
      <c r="B57" s="17" t="str">
        <f>IFERROR(INDEX(Personnel[Adi Soyadi],$K57),"")</f>
        <v/>
      </c>
      <c r="C57" s="18" t="str">
        <f>IFERROR(INDEX(Personnel[Vatandaslik],$K57),"")</f>
        <v/>
      </c>
      <c r="D57" s="18" t="str">
        <f>IFERROR(INDEX(Personnel[Santiye],$K57),"")</f>
        <v/>
      </c>
      <c r="E57" s="18" t="str">
        <f>IFERROR(INDEX(Personnel[Ogretmen],$K57),"")</f>
        <v/>
      </c>
      <c r="F57" s="17" t="str">
        <f>IFERROR(INDEX(Personnel[[Sinav ]],$K57),"")</f>
        <v/>
      </c>
      <c r="G57" s="17" t="str">
        <f>IFERROR(INDEX(Personnel[Egtim durumu],$K57),"")</f>
        <v/>
      </c>
      <c r="H57" s="17" t="str">
        <f>IFERROR(INDEX(Personnel[Shohruh Not],$K57),"")</f>
        <v/>
      </c>
      <c r="I57" s="18" t="str">
        <f>IFERROR(INDEX(Personnel[Дней в РФ],$K57),"")</f>
        <v/>
      </c>
      <c r="K57" s="23" t="str">
        <f t="array" ref="K57">IFERROR(_xlfn.AGGREGATE(15,6,(ROW(Personnel[Egtim durumu])-MIN(ROW(Personnel[Egtim durumu]))+1)/((Personnel[Egtim durumu]="Egitime  devem eden")),ROWS($K$7:K57)),"")</f>
        <v/>
      </c>
    </row>
    <row r="58" spans="1:11" x14ac:dyDescent="0.25">
      <c r="A58" s="36" t="str">
        <f>IFERROR(INDEX(Personnel[Sicil],$K58),"")</f>
        <v/>
      </c>
      <c r="B58" s="37" t="str">
        <f>IFERROR(INDEX(Personnel[Adi Soyadi],$K58),"")</f>
        <v/>
      </c>
      <c r="C58" s="36" t="str">
        <f>IFERROR(INDEX(Personnel[Vatandaslik],$K58),"")</f>
        <v/>
      </c>
      <c r="D58" s="36" t="str">
        <f>IFERROR(INDEX(Personnel[Santiye],$K58),"")</f>
        <v/>
      </c>
      <c r="E58" s="36" t="str">
        <f>IFERROR(INDEX(Personnel[Ogretmen],$K58),"")</f>
        <v/>
      </c>
      <c r="F58" s="37" t="str">
        <f>IFERROR(INDEX(Personnel[[Sinav ]],$K58),"")</f>
        <v/>
      </c>
      <c r="G58" s="37" t="str">
        <f>IFERROR(INDEX(Personnel[Egtim durumu],$K58),"")</f>
        <v/>
      </c>
      <c r="H58" s="37" t="str">
        <f>IFERROR(INDEX(Personnel[Shohruh Not],$K58),"")</f>
        <v/>
      </c>
      <c r="I58" s="36" t="str">
        <f>IFERROR(INDEX(Personnel[Дней в РФ],$K58),"")</f>
        <v/>
      </c>
      <c r="K58" s="23" t="str">
        <f t="array" ref="K58">IFERROR(_xlfn.AGGREGATE(15,6,(ROW(Personnel[Egtim durumu])-MIN(ROW(Personnel[Egtim durumu]))+1)/((Personnel[Egtim durumu]="Egitime  devem eden")),ROWS($K$7:K58)),"")</f>
        <v/>
      </c>
    </row>
    <row r="59" spans="1:11" x14ac:dyDescent="0.25">
      <c r="A59" s="18" t="str">
        <f>IFERROR(INDEX(Personnel[Sicil],$K59),"")</f>
        <v/>
      </c>
      <c r="B59" s="17" t="str">
        <f>IFERROR(INDEX(Personnel[Adi Soyadi],$K59),"")</f>
        <v/>
      </c>
      <c r="C59" s="18" t="str">
        <f>IFERROR(INDEX(Personnel[Vatandaslik],$K59),"")</f>
        <v/>
      </c>
      <c r="D59" s="18" t="str">
        <f>IFERROR(INDEX(Personnel[Santiye],$K59),"")</f>
        <v/>
      </c>
      <c r="E59" s="18" t="str">
        <f>IFERROR(INDEX(Personnel[Ogretmen],$K59),"")</f>
        <v/>
      </c>
      <c r="F59" s="17" t="str">
        <f>IFERROR(INDEX(Personnel[[Sinav ]],$K59),"")</f>
        <v/>
      </c>
      <c r="G59" s="17" t="str">
        <f>IFERROR(INDEX(Personnel[Egtim durumu],$K59),"")</f>
        <v/>
      </c>
      <c r="H59" s="17" t="str">
        <f>IFERROR(INDEX(Personnel[Shohruh Not],$K59),"")</f>
        <v/>
      </c>
      <c r="I59" s="18" t="str">
        <f>IFERROR(INDEX(Personnel[Дней в РФ],$K59),"")</f>
        <v/>
      </c>
      <c r="K59" s="23" t="str">
        <f t="array" ref="K59">IFERROR(_xlfn.AGGREGATE(15,6,(ROW(Personnel[Egtim durumu])-MIN(ROW(Personnel[Egtim durumu]))+1)/((Personnel[Egtim durumu]="Egitime  devem eden")),ROWS($K$7:K59)),"")</f>
        <v/>
      </c>
    </row>
    <row r="60" spans="1:11" x14ac:dyDescent="0.25">
      <c r="A60" s="36" t="str">
        <f>IFERROR(INDEX(Personnel[Sicil],$K60),"")</f>
        <v/>
      </c>
      <c r="B60" s="37" t="str">
        <f>IFERROR(INDEX(Personnel[Adi Soyadi],$K60),"")</f>
        <v/>
      </c>
      <c r="C60" s="36" t="str">
        <f>IFERROR(INDEX(Personnel[Vatandaslik],$K60),"")</f>
        <v/>
      </c>
      <c r="D60" s="36" t="str">
        <f>IFERROR(INDEX(Personnel[Santiye],$K60),"")</f>
        <v/>
      </c>
      <c r="E60" s="36" t="str">
        <f>IFERROR(INDEX(Personnel[Ogretmen],$K60),"")</f>
        <v/>
      </c>
      <c r="F60" s="37" t="str">
        <f>IFERROR(INDEX(Personnel[[Sinav ]],$K60),"")</f>
        <v/>
      </c>
      <c r="G60" s="37" t="str">
        <f>IFERROR(INDEX(Personnel[Egtim durumu],$K60),"")</f>
        <v/>
      </c>
      <c r="H60" s="37" t="str">
        <f>IFERROR(INDEX(Personnel[Shohruh Not],$K60),"")</f>
        <v/>
      </c>
      <c r="I60" s="36" t="str">
        <f>IFERROR(INDEX(Personnel[Дней в РФ],$K60),"")</f>
        <v/>
      </c>
      <c r="K60" s="23" t="str">
        <f t="array" ref="K60">IFERROR(_xlfn.AGGREGATE(15,6,(ROW(Personnel[Egtim durumu])-MIN(ROW(Personnel[Egtim durumu]))+1)/((Personnel[Egtim durumu]="Egitime  devem eden")),ROWS($K$7:K60)),"")</f>
        <v/>
      </c>
    </row>
    <row r="61" spans="1:11" x14ac:dyDescent="0.25">
      <c r="A61" s="18" t="str">
        <f>IFERROR(INDEX(Personnel[Sicil],$K61),"")</f>
        <v/>
      </c>
      <c r="B61" s="17" t="str">
        <f>IFERROR(INDEX(Personnel[Adi Soyadi],$K61),"")</f>
        <v/>
      </c>
      <c r="C61" s="18" t="str">
        <f>IFERROR(INDEX(Personnel[Vatandaslik],$K61),"")</f>
        <v/>
      </c>
      <c r="D61" s="18" t="str">
        <f>IFERROR(INDEX(Personnel[Santiye],$K61),"")</f>
        <v/>
      </c>
      <c r="E61" s="18" t="str">
        <f>IFERROR(INDEX(Personnel[Ogretmen],$K61),"")</f>
        <v/>
      </c>
      <c r="F61" s="17" t="str">
        <f>IFERROR(INDEX(Personnel[[Sinav ]],$K61),"")</f>
        <v/>
      </c>
      <c r="G61" s="17" t="str">
        <f>IFERROR(INDEX(Personnel[Egtim durumu],$K61),"")</f>
        <v/>
      </c>
      <c r="H61" s="17" t="str">
        <f>IFERROR(INDEX(Personnel[Shohruh Not],$K61),"")</f>
        <v/>
      </c>
      <c r="I61" s="18" t="str">
        <f>IFERROR(INDEX(Personnel[Дней в РФ],$K61),"")</f>
        <v/>
      </c>
      <c r="K61" s="23" t="str">
        <f t="array" ref="K61">IFERROR(_xlfn.AGGREGATE(15,6,(ROW(Personnel[Egtim durumu])-MIN(ROW(Personnel[Egtim durumu]))+1)/((Personnel[Egtim durumu]="Egitime  devem eden")),ROWS($K$7:K61)),"")</f>
        <v/>
      </c>
    </row>
    <row r="62" spans="1:11" x14ac:dyDescent="0.25">
      <c r="A62" s="36" t="str">
        <f>IFERROR(INDEX(Personnel[Sicil],$K62),"")</f>
        <v/>
      </c>
      <c r="B62" s="37" t="str">
        <f>IFERROR(INDEX(Personnel[Adi Soyadi],$K62),"")</f>
        <v/>
      </c>
      <c r="C62" s="36" t="str">
        <f>IFERROR(INDEX(Personnel[Vatandaslik],$K62),"")</f>
        <v/>
      </c>
      <c r="D62" s="36" t="str">
        <f>IFERROR(INDEX(Personnel[Santiye],$K62),"")</f>
        <v/>
      </c>
      <c r="E62" s="36" t="str">
        <f>IFERROR(INDEX(Personnel[Ogretmen],$K62),"")</f>
        <v/>
      </c>
      <c r="F62" s="37" t="str">
        <f>IFERROR(INDEX(Personnel[[Sinav ]],$K62),"")</f>
        <v/>
      </c>
      <c r="G62" s="37" t="str">
        <f>IFERROR(INDEX(Personnel[Egtim durumu],$K62),"")</f>
        <v/>
      </c>
      <c r="H62" s="37" t="str">
        <f>IFERROR(INDEX(Personnel[Shohruh Not],$K62),"")</f>
        <v/>
      </c>
      <c r="I62" s="36" t="str">
        <f>IFERROR(INDEX(Personnel[Дней в РФ],$K62),"")</f>
        <v/>
      </c>
      <c r="K62" s="23" t="str">
        <f t="array" ref="K62">IFERROR(_xlfn.AGGREGATE(15,6,(ROW(Personnel[Egtim durumu])-MIN(ROW(Personnel[Egtim durumu]))+1)/((Personnel[Egtim durumu]="Egitime  devem eden")),ROWS($K$7:K62)),"")</f>
        <v/>
      </c>
    </row>
    <row r="63" spans="1:11" x14ac:dyDescent="0.25">
      <c r="A63" s="18" t="str">
        <f>IFERROR(INDEX(Personnel[Sicil],$K63),"")</f>
        <v/>
      </c>
      <c r="B63" s="17" t="str">
        <f>IFERROR(INDEX(Personnel[Adi Soyadi],$K63),"")</f>
        <v/>
      </c>
      <c r="C63" s="18" t="str">
        <f>IFERROR(INDEX(Personnel[Vatandaslik],$K63),"")</f>
        <v/>
      </c>
      <c r="D63" s="18" t="str">
        <f>IFERROR(INDEX(Personnel[Santiye],$K63),"")</f>
        <v/>
      </c>
      <c r="E63" s="18" t="str">
        <f>IFERROR(INDEX(Personnel[Ogretmen],$K63),"")</f>
        <v/>
      </c>
      <c r="F63" s="17" t="str">
        <f>IFERROR(INDEX(Personnel[[Sinav ]],$K63),"")</f>
        <v/>
      </c>
      <c r="G63" s="17" t="str">
        <f>IFERROR(INDEX(Personnel[Egtim durumu],$K63),"")</f>
        <v/>
      </c>
      <c r="H63" s="17" t="str">
        <f>IFERROR(INDEX(Personnel[Shohruh Not],$K63),"")</f>
        <v/>
      </c>
      <c r="I63" s="18" t="str">
        <f>IFERROR(INDEX(Personnel[Дней в РФ],$K63),"")</f>
        <v/>
      </c>
      <c r="K63" s="23" t="str">
        <f t="array" ref="K63">IFERROR(_xlfn.AGGREGATE(15,6,(ROW(Personnel[Egtim durumu])-MIN(ROW(Personnel[Egtim durumu]))+1)/((Personnel[Egtim durumu]="Egitime  devem eden")),ROWS($K$7:K63)),"")</f>
        <v/>
      </c>
    </row>
    <row r="64" spans="1:11" x14ac:dyDescent="0.25">
      <c r="A64" s="36" t="str">
        <f>IFERROR(INDEX(Personnel[Sicil],$K64),"")</f>
        <v/>
      </c>
      <c r="B64" s="37" t="str">
        <f>IFERROR(INDEX(Personnel[Adi Soyadi],$K64),"")</f>
        <v/>
      </c>
      <c r="C64" s="36" t="str">
        <f>IFERROR(INDEX(Personnel[Vatandaslik],$K64),"")</f>
        <v/>
      </c>
      <c r="D64" s="36" t="str">
        <f>IFERROR(INDEX(Personnel[Santiye],$K64),"")</f>
        <v/>
      </c>
      <c r="E64" s="36" t="str">
        <f>IFERROR(INDEX(Personnel[Ogretmen],$K64),"")</f>
        <v/>
      </c>
      <c r="F64" s="37" t="str">
        <f>IFERROR(INDEX(Personnel[[Sinav ]],$K64),"")</f>
        <v/>
      </c>
      <c r="G64" s="37" t="str">
        <f>IFERROR(INDEX(Personnel[Egtim durumu],$K64),"")</f>
        <v/>
      </c>
      <c r="H64" s="37" t="str">
        <f>IFERROR(INDEX(Personnel[Shohruh Not],$K64),"")</f>
        <v/>
      </c>
      <c r="I64" s="36" t="str">
        <f>IFERROR(INDEX(Personnel[Дней в РФ],$K64),"")</f>
        <v/>
      </c>
      <c r="K64" s="23" t="str">
        <f t="array" ref="K64">IFERROR(_xlfn.AGGREGATE(15,6,(ROW(Personnel[Egtim durumu])-MIN(ROW(Personnel[Egtim durumu]))+1)/((Personnel[Egtim durumu]="Egitime  devem eden")),ROWS($K$7:K64)),"")</f>
        <v/>
      </c>
    </row>
    <row r="65" spans="1:11" x14ac:dyDescent="0.25">
      <c r="A65" s="18" t="str">
        <f>IFERROR(INDEX(Personnel[Sicil],$K65),"")</f>
        <v/>
      </c>
      <c r="B65" s="17" t="str">
        <f>IFERROR(INDEX(Personnel[Adi Soyadi],$K65),"")</f>
        <v/>
      </c>
      <c r="C65" s="18" t="str">
        <f>IFERROR(INDEX(Personnel[Vatandaslik],$K65),"")</f>
        <v/>
      </c>
      <c r="D65" s="18" t="str">
        <f>IFERROR(INDEX(Personnel[Santiye],$K65),"")</f>
        <v/>
      </c>
      <c r="E65" s="18" t="str">
        <f>IFERROR(INDEX(Personnel[Ogretmen],$K65),"")</f>
        <v/>
      </c>
      <c r="F65" s="17" t="str">
        <f>IFERROR(INDEX(Personnel[[Sinav ]],$K65),"")</f>
        <v/>
      </c>
      <c r="G65" s="17" t="str">
        <f>IFERROR(INDEX(Personnel[Egtim durumu],$K65),"")</f>
        <v/>
      </c>
      <c r="H65" s="17" t="str">
        <f>IFERROR(INDEX(Personnel[Shohruh Not],$K65),"")</f>
        <v/>
      </c>
      <c r="I65" s="18" t="str">
        <f>IFERROR(INDEX(Personnel[Дней в РФ],$K65),"")</f>
        <v/>
      </c>
      <c r="K65" s="23" t="str">
        <f t="array" ref="K65">IFERROR(_xlfn.AGGREGATE(15,6,(ROW(Personnel[Egtim durumu])-MIN(ROW(Personnel[Egtim durumu]))+1)/((Personnel[Egtim durumu]="Egitime  devem eden")),ROWS($K$7:K65)),"")</f>
        <v/>
      </c>
    </row>
    <row r="66" spans="1:11" x14ac:dyDescent="0.25">
      <c r="A66" s="36" t="str">
        <f>IFERROR(INDEX(Personnel[Sicil],$K66),"")</f>
        <v/>
      </c>
      <c r="B66" s="37" t="str">
        <f>IFERROR(INDEX(Personnel[Adi Soyadi],$K66),"")</f>
        <v/>
      </c>
      <c r="C66" s="36" t="str">
        <f>IFERROR(INDEX(Personnel[Vatandaslik],$K66),"")</f>
        <v/>
      </c>
      <c r="D66" s="36" t="str">
        <f>IFERROR(INDEX(Personnel[Santiye],$K66),"")</f>
        <v/>
      </c>
      <c r="E66" s="36" t="str">
        <f>IFERROR(INDEX(Personnel[Ogretmen],$K66),"")</f>
        <v/>
      </c>
      <c r="F66" s="37" t="str">
        <f>IFERROR(INDEX(Personnel[[Sinav ]],$K66),"")</f>
        <v/>
      </c>
      <c r="G66" s="37" t="str">
        <f>IFERROR(INDEX(Personnel[Egtim durumu],$K66),"")</f>
        <v/>
      </c>
      <c r="H66" s="37" t="str">
        <f>IFERROR(INDEX(Personnel[Shohruh Not],$K66),"")</f>
        <v/>
      </c>
      <c r="I66" s="36" t="str">
        <f>IFERROR(INDEX(Personnel[Дней в РФ],$K66),"")</f>
        <v/>
      </c>
      <c r="K66" s="23" t="str">
        <f t="array" ref="K66">IFERROR(_xlfn.AGGREGATE(15,6,(ROW(Personnel[Egtim durumu])-MIN(ROW(Personnel[Egtim durumu]))+1)/((Personnel[Egtim durumu]="Egitime  devem eden")),ROWS($K$7:K66)),"")</f>
        <v/>
      </c>
    </row>
    <row r="67" spans="1:11" x14ac:dyDescent="0.25">
      <c r="A67" s="18" t="str">
        <f>IFERROR(INDEX(Personnel[Sicil],$K67),"")</f>
        <v/>
      </c>
      <c r="B67" s="17" t="str">
        <f>IFERROR(INDEX(Personnel[Adi Soyadi],$K67),"")</f>
        <v/>
      </c>
      <c r="C67" s="18" t="str">
        <f>IFERROR(INDEX(Personnel[Vatandaslik],$K67),"")</f>
        <v/>
      </c>
      <c r="D67" s="18" t="str">
        <f>IFERROR(INDEX(Personnel[Santiye],$K67),"")</f>
        <v/>
      </c>
      <c r="E67" s="18" t="str">
        <f>IFERROR(INDEX(Personnel[Ogretmen],$K67),"")</f>
        <v/>
      </c>
      <c r="F67" s="17" t="str">
        <f>IFERROR(INDEX(Personnel[[Sinav ]],$K67),"")</f>
        <v/>
      </c>
      <c r="G67" s="17" t="str">
        <f>IFERROR(INDEX(Personnel[Egtim durumu],$K67),"")</f>
        <v/>
      </c>
      <c r="H67" s="17" t="str">
        <f>IFERROR(INDEX(Personnel[Shohruh Not],$K67),"")</f>
        <v/>
      </c>
      <c r="I67" s="18" t="str">
        <f>IFERROR(INDEX(Personnel[Дней в РФ],$K67),"")</f>
        <v/>
      </c>
      <c r="K67" s="23" t="str">
        <f t="array" ref="K67">IFERROR(_xlfn.AGGREGATE(15,6,(ROW(Personnel[Egtim durumu])-MIN(ROW(Personnel[Egtim durumu]))+1)/((Personnel[Egtim durumu]="Egitime  devem eden")),ROWS($K$7:K67)),"")</f>
        <v/>
      </c>
    </row>
    <row r="68" spans="1:11" x14ac:dyDescent="0.25">
      <c r="A68" s="36" t="str">
        <f>IFERROR(INDEX(Personnel[Sicil],$K68),"")</f>
        <v/>
      </c>
      <c r="B68" s="37" t="str">
        <f>IFERROR(INDEX(Personnel[Adi Soyadi],$K68),"")</f>
        <v/>
      </c>
      <c r="C68" s="36" t="str">
        <f>IFERROR(INDEX(Personnel[Vatandaslik],$K68),"")</f>
        <v/>
      </c>
      <c r="D68" s="36" t="str">
        <f>IFERROR(INDEX(Personnel[Santiye],$K68),"")</f>
        <v/>
      </c>
      <c r="E68" s="36" t="str">
        <f>IFERROR(INDEX(Personnel[Ogretmen],$K68),"")</f>
        <v/>
      </c>
      <c r="F68" s="37" t="str">
        <f>IFERROR(INDEX(Personnel[[Sinav ]],$K68),"")</f>
        <v/>
      </c>
      <c r="G68" s="37" t="str">
        <f>IFERROR(INDEX(Personnel[Egtim durumu],$K68),"")</f>
        <v/>
      </c>
      <c r="H68" s="37" t="str">
        <f>IFERROR(INDEX(Personnel[Shohruh Not],$K68),"")</f>
        <v/>
      </c>
      <c r="I68" s="36" t="str">
        <f>IFERROR(INDEX(Personnel[Дней в РФ],$K68),"")</f>
        <v/>
      </c>
      <c r="K68" s="23" t="str">
        <f t="array" ref="K68">IFERROR(_xlfn.AGGREGATE(15,6,(ROW(Personnel[Egtim durumu])-MIN(ROW(Personnel[Egtim durumu]))+1)/((Personnel[Egtim durumu]="Egitime  devem eden")),ROWS($K$7:K68)),"")</f>
        <v/>
      </c>
    </row>
    <row r="69" spans="1:11" x14ac:dyDescent="0.25">
      <c r="A69" s="18" t="str">
        <f>IFERROR(INDEX(Personnel[Sicil],$K69),"")</f>
        <v/>
      </c>
      <c r="B69" s="17" t="str">
        <f>IFERROR(INDEX(Personnel[Adi Soyadi],$K69),"")</f>
        <v/>
      </c>
      <c r="C69" s="18" t="str">
        <f>IFERROR(INDEX(Personnel[Vatandaslik],$K69),"")</f>
        <v/>
      </c>
      <c r="D69" s="18" t="str">
        <f>IFERROR(INDEX(Personnel[Santiye],$K69),"")</f>
        <v/>
      </c>
      <c r="E69" s="18" t="str">
        <f>IFERROR(INDEX(Personnel[Ogretmen],$K69),"")</f>
        <v/>
      </c>
      <c r="F69" s="17" t="str">
        <f>IFERROR(INDEX(Personnel[[Sinav ]],$K69),"")</f>
        <v/>
      </c>
      <c r="G69" s="17" t="str">
        <f>IFERROR(INDEX(Personnel[Egtim durumu],$K69),"")</f>
        <v/>
      </c>
      <c r="H69" s="17" t="str">
        <f>IFERROR(INDEX(Personnel[Shohruh Not],$K69),"")</f>
        <v/>
      </c>
      <c r="I69" s="18" t="str">
        <f>IFERROR(INDEX(Personnel[Дней в РФ],$K69),"")</f>
        <v/>
      </c>
      <c r="K69" s="23" t="str">
        <f t="array" ref="K69">IFERROR(_xlfn.AGGREGATE(15,6,(ROW(Personnel[Egtim durumu])-MIN(ROW(Personnel[Egtim durumu]))+1)/((Personnel[Egtim durumu]="Egitime  devem eden")),ROWS($K$7:K69)),"")</f>
        <v/>
      </c>
    </row>
    <row r="70" spans="1:11" x14ac:dyDescent="0.25">
      <c r="A70" s="36" t="str">
        <f>IFERROR(INDEX(Personnel[Sicil],$K70),"")</f>
        <v/>
      </c>
      <c r="B70" s="37" t="str">
        <f>IFERROR(INDEX(Personnel[Adi Soyadi],$K70),"")</f>
        <v/>
      </c>
      <c r="C70" s="36" t="str">
        <f>IFERROR(INDEX(Personnel[Vatandaslik],$K70),"")</f>
        <v/>
      </c>
      <c r="D70" s="36" t="str">
        <f>IFERROR(INDEX(Personnel[Santiye],$K70),"")</f>
        <v/>
      </c>
      <c r="E70" s="36" t="str">
        <f>IFERROR(INDEX(Personnel[Ogretmen],$K70),"")</f>
        <v/>
      </c>
      <c r="F70" s="37" t="str">
        <f>IFERROR(INDEX(Personnel[[Sinav ]],$K70),"")</f>
        <v/>
      </c>
      <c r="G70" s="37" t="str">
        <f>IFERROR(INDEX(Personnel[Egtim durumu],$K70),"")</f>
        <v/>
      </c>
      <c r="H70" s="37" t="str">
        <f>IFERROR(INDEX(Personnel[Shohruh Not],$K70),"")</f>
        <v/>
      </c>
      <c r="I70" s="36" t="str">
        <f>IFERROR(INDEX(Personnel[Дней в РФ],$K70),"")</f>
        <v/>
      </c>
      <c r="K70" s="23" t="str">
        <f t="array" ref="K70">IFERROR(_xlfn.AGGREGATE(15,6,(ROW(Personnel[Egtim durumu])-MIN(ROW(Personnel[Egtim durumu]))+1)/((Personnel[Egtim durumu]="Egitime  devem eden")),ROWS($K$7:K70)),"")</f>
        <v/>
      </c>
    </row>
    <row r="71" spans="1:11" x14ac:dyDescent="0.25">
      <c r="A71" s="18" t="str">
        <f>IFERROR(INDEX(Personnel[Sicil],$K71),"")</f>
        <v/>
      </c>
      <c r="B71" s="17" t="str">
        <f>IFERROR(INDEX(Personnel[Adi Soyadi],$K71),"")</f>
        <v/>
      </c>
      <c r="C71" s="18" t="str">
        <f>IFERROR(INDEX(Personnel[Vatandaslik],$K71),"")</f>
        <v/>
      </c>
      <c r="D71" s="18" t="str">
        <f>IFERROR(INDEX(Personnel[Santiye],$K71),"")</f>
        <v/>
      </c>
      <c r="E71" s="18" t="str">
        <f>IFERROR(INDEX(Personnel[Ogretmen],$K71),"")</f>
        <v/>
      </c>
      <c r="F71" s="17" t="str">
        <f>IFERROR(INDEX(Personnel[[Sinav ]],$K71),"")</f>
        <v/>
      </c>
      <c r="G71" s="17" t="str">
        <f>IFERROR(INDEX(Personnel[Egtim durumu],$K71),"")</f>
        <v/>
      </c>
      <c r="H71" s="17" t="str">
        <f>IFERROR(INDEX(Personnel[Shohruh Not],$K71),"")</f>
        <v/>
      </c>
      <c r="I71" s="18" t="str">
        <f>IFERROR(INDEX(Personnel[Дней в РФ],$K71),"")</f>
        <v/>
      </c>
      <c r="K71" s="23" t="str">
        <f t="array" ref="K71">IFERROR(_xlfn.AGGREGATE(15,6,(ROW(Personnel[Egtim durumu])-MIN(ROW(Personnel[Egtim durumu]))+1)/((Personnel[Egtim durumu]="Egitime  devem eden")),ROWS($K$7:K71)),"")</f>
        <v/>
      </c>
    </row>
    <row r="72" spans="1:11" x14ac:dyDescent="0.25">
      <c r="A72" s="36" t="str">
        <f>IFERROR(INDEX(Personnel[Sicil],$K72),"")</f>
        <v/>
      </c>
      <c r="B72" s="37" t="str">
        <f>IFERROR(INDEX(Personnel[Adi Soyadi],$K72),"")</f>
        <v/>
      </c>
      <c r="C72" s="36" t="str">
        <f>IFERROR(INDEX(Personnel[Vatandaslik],$K72),"")</f>
        <v/>
      </c>
      <c r="D72" s="36" t="str">
        <f>IFERROR(INDEX(Personnel[Santiye],$K72),"")</f>
        <v/>
      </c>
      <c r="E72" s="36" t="str">
        <f>IFERROR(INDEX(Personnel[Ogretmen],$K72),"")</f>
        <v/>
      </c>
      <c r="F72" s="37" t="str">
        <f>IFERROR(INDEX(Personnel[[Sinav ]],$K72),"")</f>
        <v/>
      </c>
      <c r="G72" s="37" t="str">
        <f>IFERROR(INDEX(Personnel[Egtim durumu],$K72),"")</f>
        <v/>
      </c>
      <c r="H72" s="37" t="str">
        <f>IFERROR(INDEX(Personnel[Shohruh Not],$K72),"")</f>
        <v/>
      </c>
      <c r="I72" s="36" t="str">
        <f>IFERROR(INDEX(Personnel[Дней в РФ],$K72),"")</f>
        <v/>
      </c>
      <c r="K72" s="23" t="str">
        <f t="array" ref="K72">IFERROR(_xlfn.AGGREGATE(15,6,(ROW(Personnel[Egtim durumu])-MIN(ROW(Personnel[Egtim durumu]))+1)/((Personnel[Egtim durumu]="Egitime  devem eden")),ROWS($K$7:K72)),"")</f>
        <v/>
      </c>
    </row>
    <row r="73" spans="1:11" x14ac:dyDescent="0.25">
      <c r="A73" s="18" t="str">
        <f>IFERROR(INDEX(Personnel[Sicil],$K73),"")</f>
        <v/>
      </c>
      <c r="B73" s="17" t="str">
        <f>IFERROR(INDEX(Personnel[Adi Soyadi],$K73),"")</f>
        <v/>
      </c>
      <c r="C73" s="18" t="str">
        <f>IFERROR(INDEX(Personnel[Vatandaslik],$K73),"")</f>
        <v/>
      </c>
      <c r="D73" s="18" t="str">
        <f>IFERROR(INDEX(Personnel[Santiye],$K73),"")</f>
        <v/>
      </c>
      <c r="E73" s="18" t="str">
        <f>IFERROR(INDEX(Personnel[Ogretmen],$K73),"")</f>
        <v/>
      </c>
      <c r="F73" s="17" t="str">
        <f>IFERROR(INDEX(Personnel[[Sinav ]],$K73),"")</f>
        <v/>
      </c>
      <c r="G73" s="17" t="str">
        <f>IFERROR(INDEX(Personnel[Egtim durumu],$K73),"")</f>
        <v/>
      </c>
      <c r="H73" s="17" t="str">
        <f>IFERROR(INDEX(Personnel[Shohruh Not],$K73),"")</f>
        <v/>
      </c>
      <c r="I73" s="18" t="str">
        <f>IFERROR(INDEX(Personnel[Дней в РФ],$K73),"")</f>
        <v/>
      </c>
      <c r="K73" s="23" t="str">
        <f t="array" ref="K73">IFERROR(_xlfn.AGGREGATE(15,6,(ROW(Personnel[Egtim durumu])-MIN(ROW(Personnel[Egtim durumu]))+1)/((Personnel[Egtim durumu]="Egitime  devem eden")),ROWS($K$7:K73)),"")</f>
        <v/>
      </c>
    </row>
    <row r="74" spans="1:11" x14ac:dyDescent="0.25">
      <c r="A74" s="36" t="str">
        <f>IFERROR(INDEX(Personnel[Sicil],$K74),"")</f>
        <v/>
      </c>
      <c r="B74" s="37" t="str">
        <f>IFERROR(INDEX(Personnel[Adi Soyadi],$K74),"")</f>
        <v/>
      </c>
      <c r="C74" s="36" t="str">
        <f>IFERROR(INDEX(Personnel[Vatandaslik],$K74),"")</f>
        <v/>
      </c>
      <c r="D74" s="36" t="str">
        <f>IFERROR(INDEX(Personnel[Santiye],$K74),"")</f>
        <v/>
      </c>
      <c r="E74" s="36" t="str">
        <f>IFERROR(INDEX(Personnel[Ogretmen],$K74),"")</f>
        <v/>
      </c>
      <c r="F74" s="37" t="str">
        <f>IFERROR(INDEX(Personnel[[Sinav ]],$K74),"")</f>
        <v/>
      </c>
      <c r="G74" s="37" t="str">
        <f>IFERROR(INDEX(Personnel[Egtim durumu],$K74),"")</f>
        <v/>
      </c>
      <c r="H74" s="37" t="str">
        <f>IFERROR(INDEX(Personnel[Shohruh Not],$K74),"")</f>
        <v/>
      </c>
      <c r="I74" s="36" t="str">
        <f>IFERROR(INDEX(Personnel[Дней в РФ],$K74),"")</f>
        <v/>
      </c>
      <c r="K74" s="23" t="str">
        <f t="array" ref="K74">IFERROR(_xlfn.AGGREGATE(15,6,(ROW(Personnel[Egtim durumu])-MIN(ROW(Personnel[Egtim durumu]))+1)/((Personnel[Egtim durumu]="Egitime  devem eden")),ROWS($K$7:K74)),"")</f>
        <v/>
      </c>
    </row>
    <row r="75" spans="1:11" x14ac:dyDescent="0.25">
      <c r="A75" s="18" t="str">
        <f>IFERROR(INDEX(Personnel[Sicil],$K75),"")</f>
        <v/>
      </c>
      <c r="B75" s="17" t="str">
        <f>IFERROR(INDEX(Personnel[Adi Soyadi],$K75),"")</f>
        <v/>
      </c>
      <c r="C75" s="18" t="str">
        <f>IFERROR(INDEX(Personnel[Vatandaslik],$K75),"")</f>
        <v/>
      </c>
      <c r="D75" s="18" t="str">
        <f>IFERROR(INDEX(Personnel[Santiye],$K75),"")</f>
        <v/>
      </c>
      <c r="E75" s="18" t="str">
        <f>IFERROR(INDEX(Personnel[Ogretmen],$K75),"")</f>
        <v/>
      </c>
      <c r="F75" s="17" t="str">
        <f>IFERROR(INDEX(Personnel[[Sinav ]],$K75),"")</f>
        <v/>
      </c>
      <c r="G75" s="17" t="str">
        <f>IFERROR(INDEX(Personnel[Egtim durumu],$K75),"")</f>
        <v/>
      </c>
      <c r="H75" s="17" t="str">
        <f>IFERROR(INDEX(Personnel[Shohruh Not],$K75),"")</f>
        <v/>
      </c>
      <c r="I75" s="18" t="str">
        <f>IFERROR(INDEX(Personnel[Дней в РФ],$K75),"")</f>
        <v/>
      </c>
      <c r="K75" s="23" t="str">
        <f t="array" ref="K75">IFERROR(_xlfn.AGGREGATE(15,6,(ROW(Personnel[Egtim durumu])-MIN(ROW(Personnel[Egtim durumu]))+1)/((Personnel[Egtim durumu]="Egitime  devem eden")),ROWS($K$7:K75)),"")</f>
        <v/>
      </c>
    </row>
    <row r="76" spans="1:11" x14ac:dyDescent="0.25">
      <c r="A76" s="36" t="str">
        <f>IFERROR(INDEX(Personnel[Sicil],$K76),"")</f>
        <v/>
      </c>
      <c r="B76" s="37" t="str">
        <f>IFERROR(INDEX(Personnel[Adi Soyadi],$K76),"")</f>
        <v/>
      </c>
      <c r="C76" s="36" t="str">
        <f>IFERROR(INDEX(Personnel[Vatandaslik],$K76),"")</f>
        <v/>
      </c>
      <c r="D76" s="36" t="str">
        <f>IFERROR(INDEX(Personnel[Santiye],$K76),"")</f>
        <v/>
      </c>
      <c r="E76" s="36" t="str">
        <f>IFERROR(INDEX(Personnel[Ogretmen],$K76),"")</f>
        <v/>
      </c>
      <c r="F76" s="37" t="str">
        <f>IFERROR(INDEX(Personnel[[Sinav ]],$K76),"")</f>
        <v/>
      </c>
      <c r="G76" s="37" t="str">
        <f>IFERROR(INDEX(Personnel[Egtim durumu],$K76),"")</f>
        <v/>
      </c>
      <c r="H76" s="37" t="str">
        <f>IFERROR(INDEX(Personnel[Shohruh Not],$K76),"")</f>
        <v/>
      </c>
      <c r="I76" s="36" t="str">
        <f>IFERROR(INDEX(Personnel[Дней в РФ],$K76),"")</f>
        <v/>
      </c>
      <c r="K76" s="23" t="str">
        <f t="array" ref="K76">IFERROR(_xlfn.AGGREGATE(15,6,(ROW(Personnel[Egtim durumu])-MIN(ROW(Personnel[Egtim durumu]))+1)/((Personnel[Egtim durumu]="Egitime  devem eden")),ROWS($K$7:K76)),"")</f>
        <v/>
      </c>
    </row>
    <row r="77" spans="1:11" x14ac:dyDescent="0.25">
      <c r="A77" s="18" t="str">
        <f>IFERROR(INDEX(Personnel[Sicil],$K77),"")</f>
        <v/>
      </c>
      <c r="B77" s="17" t="str">
        <f>IFERROR(INDEX(Personnel[Adi Soyadi],$K77),"")</f>
        <v/>
      </c>
      <c r="C77" s="18" t="str">
        <f>IFERROR(INDEX(Personnel[Vatandaslik],$K77),"")</f>
        <v/>
      </c>
      <c r="D77" s="18" t="str">
        <f>IFERROR(INDEX(Personnel[Santiye],$K77),"")</f>
        <v/>
      </c>
      <c r="E77" s="18" t="str">
        <f>IFERROR(INDEX(Personnel[Ogretmen],$K77),"")</f>
        <v/>
      </c>
      <c r="F77" s="17" t="str">
        <f>IFERROR(INDEX(Personnel[[Sinav ]],$K77),"")</f>
        <v/>
      </c>
      <c r="G77" s="17" t="str">
        <f>IFERROR(INDEX(Personnel[Egtim durumu],$K77),"")</f>
        <v/>
      </c>
      <c r="H77" s="17" t="str">
        <f>IFERROR(INDEX(Personnel[Shohruh Not],$K77),"")</f>
        <v/>
      </c>
      <c r="I77" s="18" t="str">
        <f>IFERROR(INDEX(Personnel[Дней в РФ],$K77),"")</f>
        <v/>
      </c>
      <c r="K77" s="23" t="str">
        <f t="array" ref="K77">IFERROR(_xlfn.AGGREGATE(15,6,(ROW(Personnel[Egtim durumu])-MIN(ROW(Personnel[Egtim durumu]))+1)/((Personnel[Egtim durumu]="Egitime  devem eden")),ROWS($K$7:K77)),"")</f>
        <v/>
      </c>
    </row>
    <row r="78" spans="1:11" x14ac:dyDescent="0.25">
      <c r="A78" s="36" t="str">
        <f>IFERROR(INDEX(Personnel[Sicil],$K78),"")</f>
        <v/>
      </c>
      <c r="B78" s="37" t="str">
        <f>IFERROR(INDEX(Personnel[Adi Soyadi],$K78),"")</f>
        <v/>
      </c>
      <c r="C78" s="36" t="str">
        <f>IFERROR(INDEX(Personnel[Vatandaslik],$K78),"")</f>
        <v/>
      </c>
      <c r="D78" s="36" t="str">
        <f>IFERROR(INDEX(Personnel[Santiye],$K78),"")</f>
        <v/>
      </c>
      <c r="E78" s="36" t="str">
        <f>IFERROR(INDEX(Personnel[Ogretmen],$K78),"")</f>
        <v/>
      </c>
      <c r="F78" s="37" t="str">
        <f>IFERROR(INDEX(Personnel[[Sinav ]],$K78),"")</f>
        <v/>
      </c>
      <c r="G78" s="37" t="str">
        <f>IFERROR(INDEX(Personnel[Egtim durumu],$K78),"")</f>
        <v/>
      </c>
      <c r="H78" s="37" t="str">
        <f>IFERROR(INDEX(Personnel[Shohruh Not],$K78),"")</f>
        <v/>
      </c>
      <c r="I78" s="36" t="str">
        <f>IFERROR(INDEX(Personnel[Дней в РФ],$K78),"")</f>
        <v/>
      </c>
      <c r="K78" s="23" t="str">
        <f t="array" ref="K78">IFERROR(_xlfn.AGGREGATE(15,6,(ROW(Personnel[Egtim durumu])-MIN(ROW(Personnel[Egtim durumu]))+1)/((Personnel[Egtim durumu]="Egitime  devem eden")),ROWS($K$7:K78)),"")</f>
        <v/>
      </c>
    </row>
    <row r="79" spans="1:11" x14ac:dyDescent="0.25">
      <c r="A79" s="18" t="str">
        <f>IFERROR(INDEX(Personnel[Sicil],$K79),"")</f>
        <v/>
      </c>
      <c r="B79" s="17" t="str">
        <f>IFERROR(INDEX(Personnel[Adi Soyadi],$K79),"")</f>
        <v/>
      </c>
      <c r="C79" s="18" t="str">
        <f>IFERROR(INDEX(Personnel[Vatandaslik],$K79),"")</f>
        <v/>
      </c>
      <c r="D79" s="18" t="str">
        <f>IFERROR(INDEX(Personnel[Santiye],$K79),"")</f>
        <v/>
      </c>
      <c r="E79" s="18" t="str">
        <f>IFERROR(INDEX(Personnel[Ogretmen],$K79),"")</f>
        <v/>
      </c>
      <c r="F79" s="17" t="str">
        <f>IFERROR(INDEX(Personnel[[Sinav ]],$K79),"")</f>
        <v/>
      </c>
      <c r="G79" s="17" t="str">
        <f>IFERROR(INDEX(Personnel[Egtim durumu],$K79),"")</f>
        <v/>
      </c>
      <c r="H79" s="17" t="str">
        <f>IFERROR(INDEX(Personnel[Shohruh Not],$K79),"")</f>
        <v/>
      </c>
      <c r="I79" s="18" t="str">
        <f>IFERROR(INDEX(Personnel[Дней в РФ],$K79),"")</f>
        <v/>
      </c>
      <c r="K79" s="23" t="str">
        <f t="array" ref="K79">IFERROR(_xlfn.AGGREGATE(15,6,(ROW(Personnel[Egtim durumu])-MIN(ROW(Personnel[Egtim durumu]))+1)/((Personnel[Egtim durumu]="Egitime  devem eden")),ROWS($K$7:K79)),"")</f>
        <v/>
      </c>
    </row>
    <row r="80" spans="1:11" x14ac:dyDescent="0.25">
      <c r="A80" s="36" t="str">
        <f>IFERROR(INDEX(Personnel[Sicil],$K80),"")</f>
        <v/>
      </c>
      <c r="B80" s="37" t="str">
        <f>IFERROR(INDEX(Personnel[Adi Soyadi],$K80),"")</f>
        <v/>
      </c>
      <c r="C80" s="36" t="str">
        <f>IFERROR(INDEX(Personnel[Vatandaslik],$K80),"")</f>
        <v/>
      </c>
      <c r="D80" s="36" t="str">
        <f>IFERROR(INDEX(Personnel[Santiye],$K80),"")</f>
        <v/>
      </c>
      <c r="E80" s="36" t="str">
        <f>IFERROR(INDEX(Personnel[Ogretmen],$K80),"")</f>
        <v/>
      </c>
      <c r="F80" s="37" t="str">
        <f>IFERROR(INDEX(Personnel[[Sinav ]],$K80),"")</f>
        <v/>
      </c>
      <c r="G80" s="37" t="str">
        <f>IFERROR(INDEX(Personnel[Egtim durumu],$K80),"")</f>
        <v/>
      </c>
      <c r="H80" s="37" t="str">
        <f>IFERROR(INDEX(Personnel[Shohruh Not],$K80),"")</f>
        <v/>
      </c>
      <c r="I80" s="36" t="str">
        <f>IFERROR(INDEX(Personnel[Дней в РФ],$K80),"")</f>
        <v/>
      </c>
      <c r="K80" s="23" t="str">
        <f t="array" ref="K80">IFERROR(_xlfn.AGGREGATE(15,6,(ROW(Personnel[Egtim durumu])-MIN(ROW(Personnel[Egtim durumu]))+1)/((Personnel[Egtim durumu]="Egitime  devem eden")),ROWS($K$7:K80)),"")</f>
        <v/>
      </c>
    </row>
    <row r="81" spans="1:11" x14ac:dyDescent="0.25">
      <c r="A81" s="18" t="str">
        <f>IFERROR(INDEX(Personnel[Sicil],$K81),"")</f>
        <v/>
      </c>
      <c r="B81" s="17" t="str">
        <f>IFERROR(INDEX(Personnel[Adi Soyadi],$K81),"")</f>
        <v/>
      </c>
      <c r="C81" s="18" t="str">
        <f>IFERROR(INDEX(Personnel[Vatandaslik],$K81),"")</f>
        <v/>
      </c>
      <c r="D81" s="18" t="str">
        <f>IFERROR(INDEX(Personnel[Santiye],$K81),"")</f>
        <v/>
      </c>
      <c r="E81" s="18" t="str">
        <f>IFERROR(INDEX(Personnel[Ogretmen],$K81),"")</f>
        <v/>
      </c>
      <c r="F81" s="17" t="str">
        <f>IFERROR(INDEX(Personnel[[Sinav ]],$K81),"")</f>
        <v/>
      </c>
      <c r="G81" s="17" t="str">
        <f>IFERROR(INDEX(Personnel[Egtim durumu],$K81),"")</f>
        <v/>
      </c>
      <c r="H81" s="17" t="str">
        <f>IFERROR(INDEX(Personnel[Shohruh Not],$K81),"")</f>
        <v/>
      </c>
      <c r="I81" s="18" t="str">
        <f>IFERROR(INDEX(Personnel[Дней в РФ],$K81),"")</f>
        <v/>
      </c>
      <c r="K81" s="23" t="str">
        <f t="array" ref="K81">IFERROR(_xlfn.AGGREGATE(15,6,(ROW(Personnel[Egtim durumu])-MIN(ROW(Personnel[Egtim durumu]))+1)/((Personnel[Egtim durumu]="Egitime  devem eden")),ROWS($K$7:K81)),"")</f>
        <v/>
      </c>
    </row>
    <row r="82" spans="1:11" x14ac:dyDescent="0.25">
      <c r="A82" s="36" t="str">
        <f>IFERROR(INDEX(Personnel[Sicil],$K82),"")</f>
        <v/>
      </c>
      <c r="B82" s="37" t="str">
        <f>IFERROR(INDEX(Personnel[Adi Soyadi],$K82),"")</f>
        <v/>
      </c>
      <c r="C82" s="36" t="str">
        <f>IFERROR(INDEX(Personnel[Vatandaslik],$K82),"")</f>
        <v/>
      </c>
      <c r="D82" s="36" t="str">
        <f>IFERROR(INDEX(Personnel[Santiye],$K82),"")</f>
        <v/>
      </c>
      <c r="E82" s="36" t="str">
        <f>IFERROR(INDEX(Personnel[Ogretmen],$K82),"")</f>
        <v/>
      </c>
      <c r="F82" s="37" t="str">
        <f>IFERROR(INDEX(Personnel[[Sinav ]],$K82),"")</f>
        <v/>
      </c>
      <c r="G82" s="37" t="str">
        <f>IFERROR(INDEX(Personnel[Egtim durumu],$K82),"")</f>
        <v/>
      </c>
      <c r="H82" s="37" t="str">
        <f>IFERROR(INDEX(Personnel[Shohruh Not],$K82),"")</f>
        <v/>
      </c>
      <c r="I82" s="36" t="str">
        <f>IFERROR(INDEX(Personnel[Дней в РФ],$K82),"")</f>
        <v/>
      </c>
      <c r="K82" s="23" t="str">
        <f t="array" ref="K82">IFERROR(_xlfn.AGGREGATE(15,6,(ROW(Personnel[Egtim durumu])-MIN(ROW(Personnel[Egtim durumu]))+1)/((Personnel[Egtim durumu]="Egitime  devem eden")),ROWS($K$7:K82)),"")</f>
        <v/>
      </c>
    </row>
    <row r="83" spans="1:11" x14ac:dyDescent="0.25">
      <c r="A83" s="18" t="str">
        <f>IFERROR(INDEX(Personnel[Sicil],$K83),"")</f>
        <v/>
      </c>
      <c r="B83" s="17" t="str">
        <f>IFERROR(INDEX(Personnel[Adi Soyadi],$K83),"")</f>
        <v/>
      </c>
      <c r="C83" s="18" t="str">
        <f>IFERROR(INDEX(Personnel[Vatandaslik],$K83),"")</f>
        <v/>
      </c>
      <c r="D83" s="18" t="str">
        <f>IFERROR(INDEX(Personnel[Santiye],$K83),"")</f>
        <v/>
      </c>
      <c r="E83" s="18" t="str">
        <f>IFERROR(INDEX(Personnel[Ogretmen],$K83),"")</f>
        <v/>
      </c>
      <c r="F83" s="17" t="str">
        <f>IFERROR(INDEX(Personnel[[Sinav ]],$K83),"")</f>
        <v/>
      </c>
      <c r="G83" s="17" t="str">
        <f>IFERROR(INDEX(Personnel[Egtim durumu],$K83),"")</f>
        <v/>
      </c>
      <c r="H83" s="17" t="str">
        <f>IFERROR(INDEX(Personnel[Shohruh Not],$K83),"")</f>
        <v/>
      </c>
      <c r="I83" s="18" t="str">
        <f>IFERROR(INDEX(Personnel[Дней в РФ],$K83),"")</f>
        <v/>
      </c>
      <c r="K83" s="23" t="str">
        <f t="array" ref="K83">IFERROR(_xlfn.AGGREGATE(15,6,(ROW(Personnel[Egtim durumu])-MIN(ROW(Personnel[Egtim durumu]))+1)/((Personnel[Egtim durumu]="Egitime  devem eden")),ROWS($K$7:K83)),"")</f>
        <v/>
      </c>
    </row>
    <row r="84" spans="1:11" x14ac:dyDescent="0.25">
      <c r="A84" s="36" t="str">
        <f>IFERROR(INDEX(Personnel[Sicil],$K84),"")</f>
        <v/>
      </c>
      <c r="B84" s="37" t="str">
        <f>IFERROR(INDEX(Personnel[Adi Soyadi],$K84),"")</f>
        <v/>
      </c>
      <c r="C84" s="36" t="str">
        <f>IFERROR(INDEX(Personnel[Vatandaslik],$K84),"")</f>
        <v/>
      </c>
      <c r="D84" s="36" t="str">
        <f>IFERROR(INDEX(Personnel[Santiye],$K84),"")</f>
        <v/>
      </c>
      <c r="E84" s="36" t="str">
        <f>IFERROR(INDEX(Personnel[Ogretmen],$K84),"")</f>
        <v/>
      </c>
      <c r="F84" s="37" t="str">
        <f>IFERROR(INDEX(Personnel[[Sinav ]],$K84),"")</f>
        <v/>
      </c>
      <c r="G84" s="37" t="str">
        <f>IFERROR(INDEX(Personnel[Egtim durumu],$K84),"")</f>
        <v/>
      </c>
      <c r="H84" s="37" t="str">
        <f>IFERROR(INDEX(Personnel[Shohruh Not],$K84),"")</f>
        <v/>
      </c>
      <c r="I84" s="36" t="str">
        <f>IFERROR(INDEX(Personnel[Дней в РФ],$K84),"")</f>
        <v/>
      </c>
      <c r="K84" s="23" t="str">
        <f t="array" ref="K84">IFERROR(_xlfn.AGGREGATE(15,6,(ROW(Personnel[Egtim durumu])-MIN(ROW(Personnel[Egtim durumu]))+1)/((Personnel[Egtim durumu]="Egitime  devem eden")),ROWS($K$7:K84)),"")</f>
        <v/>
      </c>
    </row>
    <row r="85" spans="1:11" x14ac:dyDescent="0.25">
      <c r="A85" s="18" t="str">
        <f>IFERROR(INDEX(Personnel[Sicil],$K85),"")</f>
        <v/>
      </c>
      <c r="B85" s="17" t="str">
        <f>IFERROR(INDEX(Personnel[Adi Soyadi],$K85),"")</f>
        <v/>
      </c>
      <c r="C85" s="18" t="str">
        <f>IFERROR(INDEX(Personnel[Vatandaslik],$K85),"")</f>
        <v/>
      </c>
      <c r="D85" s="18" t="str">
        <f>IFERROR(INDEX(Personnel[Santiye],$K85),"")</f>
        <v/>
      </c>
      <c r="E85" s="18" t="str">
        <f>IFERROR(INDEX(Personnel[Ogretmen],$K85),"")</f>
        <v/>
      </c>
      <c r="F85" s="17" t="str">
        <f>IFERROR(INDEX(Personnel[[Sinav ]],$K85),"")</f>
        <v/>
      </c>
      <c r="G85" s="17" t="str">
        <f>IFERROR(INDEX(Personnel[Egtim durumu],$K85),"")</f>
        <v/>
      </c>
      <c r="H85" s="17" t="str">
        <f>IFERROR(INDEX(Personnel[Shohruh Not],$K85),"")</f>
        <v/>
      </c>
      <c r="I85" s="18" t="str">
        <f>IFERROR(INDEX(Personnel[Дней в РФ],$K85),"")</f>
        <v/>
      </c>
      <c r="K85" s="23" t="str">
        <f t="array" ref="K85">IFERROR(_xlfn.AGGREGATE(15,6,(ROW(Personnel[Egtim durumu])-MIN(ROW(Personnel[Egtim durumu]))+1)/((Personnel[Egtim durumu]="Egitime  devem eden")),ROWS($K$7:K85)),"")</f>
        <v/>
      </c>
    </row>
    <row r="86" spans="1:11" x14ac:dyDescent="0.25">
      <c r="A86" s="36" t="str">
        <f>IFERROR(INDEX(Personnel[Sicil],$K86),"")</f>
        <v/>
      </c>
      <c r="B86" s="37" t="str">
        <f>IFERROR(INDEX(Personnel[Adi Soyadi],$K86),"")</f>
        <v/>
      </c>
      <c r="C86" s="36" t="str">
        <f>IFERROR(INDEX(Personnel[Vatandaslik],$K86),"")</f>
        <v/>
      </c>
      <c r="D86" s="36" t="str">
        <f>IFERROR(INDEX(Personnel[Santiye],$K86),"")</f>
        <v/>
      </c>
      <c r="E86" s="36" t="str">
        <f>IFERROR(INDEX(Personnel[Ogretmen],$K86),"")</f>
        <v/>
      </c>
      <c r="F86" s="37" t="str">
        <f>IFERROR(INDEX(Personnel[[Sinav ]],$K86),"")</f>
        <v/>
      </c>
      <c r="G86" s="37" t="str">
        <f>IFERROR(INDEX(Personnel[Egtim durumu],$K86),"")</f>
        <v/>
      </c>
      <c r="H86" s="37" t="str">
        <f>IFERROR(INDEX(Personnel[Shohruh Not],$K86),"")</f>
        <v/>
      </c>
      <c r="I86" s="36" t="str">
        <f>IFERROR(INDEX(Personnel[Дней в РФ],$K86),"")</f>
        <v/>
      </c>
      <c r="K86" s="23" t="str">
        <f t="array" ref="K86">IFERROR(_xlfn.AGGREGATE(15,6,(ROW(Personnel[Egtim durumu])-MIN(ROW(Personnel[Egtim durumu]))+1)/((Personnel[Egtim durumu]="Egitime  devem eden")),ROWS($K$7:K86)),"")</f>
        <v/>
      </c>
    </row>
    <row r="87" spans="1:11" x14ac:dyDescent="0.25">
      <c r="A87" s="18" t="str">
        <f>IFERROR(INDEX(Personnel[Sicil],$K87),"")</f>
        <v/>
      </c>
      <c r="B87" s="17" t="str">
        <f>IFERROR(INDEX(Personnel[Adi Soyadi],$K87),"")</f>
        <v/>
      </c>
      <c r="C87" s="18" t="str">
        <f>IFERROR(INDEX(Personnel[Vatandaslik],$K87),"")</f>
        <v/>
      </c>
      <c r="D87" s="18" t="str">
        <f>IFERROR(INDEX(Personnel[Santiye],$K87),"")</f>
        <v/>
      </c>
      <c r="E87" s="18" t="str">
        <f>IFERROR(INDEX(Personnel[Ogretmen],$K87),"")</f>
        <v/>
      </c>
      <c r="F87" s="17" t="str">
        <f>IFERROR(INDEX(Personnel[[Sinav ]],$K87),"")</f>
        <v/>
      </c>
      <c r="G87" s="17" t="str">
        <f>IFERROR(INDEX(Personnel[Egtim durumu],$K87),"")</f>
        <v/>
      </c>
      <c r="H87" s="17" t="str">
        <f>IFERROR(INDEX(Personnel[Shohruh Not],$K87),"")</f>
        <v/>
      </c>
      <c r="I87" s="18" t="str">
        <f>IFERROR(INDEX(Personnel[Дней в РФ],$K87),"")</f>
        <v/>
      </c>
      <c r="K87" s="23" t="str">
        <f t="array" ref="K87">IFERROR(_xlfn.AGGREGATE(15,6,(ROW(Personnel[Egtim durumu])-MIN(ROW(Personnel[Egtim durumu]))+1)/((Personnel[Egtim durumu]="Egitime  devem eden")),ROWS($K$7:K87)),"")</f>
        <v/>
      </c>
    </row>
    <row r="88" spans="1:11" x14ac:dyDescent="0.25">
      <c r="A88" s="36" t="str">
        <f>IFERROR(INDEX(Personnel[Sicil],$K88),"")</f>
        <v/>
      </c>
      <c r="B88" s="37" t="str">
        <f>IFERROR(INDEX(Personnel[Adi Soyadi],$K88),"")</f>
        <v/>
      </c>
      <c r="C88" s="36" t="str">
        <f>IFERROR(INDEX(Personnel[Vatandaslik],$K88),"")</f>
        <v/>
      </c>
      <c r="D88" s="36" t="str">
        <f>IFERROR(INDEX(Personnel[Santiye],$K88),"")</f>
        <v/>
      </c>
      <c r="E88" s="36" t="str">
        <f>IFERROR(INDEX(Personnel[Ogretmen],$K88),"")</f>
        <v/>
      </c>
      <c r="F88" s="37" t="str">
        <f>IFERROR(INDEX(Personnel[[Sinav ]],$K88),"")</f>
        <v/>
      </c>
      <c r="G88" s="37" t="str">
        <f>IFERROR(INDEX(Personnel[Egtim durumu],$K88),"")</f>
        <v/>
      </c>
      <c r="H88" s="37" t="str">
        <f>IFERROR(INDEX(Personnel[Shohruh Not],$K88),"")</f>
        <v/>
      </c>
      <c r="I88" s="36" t="str">
        <f>IFERROR(INDEX(Personnel[Дней в РФ],$K88),"")</f>
        <v/>
      </c>
      <c r="K88" s="23" t="str">
        <f t="array" ref="K88">IFERROR(_xlfn.AGGREGATE(15,6,(ROW(Personnel[Egtim durumu])-MIN(ROW(Personnel[Egtim durumu]))+1)/((Personnel[Egtim durumu]="Egitime  devem eden")),ROWS($K$7:K88)),"")</f>
        <v/>
      </c>
    </row>
    <row r="89" spans="1:11" x14ac:dyDescent="0.25">
      <c r="A89" s="18" t="str">
        <f>IFERROR(INDEX(Personnel[Sicil],$K89),"")</f>
        <v/>
      </c>
      <c r="B89" s="17" t="str">
        <f>IFERROR(INDEX(Personnel[Adi Soyadi],$K89),"")</f>
        <v/>
      </c>
      <c r="C89" s="18" t="str">
        <f>IFERROR(INDEX(Personnel[Vatandaslik],$K89),"")</f>
        <v/>
      </c>
      <c r="D89" s="18" t="str">
        <f>IFERROR(INDEX(Personnel[Santiye],$K89),"")</f>
        <v/>
      </c>
      <c r="E89" s="18" t="str">
        <f>IFERROR(INDEX(Personnel[Ogretmen],$K89),"")</f>
        <v/>
      </c>
      <c r="F89" s="17" t="str">
        <f>IFERROR(INDEX(Personnel[[Sinav ]],$K89),"")</f>
        <v/>
      </c>
      <c r="G89" s="17" t="str">
        <f>IFERROR(INDEX(Personnel[Egtim durumu],$K89),"")</f>
        <v/>
      </c>
      <c r="H89" s="17" t="str">
        <f>IFERROR(INDEX(Personnel[Shohruh Not],$K89),"")</f>
        <v/>
      </c>
      <c r="I89" s="18" t="str">
        <f>IFERROR(INDEX(Personnel[Дней в РФ],$K89),"")</f>
        <v/>
      </c>
      <c r="K89" s="23" t="str">
        <f t="array" ref="K89">IFERROR(_xlfn.AGGREGATE(15,6,(ROW(Personnel[Egtim durumu])-MIN(ROW(Personnel[Egtim durumu]))+1)/((Personnel[Egtim durumu]="Egitime  devem eden")),ROWS($K$7:K89)),"")</f>
        <v/>
      </c>
    </row>
    <row r="90" spans="1:11" x14ac:dyDescent="0.25">
      <c r="A90" s="36" t="str">
        <f>IFERROR(INDEX(Personnel[Sicil],$K90),"")</f>
        <v/>
      </c>
      <c r="B90" s="37" t="str">
        <f>IFERROR(INDEX(Personnel[Adi Soyadi],$K90),"")</f>
        <v/>
      </c>
      <c r="C90" s="36" t="str">
        <f>IFERROR(INDEX(Personnel[Vatandaslik],$K90),"")</f>
        <v/>
      </c>
      <c r="D90" s="36" t="str">
        <f>IFERROR(INDEX(Personnel[Santiye],$K90),"")</f>
        <v/>
      </c>
      <c r="E90" s="36" t="str">
        <f>IFERROR(INDEX(Personnel[Ogretmen],$K90),"")</f>
        <v/>
      </c>
      <c r="F90" s="37" t="str">
        <f>IFERROR(INDEX(Personnel[[Sinav ]],$K90),"")</f>
        <v/>
      </c>
      <c r="G90" s="37" t="str">
        <f>IFERROR(INDEX(Personnel[Egtim durumu],$K90),"")</f>
        <v/>
      </c>
      <c r="H90" s="37" t="str">
        <f>IFERROR(INDEX(Personnel[Shohruh Not],$K90),"")</f>
        <v/>
      </c>
      <c r="I90" s="36" t="str">
        <f>IFERROR(INDEX(Personnel[Дней в РФ],$K90),"")</f>
        <v/>
      </c>
      <c r="K90" s="23" t="str">
        <f t="array" ref="K90">IFERROR(_xlfn.AGGREGATE(15,6,(ROW(Personnel[Egtim durumu])-MIN(ROW(Personnel[Egtim durumu]))+1)/((Personnel[Egtim durumu]="Egitime  devem eden")),ROWS($K$7:K90)),"")</f>
        <v/>
      </c>
    </row>
    <row r="91" spans="1:11" x14ac:dyDescent="0.25">
      <c r="A91" s="18" t="str">
        <f>IFERROR(INDEX(Personnel[Sicil],$K91),"")</f>
        <v/>
      </c>
      <c r="B91" s="17" t="str">
        <f>IFERROR(INDEX(Personnel[Adi Soyadi],$K91),"")</f>
        <v/>
      </c>
      <c r="C91" s="18" t="str">
        <f>IFERROR(INDEX(Personnel[Vatandaslik],$K91),"")</f>
        <v/>
      </c>
      <c r="D91" s="18" t="str">
        <f>IFERROR(INDEX(Personnel[Santiye],$K91),"")</f>
        <v/>
      </c>
      <c r="E91" s="18" t="str">
        <f>IFERROR(INDEX(Personnel[Ogretmen],$K91),"")</f>
        <v/>
      </c>
      <c r="F91" s="17" t="str">
        <f>IFERROR(INDEX(Personnel[[Sinav ]],$K91),"")</f>
        <v/>
      </c>
      <c r="G91" s="17" t="str">
        <f>IFERROR(INDEX(Personnel[Egtim durumu],$K91),"")</f>
        <v/>
      </c>
      <c r="H91" s="17" t="str">
        <f>IFERROR(INDEX(Personnel[Shohruh Not],$K91),"")</f>
        <v/>
      </c>
      <c r="I91" s="18" t="str">
        <f>IFERROR(INDEX(Personnel[Дней в РФ],$K91),"")</f>
        <v/>
      </c>
      <c r="K91" s="23" t="str">
        <f t="array" ref="K91">IFERROR(_xlfn.AGGREGATE(15,6,(ROW(Personnel[Egtim durumu])-MIN(ROW(Personnel[Egtim durumu]))+1)/((Personnel[Egtim durumu]="Egitime  devem eden")),ROWS($K$7:K91)),"")</f>
        <v/>
      </c>
    </row>
    <row r="92" spans="1:11" x14ac:dyDescent="0.25">
      <c r="A92" s="36" t="str">
        <f>IFERROR(INDEX(Personnel[Sicil],$K92),"")</f>
        <v/>
      </c>
      <c r="B92" s="37" t="str">
        <f>IFERROR(INDEX(Personnel[Adi Soyadi],$K92),"")</f>
        <v/>
      </c>
      <c r="C92" s="36" t="str">
        <f>IFERROR(INDEX(Personnel[Vatandaslik],$K92),"")</f>
        <v/>
      </c>
      <c r="D92" s="36" t="str">
        <f>IFERROR(INDEX(Personnel[Santiye],$K92),"")</f>
        <v/>
      </c>
      <c r="E92" s="36" t="str">
        <f>IFERROR(INDEX(Personnel[Ogretmen],$K92),"")</f>
        <v/>
      </c>
      <c r="F92" s="37" t="str">
        <f>IFERROR(INDEX(Personnel[[Sinav ]],$K92),"")</f>
        <v/>
      </c>
      <c r="G92" s="37" t="str">
        <f>IFERROR(INDEX(Personnel[Egtim durumu],$K92),"")</f>
        <v/>
      </c>
      <c r="H92" s="37" t="str">
        <f>IFERROR(INDEX(Personnel[Shohruh Not],$K92),"")</f>
        <v/>
      </c>
      <c r="I92" s="36" t="str">
        <f>IFERROR(INDEX(Personnel[Дней в РФ],$K92),"")</f>
        <v/>
      </c>
      <c r="K92" s="23" t="str">
        <f t="array" ref="K92">IFERROR(_xlfn.AGGREGATE(15,6,(ROW(Personnel[Egtim durumu])-MIN(ROW(Personnel[Egtim durumu]))+1)/((Personnel[Egtim durumu]="Egitime  devem eden")),ROWS($K$7:K92)),"")</f>
        <v/>
      </c>
    </row>
    <row r="93" spans="1:11" x14ac:dyDescent="0.25">
      <c r="A93" s="18" t="str">
        <f>IFERROR(INDEX(Personnel[Sicil],$K93),"")</f>
        <v/>
      </c>
      <c r="B93" s="17" t="str">
        <f>IFERROR(INDEX(Personnel[Adi Soyadi],$K93),"")</f>
        <v/>
      </c>
      <c r="C93" s="18" t="str">
        <f>IFERROR(INDEX(Personnel[Vatandaslik],$K93),"")</f>
        <v/>
      </c>
      <c r="D93" s="18" t="str">
        <f>IFERROR(INDEX(Personnel[Santiye],$K93),"")</f>
        <v/>
      </c>
      <c r="E93" s="18" t="str">
        <f>IFERROR(INDEX(Personnel[Ogretmen],$K93),"")</f>
        <v/>
      </c>
      <c r="F93" s="17" t="str">
        <f>IFERROR(INDEX(Personnel[[Sinav ]],$K93),"")</f>
        <v/>
      </c>
      <c r="G93" s="17" t="str">
        <f>IFERROR(INDEX(Personnel[Egtim durumu],$K93),"")</f>
        <v/>
      </c>
      <c r="H93" s="17" t="str">
        <f>IFERROR(INDEX(Personnel[Shohruh Not],$K93),"")</f>
        <v/>
      </c>
      <c r="I93" s="18" t="str">
        <f>IFERROR(INDEX(Personnel[Дней в РФ],$K93),"")</f>
        <v/>
      </c>
      <c r="K93" s="23" t="str">
        <f t="array" ref="K93">IFERROR(_xlfn.AGGREGATE(15,6,(ROW(Personnel[Egtim durumu])-MIN(ROW(Personnel[Egtim durumu]))+1)/((Personnel[Egtim durumu]="Egitime  devem eden")),ROWS($K$7:K93)),"")</f>
        <v/>
      </c>
    </row>
    <row r="94" spans="1:11" x14ac:dyDescent="0.25">
      <c r="A94" s="36" t="str">
        <f>IFERROR(INDEX(Personnel[Sicil],$K94),"")</f>
        <v/>
      </c>
      <c r="B94" s="37" t="str">
        <f>IFERROR(INDEX(Personnel[Adi Soyadi],$K94),"")</f>
        <v/>
      </c>
      <c r="C94" s="36" t="str">
        <f>IFERROR(INDEX(Personnel[Vatandaslik],$K94),"")</f>
        <v/>
      </c>
      <c r="D94" s="36" t="str">
        <f>IFERROR(INDEX(Personnel[Santiye],$K94),"")</f>
        <v/>
      </c>
      <c r="E94" s="36" t="str">
        <f>IFERROR(INDEX(Personnel[Ogretmen],$K94),"")</f>
        <v/>
      </c>
      <c r="F94" s="37" t="str">
        <f>IFERROR(INDEX(Personnel[[Sinav ]],$K94),"")</f>
        <v/>
      </c>
      <c r="G94" s="37" t="str">
        <f>IFERROR(INDEX(Personnel[Egtim durumu],$K94),"")</f>
        <v/>
      </c>
      <c r="H94" s="37" t="str">
        <f>IFERROR(INDEX(Personnel[Shohruh Not],$K94),"")</f>
        <v/>
      </c>
      <c r="I94" s="36" t="str">
        <f>IFERROR(INDEX(Personnel[Дней в РФ],$K94),"")</f>
        <v/>
      </c>
      <c r="K94" s="23" t="str">
        <f t="array" ref="K94">IFERROR(_xlfn.AGGREGATE(15,6,(ROW(Personnel[Egtim durumu])-MIN(ROW(Personnel[Egtim durumu]))+1)/((Personnel[Egtim durumu]="Egitime  devem eden")),ROWS($K$7:K94)),"")</f>
        <v/>
      </c>
    </row>
    <row r="95" spans="1:11" x14ac:dyDescent="0.25">
      <c r="A95" s="18" t="str">
        <f>IFERROR(INDEX(Personnel[Sicil],$K95),"")</f>
        <v/>
      </c>
      <c r="B95" s="17" t="str">
        <f>IFERROR(INDEX(Personnel[Adi Soyadi],$K95),"")</f>
        <v/>
      </c>
      <c r="C95" s="18" t="str">
        <f>IFERROR(INDEX(Personnel[Vatandaslik],$K95),"")</f>
        <v/>
      </c>
      <c r="D95" s="18" t="str">
        <f>IFERROR(INDEX(Personnel[Santiye],$K95),"")</f>
        <v/>
      </c>
      <c r="E95" s="18" t="str">
        <f>IFERROR(INDEX(Personnel[Ogretmen],$K95),"")</f>
        <v/>
      </c>
      <c r="F95" s="17" t="str">
        <f>IFERROR(INDEX(Personnel[[Sinav ]],$K95),"")</f>
        <v/>
      </c>
      <c r="G95" s="17" t="str">
        <f>IFERROR(INDEX(Personnel[Egtim durumu],$K95),"")</f>
        <v/>
      </c>
      <c r="H95" s="17" t="str">
        <f>IFERROR(INDEX(Personnel[Shohruh Not],$K95),"")</f>
        <v/>
      </c>
      <c r="I95" s="18" t="str">
        <f>IFERROR(INDEX(Personnel[Дней в РФ],$K95),"")</f>
        <v/>
      </c>
      <c r="K95" s="23" t="str">
        <f t="array" ref="K95">IFERROR(_xlfn.AGGREGATE(15,6,(ROW(Personnel[Egtim durumu])-MIN(ROW(Personnel[Egtim durumu]))+1)/((Personnel[Egtim durumu]="Egitime  devem eden")),ROWS($K$7:K95)),"")</f>
        <v/>
      </c>
    </row>
    <row r="96" spans="1:11" x14ac:dyDescent="0.25">
      <c r="A96" s="36" t="str">
        <f>IFERROR(INDEX(Personnel[Sicil],$K96),"")</f>
        <v/>
      </c>
      <c r="B96" s="37" t="str">
        <f>IFERROR(INDEX(Personnel[Adi Soyadi],$K96),"")</f>
        <v/>
      </c>
      <c r="C96" s="36" t="str">
        <f>IFERROR(INDEX(Personnel[Vatandaslik],$K96),"")</f>
        <v/>
      </c>
      <c r="D96" s="36" t="str">
        <f>IFERROR(INDEX(Personnel[Santiye],$K96),"")</f>
        <v/>
      </c>
      <c r="E96" s="36" t="str">
        <f>IFERROR(INDEX(Personnel[Ogretmen],$K96),"")</f>
        <v/>
      </c>
      <c r="F96" s="37" t="str">
        <f>IFERROR(INDEX(Personnel[[Sinav ]],$K96),"")</f>
        <v/>
      </c>
      <c r="G96" s="37" t="str">
        <f>IFERROR(INDEX(Personnel[Egtim durumu],$K96),"")</f>
        <v/>
      </c>
      <c r="H96" s="37" t="str">
        <f>IFERROR(INDEX(Personnel[Shohruh Not],$K96),"")</f>
        <v/>
      </c>
      <c r="I96" s="36" t="str">
        <f>IFERROR(INDEX(Personnel[Дней в РФ],$K96),"")</f>
        <v/>
      </c>
      <c r="K96" s="23" t="str">
        <f t="array" ref="K96">IFERROR(_xlfn.AGGREGATE(15,6,(ROW(Personnel[Egtim durumu])-MIN(ROW(Personnel[Egtim durumu]))+1)/((Personnel[Egtim durumu]="Egitime  devem eden")),ROWS($K$7:K96)),"")</f>
        <v/>
      </c>
    </row>
    <row r="97" spans="1:11" x14ac:dyDescent="0.25">
      <c r="A97" s="18" t="str">
        <f>IFERROR(INDEX(Personnel[Sicil],$K97),"")</f>
        <v/>
      </c>
      <c r="B97" s="17" t="str">
        <f>IFERROR(INDEX(Personnel[Adi Soyadi],$K97),"")</f>
        <v/>
      </c>
      <c r="C97" s="18" t="str">
        <f>IFERROR(INDEX(Personnel[Vatandaslik],$K97),"")</f>
        <v/>
      </c>
      <c r="D97" s="18" t="str">
        <f>IFERROR(INDEX(Personnel[Santiye],$K97),"")</f>
        <v/>
      </c>
      <c r="E97" s="18" t="str">
        <f>IFERROR(INDEX(Personnel[Ogretmen],$K97),"")</f>
        <v/>
      </c>
      <c r="F97" s="17" t="str">
        <f>IFERROR(INDEX(Personnel[[Sinav ]],$K97),"")</f>
        <v/>
      </c>
      <c r="G97" s="17" t="str">
        <f>IFERROR(INDEX(Personnel[Egtim durumu],$K97),"")</f>
        <v/>
      </c>
      <c r="H97" s="17" t="str">
        <f>IFERROR(INDEX(Personnel[Shohruh Not],$K97),"")</f>
        <v/>
      </c>
      <c r="I97" s="18" t="str">
        <f>IFERROR(INDEX(Personnel[Дней в РФ],$K97),"")</f>
        <v/>
      </c>
      <c r="K97" s="23" t="str">
        <f t="array" ref="K97">IFERROR(_xlfn.AGGREGATE(15,6,(ROW(Personnel[Egtim durumu])-MIN(ROW(Personnel[Egtim durumu]))+1)/((Personnel[Egtim durumu]="Egitime  devem eden")),ROWS($K$7:K97)),"")</f>
        <v/>
      </c>
    </row>
    <row r="98" spans="1:11" x14ac:dyDescent="0.25">
      <c r="A98" s="36" t="str">
        <f>IFERROR(INDEX(Personnel[Sicil],$K98),"")</f>
        <v/>
      </c>
      <c r="B98" s="37" t="str">
        <f>IFERROR(INDEX(Personnel[Adi Soyadi],$K98),"")</f>
        <v/>
      </c>
      <c r="C98" s="36" t="str">
        <f>IFERROR(INDEX(Personnel[Vatandaslik],$K98),"")</f>
        <v/>
      </c>
      <c r="D98" s="36" t="str">
        <f>IFERROR(INDEX(Personnel[Santiye],$K98),"")</f>
        <v/>
      </c>
      <c r="E98" s="36" t="str">
        <f>IFERROR(INDEX(Personnel[Ogretmen],$K98),"")</f>
        <v/>
      </c>
      <c r="F98" s="37" t="str">
        <f>IFERROR(INDEX(Personnel[[Sinav ]],$K98),"")</f>
        <v/>
      </c>
      <c r="G98" s="37" t="str">
        <f>IFERROR(INDEX(Personnel[Egtim durumu],$K98),"")</f>
        <v/>
      </c>
      <c r="H98" s="37" t="str">
        <f>IFERROR(INDEX(Personnel[Shohruh Not],$K98),"")</f>
        <v/>
      </c>
      <c r="I98" s="36" t="str">
        <f>IFERROR(INDEX(Personnel[Дней в РФ],$K98),"")</f>
        <v/>
      </c>
      <c r="K98" s="23" t="str">
        <f t="array" ref="K98">IFERROR(_xlfn.AGGREGATE(15,6,(ROW(Personnel[Egtim durumu])-MIN(ROW(Personnel[Egtim durumu]))+1)/((Personnel[Egtim durumu]="Egitime  devem eden")),ROWS($K$7:K98)),"")</f>
        <v/>
      </c>
    </row>
    <row r="99" spans="1:11" x14ac:dyDescent="0.25">
      <c r="A99" s="18" t="str">
        <f>IFERROR(INDEX(Personnel[Sicil],$K99),"")</f>
        <v/>
      </c>
      <c r="B99" s="17" t="str">
        <f>IFERROR(INDEX(Personnel[Adi Soyadi],$K99),"")</f>
        <v/>
      </c>
      <c r="C99" s="18" t="str">
        <f>IFERROR(INDEX(Personnel[Vatandaslik],$K99),"")</f>
        <v/>
      </c>
      <c r="D99" s="18" t="str">
        <f>IFERROR(INDEX(Personnel[Santiye],$K99),"")</f>
        <v/>
      </c>
      <c r="E99" s="18" t="str">
        <f>IFERROR(INDEX(Personnel[Ogretmen],$K99),"")</f>
        <v/>
      </c>
      <c r="F99" s="17" t="str">
        <f>IFERROR(INDEX(Personnel[[Sinav ]],$K99),"")</f>
        <v/>
      </c>
      <c r="G99" s="17" t="str">
        <f>IFERROR(INDEX(Personnel[Egtim durumu],$K99),"")</f>
        <v/>
      </c>
      <c r="H99" s="17" t="str">
        <f>IFERROR(INDEX(Personnel[Shohruh Not],$K99),"")</f>
        <v/>
      </c>
      <c r="I99" s="18" t="str">
        <f>IFERROR(INDEX(Personnel[Дней в РФ],$K99),"")</f>
        <v/>
      </c>
      <c r="K99" s="23" t="str">
        <f t="array" ref="K99">IFERROR(_xlfn.AGGREGATE(15,6,(ROW(Personnel[Egtim durumu])-MIN(ROW(Personnel[Egtim durumu]))+1)/((Personnel[Egtim durumu]="Egitime  devem eden")),ROWS($K$7:K99)),"")</f>
        <v/>
      </c>
    </row>
    <row r="100" spans="1:11" x14ac:dyDescent="0.25">
      <c r="A100" s="36" t="str">
        <f>IFERROR(INDEX(Personnel[Sicil],$K100),"")</f>
        <v/>
      </c>
      <c r="B100" s="37" t="str">
        <f>IFERROR(INDEX(Personnel[Adi Soyadi],$K100),"")</f>
        <v/>
      </c>
      <c r="C100" s="36" t="str">
        <f>IFERROR(INDEX(Personnel[Vatandaslik],$K100),"")</f>
        <v/>
      </c>
      <c r="D100" s="36" t="str">
        <f>IFERROR(INDEX(Personnel[Santiye],$K100),"")</f>
        <v/>
      </c>
      <c r="E100" s="36" t="str">
        <f>IFERROR(INDEX(Personnel[Ogretmen],$K100),"")</f>
        <v/>
      </c>
      <c r="F100" s="37" t="str">
        <f>IFERROR(INDEX(Personnel[[Sinav ]],$K100),"")</f>
        <v/>
      </c>
      <c r="G100" s="37" t="str">
        <f>IFERROR(INDEX(Personnel[Egtim durumu],$K100),"")</f>
        <v/>
      </c>
      <c r="H100" s="37" t="str">
        <f>IFERROR(INDEX(Personnel[Shohruh Not],$K100),"")</f>
        <v/>
      </c>
      <c r="I100" s="36" t="str">
        <f>IFERROR(INDEX(Personnel[Дней в РФ],$K100),"")</f>
        <v/>
      </c>
      <c r="K100" s="23" t="str">
        <f t="array" ref="K100">IFERROR(_xlfn.AGGREGATE(15,6,(ROW(Personnel[Egtim durumu])-MIN(ROW(Personnel[Egtim durumu]))+1)/((Personnel[Egtim durumu]="Egitime  devem eden")),ROWS($K$7:K100)),"")</f>
        <v/>
      </c>
    </row>
    <row r="101" spans="1:11" x14ac:dyDescent="0.25">
      <c r="A101" s="18" t="str">
        <f>IFERROR(INDEX(Personnel[Sicil],$K101),"")</f>
        <v/>
      </c>
      <c r="B101" s="17" t="str">
        <f>IFERROR(INDEX(Personnel[Adi Soyadi],$K101),"")</f>
        <v/>
      </c>
      <c r="C101" s="18" t="str">
        <f>IFERROR(INDEX(Personnel[Vatandaslik],$K101),"")</f>
        <v/>
      </c>
      <c r="D101" s="18" t="str">
        <f>IFERROR(INDEX(Personnel[Santiye],$K101),"")</f>
        <v/>
      </c>
      <c r="E101" s="18" t="str">
        <f>IFERROR(INDEX(Personnel[Ogretmen],$K101),"")</f>
        <v/>
      </c>
      <c r="F101" s="17" t="str">
        <f>IFERROR(INDEX(Personnel[[Sinav ]],$K101),"")</f>
        <v/>
      </c>
      <c r="G101" s="17" t="str">
        <f>IFERROR(INDEX(Personnel[Egtim durumu],$K101),"")</f>
        <v/>
      </c>
      <c r="H101" s="17" t="str">
        <f>IFERROR(INDEX(Personnel[Shohruh Not],$K101),"")</f>
        <v/>
      </c>
      <c r="I101" s="18" t="str">
        <f>IFERROR(INDEX(Personnel[Дней в РФ],$K101),"")</f>
        <v/>
      </c>
      <c r="K101" s="23" t="str">
        <f t="array" ref="K101">IFERROR(_xlfn.AGGREGATE(15,6,(ROW(Personnel[Egtim durumu])-MIN(ROW(Personnel[Egtim durumu]))+1)/((Personnel[Egtim durumu]="Egitime  devem eden")),ROWS($K$7:K101)),"")</f>
        <v/>
      </c>
    </row>
    <row r="102" spans="1:11" x14ac:dyDescent="0.25">
      <c r="A102" s="36" t="str">
        <f>IFERROR(INDEX(Personnel[Sicil],$K102),"")</f>
        <v/>
      </c>
      <c r="B102" s="37" t="str">
        <f>IFERROR(INDEX(Personnel[Adi Soyadi],$K102),"")</f>
        <v/>
      </c>
      <c r="C102" s="36" t="str">
        <f>IFERROR(INDEX(Personnel[Vatandaslik],$K102),"")</f>
        <v/>
      </c>
      <c r="D102" s="36" t="str">
        <f>IFERROR(INDEX(Personnel[Santiye],$K102),"")</f>
        <v/>
      </c>
      <c r="E102" s="36" t="str">
        <f>IFERROR(INDEX(Personnel[Ogretmen],$K102),"")</f>
        <v/>
      </c>
      <c r="F102" s="37" t="str">
        <f>IFERROR(INDEX(Personnel[[Sinav ]],$K102),"")</f>
        <v/>
      </c>
      <c r="G102" s="37" t="str">
        <f>IFERROR(INDEX(Personnel[Egtim durumu],$K102),"")</f>
        <v/>
      </c>
      <c r="H102" s="37" t="str">
        <f>IFERROR(INDEX(Personnel[Shohruh Not],$K102),"")</f>
        <v/>
      </c>
      <c r="I102" s="36" t="str">
        <f>IFERROR(INDEX(Personnel[Дней в РФ],$K102),"")</f>
        <v/>
      </c>
      <c r="K102" s="23" t="str">
        <f t="array" ref="K102">IFERROR(_xlfn.AGGREGATE(15,6,(ROW(Personnel[Egtim durumu])-MIN(ROW(Personnel[Egtim durumu]))+1)/((Personnel[Egtim durumu]="Egitime  devem eden")),ROWS($K$7:K102)),"")</f>
        <v/>
      </c>
    </row>
    <row r="103" spans="1:11" x14ac:dyDescent="0.25">
      <c r="A103" s="18" t="str">
        <f>IFERROR(INDEX(Personnel[Sicil],$K103),"")</f>
        <v/>
      </c>
      <c r="B103" s="17" t="str">
        <f>IFERROR(INDEX(Personnel[Adi Soyadi],$K103),"")</f>
        <v/>
      </c>
      <c r="C103" s="18" t="str">
        <f>IFERROR(INDEX(Personnel[Vatandaslik],$K103),"")</f>
        <v/>
      </c>
      <c r="D103" s="18" t="str">
        <f>IFERROR(INDEX(Personnel[Santiye],$K103),"")</f>
        <v/>
      </c>
      <c r="E103" s="18" t="str">
        <f>IFERROR(INDEX(Personnel[Ogretmen],$K103),"")</f>
        <v/>
      </c>
      <c r="F103" s="17" t="str">
        <f>IFERROR(INDEX(Personnel[[Sinav ]],$K103),"")</f>
        <v/>
      </c>
      <c r="G103" s="17" t="str">
        <f>IFERROR(INDEX(Personnel[Egtim durumu],$K103),"")</f>
        <v/>
      </c>
      <c r="H103" s="17" t="str">
        <f>IFERROR(INDEX(Personnel[Shohruh Not],$K103),"")</f>
        <v/>
      </c>
      <c r="I103" s="18" t="str">
        <f>IFERROR(INDEX(Personnel[Дней в РФ],$K103),"")</f>
        <v/>
      </c>
      <c r="K103" s="23" t="str">
        <f t="array" ref="K103">IFERROR(_xlfn.AGGREGATE(15,6,(ROW(Personnel[Egtim durumu])-MIN(ROW(Personnel[Egtim durumu]))+1)/((Personnel[Egtim durumu]="Egitime  devem eden")),ROWS($K$7:K103)),"")</f>
        <v/>
      </c>
    </row>
    <row r="104" spans="1:11" x14ac:dyDescent="0.25">
      <c r="A104" s="36" t="str">
        <f>IFERROR(INDEX(Personnel[Sicil],$K104),"")</f>
        <v/>
      </c>
      <c r="B104" s="37" t="str">
        <f>IFERROR(INDEX(Personnel[Adi Soyadi],$K104),"")</f>
        <v/>
      </c>
      <c r="C104" s="36" t="str">
        <f>IFERROR(INDEX(Personnel[Vatandaslik],$K104),"")</f>
        <v/>
      </c>
      <c r="D104" s="36" t="str">
        <f>IFERROR(INDEX(Personnel[Santiye],$K104),"")</f>
        <v/>
      </c>
      <c r="E104" s="36" t="str">
        <f>IFERROR(INDEX(Personnel[Ogretmen],$K104),"")</f>
        <v/>
      </c>
      <c r="F104" s="37" t="str">
        <f>IFERROR(INDEX(Personnel[[Sinav ]],$K104),"")</f>
        <v/>
      </c>
      <c r="G104" s="37" t="str">
        <f>IFERROR(INDEX(Personnel[Egtim durumu],$K104),"")</f>
        <v/>
      </c>
      <c r="H104" s="37" t="str">
        <f>IFERROR(INDEX(Personnel[Shohruh Not],$K104),"")</f>
        <v/>
      </c>
      <c r="I104" s="36" t="str">
        <f>IFERROR(INDEX(Personnel[Дней в РФ],$K104),"")</f>
        <v/>
      </c>
      <c r="K104" s="23" t="str">
        <f t="array" ref="K104">IFERROR(_xlfn.AGGREGATE(15,6,(ROW(Personnel[Egtim durumu])-MIN(ROW(Personnel[Egtim durumu]))+1)/((Personnel[Egtim durumu]="Egitime  devem eden")),ROWS($K$7:K104)),"")</f>
        <v/>
      </c>
    </row>
    <row r="105" spans="1:11" x14ac:dyDescent="0.25">
      <c r="A105" s="18" t="str">
        <f>IFERROR(INDEX(Personnel[Sicil],$K105),"")</f>
        <v/>
      </c>
      <c r="B105" s="17" t="str">
        <f>IFERROR(INDEX(Personnel[Adi Soyadi],$K105),"")</f>
        <v/>
      </c>
      <c r="C105" s="18" t="str">
        <f>IFERROR(INDEX(Personnel[Vatandaslik],$K105),"")</f>
        <v/>
      </c>
      <c r="D105" s="18" t="str">
        <f>IFERROR(INDEX(Personnel[Santiye],$K105),"")</f>
        <v/>
      </c>
      <c r="E105" s="18" t="str">
        <f>IFERROR(INDEX(Personnel[Ogretmen],$K105),"")</f>
        <v/>
      </c>
      <c r="F105" s="17" t="str">
        <f>IFERROR(INDEX(Personnel[[Sinav ]],$K105),"")</f>
        <v/>
      </c>
      <c r="G105" s="17" t="str">
        <f>IFERROR(INDEX(Personnel[Egtim durumu],$K105),"")</f>
        <v/>
      </c>
      <c r="H105" s="17" t="str">
        <f>IFERROR(INDEX(Personnel[Shohruh Not],$K105),"")</f>
        <v/>
      </c>
      <c r="I105" s="18" t="str">
        <f>IFERROR(INDEX(Personnel[Дней в РФ],$K105),"")</f>
        <v/>
      </c>
      <c r="K105" s="23" t="str">
        <f t="array" ref="K105">IFERROR(_xlfn.AGGREGATE(15,6,(ROW(Personnel[Egtim durumu])-MIN(ROW(Personnel[Egtim durumu]))+1)/((Personnel[Egtim durumu]="Egitime  devem eden")),ROWS($K$7:K105)),"")</f>
        <v/>
      </c>
    </row>
    <row r="106" spans="1:11" x14ac:dyDescent="0.25">
      <c r="A106" s="36" t="str">
        <f>IFERROR(INDEX(Personnel[Sicil],$K106),"")</f>
        <v/>
      </c>
      <c r="B106" s="37" t="str">
        <f>IFERROR(INDEX(Personnel[Adi Soyadi],$K106),"")</f>
        <v/>
      </c>
      <c r="C106" s="36" t="str">
        <f>IFERROR(INDEX(Personnel[Vatandaslik],$K106),"")</f>
        <v/>
      </c>
      <c r="D106" s="36" t="str">
        <f>IFERROR(INDEX(Personnel[Santiye],$K106),"")</f>
        <v/>
      </c>
      <c r="E106" s="36" t="str">
        <f>IFERROR(INDEX(Personnel[Ogretmen],$K106),"")</f>
        <v/>
      </c>
      <c r="F106" s="37" t="str">
        <f>IFERROR(INDEX(Personnel[[Sinav ]],$K106),"")</f>
        <v/>
      </c>
      <c r="G106" s="37" t="str">
        <f>IFERROR(INDEX(Personnel[Egtim durumu],$K106),"")</f>
        <v/>
      </c>
      <c r="H106" s="37" t="str">
        <f>IFERROR(INDEX(Personnel[Shohruh Not],$K106),"")</f>
        <v/>
      </c>
      <c r="I106" s="36" t="str">
        <f>IFERROR(INDEX(Personnel[Дней в РФ],$K106),"")</f>
        <v/>
      </c>
      <c r="K106" s="23" t="str">
        <f t="array" ref="K106">IFERROR(_xlfn.AGGREGATE(15,6,(ROW(Personnel[Egtim durumu])-MIN(ROW(Personnel[Egtim durumu]))+1)/((Personnel[Egtim durumu]="Egitime  devem eden")),ROWS($K$7:K106)),"")</f>
        <v/>
      </c>
    </row>
    <row r="107" spans="1:11" x14ac:dyDescent="0.25">
      <c r="A107" s="18" t="str">
        <f>IFERROR(INDEX(Personnel[Sicil],$K107),"")</f>
        <v/>
      </c>
      <c r="B107" s="17" t="str">
        <f>IFERROR(INDEX(Personnel[Adi Soyadi],$K107),"")</f>
        <v/>
      </c>
      <c r="C107" s="18" t="str">
        <f>IFERROR(INDEX(Personnel[Vatandaslik],$K107),"")</f>
        <v/>
      </c>
      <c r="D107" s="18" t="str">
        <f>IFERROR(INDEX(Personnel[Santiye],$K107),"")</f>
        <v/>
      </c>
      <c r="E107" s="18" t="str">
        <f>IFERROR(INDEX(Personnel[Ogretmen],$K107),"")</f>
        <v/>
      </c>
      <c r="F107" s="17" t="str">
        <f>IFERROR(INDEX(Personnel[[Sinav ]],$K107),"")</f>
        <v/>
      </c>
      <c r="G107" s="17" t="str">
        <f>IFERROR(INDEX(Personnel[Egtim durumu],$K107),"")</f>
        <v/>
      </c>
      <c r="H107" s="17" t="str">
        <f>IFERROR(INDEX(Personnel[Shohruh Not],$K107),"")</f>
        <v/>
      </c>
      <c r="I107" s="18" t="str">
        <f>IFERROR(INDEX(Personnel[Дней в РФ],$K107),"")</f>
        <v/>
      </c>
      <c r="K107" s="23" t="str">
        <f t="array" ref="K107">IFERROR(_xlfn.AGGREGATE(15,6,(ROW(Personnel[Egtim durumu])-MIN(ROW(Personnel[Egtim durumu]))+1)/((Personnel[Egtim durumu]="Egitime  devem eden")),ROWS($K$7:K107)),"")</f>
        <v/>
      </c>
    </row>
    <row r="108" spans="1:11" x14ac:dyDescent="0.25">
      <c r="A108" s="36" t="str">
        <f>IFERROR(INDEX(Personnel[Sicil],$K108),"")</f>
        <v/>
      </c>
      <c r="B108" s="37" t="str">
        <f>IFERROR(INDEX(Personnel[Adi Soyadi],$K108),"")</f>
        <v/>
      </c>
      <c r="C108" s="36" t="str">
        <f>IFERROR(INDEX(Personnel[Vatandaslik],$K108),"")</f>
        <v/>
      </c>
      <c r="D108" s="36" t="str">
        <f>IFERROR(INDEX(Personnel[Santiye],$K108),"")</f>
        <v/>
      </c>
      <c r="E108" s="36" t="str">
        <f>IFERROR(INDEX(Personnel[Ogretmen],$K108),"")</f>
        <v/>
      </c>
      <c r="F108" s="37" t="str">
        <f>IFERROR(INDEX(Personnel[[Sinav ]],$K108),"")</f>
        <v/>
      </c>
      <c r="G108" s="37" t="str">
        <f>IFERROR(INDEX(Personnel[Egtim durumu],$K108),"")</f>
        <v/>
      </c>
      <c r="H108" s="37" t="str">
        <f>IFERROR(INDEX(Personnel[Shohruh Not],$K108),"")</f>
        <v/>
      </c>
      <c r="I108" s="36" t="str">
        <f>IFERROR(INDEX(Personnel[Дней в РФ],$K108),"")</f>
        <v/>
      </c>
      <c r="K108" s="23" t="str">
        <f t="array" ref="K108">IFERROR(_xlfn.AGGREGATE(15,6,(ROW(Personnel[Egtim durumu])-MIN(ROW(Personnel[Egtim durumu]))+1)/((Personnel[Egtim durumu]="Egitime  devem eden")),ROWS($K$7:K108)),"")</f>
        <v/>
      </c>
    </row>
    <row r="109" spans="1:11" x14ac:dyDescent="0.25">
      <c r="A109" s="18" t="str">
        <f>IFERROR(INDEX(Personnel[Sicil],$K109),"")</f>
        <v/>
      </c>
      <c r="B109" s="17" t="str">
        <f>IFERROR(INDEX(Personnel[Adi Soyadi],$K109),"")</f>
        <v/>
      </c>
      <c r="C109" s="18" t="str">
        <f>IFERROR(INDEX(Personnel[Vatandaslik],$K109),"")</f>
        <v/>
      </c>
      <c r="D109" s="18" t="str">
        <f>IFERROR(INDEX(Personnel[Santiye],$K109),"")</f>
        <v/>
      </c>
      <c r="E109" s="18" t="str">
        <f>IFERROR(INDEX(Personnel[Ogretmen],$K109),"")</f>
        <v/>
      </c>
      <c r="F109" s="17" t="str">
        <f>IFERROR(INDEX(Personnel[[Sinav ]],$K109),"")</f>
        <v/>
      </c>
      <c r="G109" s="17" t="str">
        <f>IFERROR(INDEX(Personnel[Egtim durumu],$K109),"")</f>
        <v/>
      </c>
      <c r="H109" s="17" t="str">
        <f>IFERROR(INDEX(Personnel[Shohruh Not],$K109),"")</f>
        <v/>
      </c>
      <c r="I109" s="18" t="str">
        <f>IFERROR(INDEX(Personnel[Дней в РФ],$K109),"")</f>
        <v/>
      </c>
      <c r="K109" s="23" t="str">
        <f t="array" ref="K109">IFERROR(_xlfn.AGGREGATE(15,6,(ROW(Personnel[Egtim durumu])-MIN(ROW(Personnel[Egtim durumu]))+1)/((Personnel[Egtim durumu]="Egitime  devem eden")),ROWS($K$7:K109)),"")</f>
        <v/>
      </c>
    </row>
    <row r="110" spans="1:11" x14ac:dyDescent="0.25">
      <c r="A110" s="36" t="str">
        <f>IFERROR(INDEX(Personnel[Sicil],$K110),"")</f>
        <v/>
      </c>
      <c r="B110" s="37" t="str">
        <f>IFERROR(INDEX(Personnel[Adi Soyadi],$K110),"")</f>
        <v/>
      </c>
      <c r="C110" s="36" t="str">
        <f>IFERROR(INDEX(Personnel[Vatandaslik],$K110),"")</f>
        <v/>
      </c>
      <c r="D110" s="36" t="str">
        <f>IFERROR(INDEX(Personnel[Santiye],$K110),"")</f>
        <v/>
      </c>
      <c r="E110" s="36" t="str">
        <f>IFERROR(INDEX(Personnel[Ogretmen],$K110),"")</f>
        <v/>
      </c>
      <c r="F110" s="37" t="str">
        <f>IFERROR(INDEX(Personnel[[Sinav ]],$K110),"")</f>
        <v/>
      </c>
      <c r="G110" s="37" t="str">
        <f>IFERROR(INDEX(Personnel[Egtim durumu],$K110),"")</f>
        <v/>
      </c>
      <c r="H110" s="37" t="str">
        <f>IFERROR(INDEX(Personnel[Shohruh Not],$K110),"")</f>
        <v/>
      </c>
      <c r="I110" s="36" t="str">
        <f>IFERROR(INDEX(Personnel[Дней в РФ],$K110),"")</f>
        <v/>
      </c>
      <c r="K110" s="23" t="str">
        <f t="array" ref="K110">IFERROR(_xlfn.AGGREGATE(15,6,(ROW(Personnel[Egtim durumu])-MIN(ROW(Personnel[Egtim durumu]))+1)/((Personnel[Egtim durumu]="Egitime  devem eden")),ROWS($K$7:K110)),"")</f>
        <v/>
      </c>
    </row>
    <row r="111" spans="1:11" x14ac:dyDescent="0.25">
      <c r="A111" s="18" t="str">
        <f>IFERROR(INDEX(Personnel[Sicil],$K111),"")</f>
        <v/>
      </c>
      <c r="B111" s="17" t="str">
        <f>IFERROR(INDEX(Personnel[Adi Soyadi],$K111),"")</f>
        <v/>
      </c>
      <c r="C111" s="18" t="str">
        <f>IFERROR(INDEX(Personnel[Vatandaslik],$K111),"")</f>
        <v/>
      </c>
      <c r="D111" s="18" t="str">
        <f>IFERROR(INDEX(Personnel[Santiye],$K111),"")</f>
        <v/>
      </c>
      <c r="E111" s="18" t="str">
        <f>IFERROR(INDEX(Personnel[Ogretmen],$K111),"")</f>
        <v/>
      </c>
      <c r="F111" s="17" t="str">
        <f>IFERROR(INDEX(Personnel[[Sinav ]],$K111),"")</f>
        <v/>
      </c>
      <c r="G111" s="17" t="str">
        <f>IFERROR(INDEX(Personnel[Egtim durumu],$K111),"")</f>
        <v/>
      </c>
      <c r="H111" s="17" t="str">
        <f>IFERROR(INDEX(Personnel[Shohruh Not],$K111),"")</f>
        <v/>
      </c>
      <c r="I111" s="18" t="str">
        <f>IFERROR(INDEX(Personnel[Дней в РФ],$K111),"")</f>
        <v/>
      </c>
      <c r="K111" s="23" t="str">
        <f t="array" ref="K111">IFERROR(_xlfn.AGGREGATE(15,6,(ROW(Personnel[Egtim durumu])-MIN(ROW(Personnel[Egtim durumu]))+1)/((Personnel[Egtim durumu]="Egitime  devem eden")),ROWS($K$7:K111)),"")</f>
        <v/>
      </c>
    </row>
    <row r="112" spans="1:11" x14ac:dyDescent="0.25">
      <c r="A112" s="36" t="str">
        <f>IFERROR(INDEX(Personnel[Sicil],$K112),"")</f>
        <v/>
      </c>
      <c r="B112" s="37" t="str">
        <f>IFERROR(INDEX(Personnel[Adi Soyadi],$K112),"")</f>
        <v/>
      </c>
      <c r="C112" s="36" t="str">
        <f>IFERROR(INDEX(Personnel[Vatandaslik],$K112),"")</f>
        <v/>
      </c>
      <c r="D112" s="36" t="str">
        <f>IFERROR(INDEX(Personnel[Santiye],$K112),"")</f>
        <v/>
      </c>
      <c r="E112" s="36" t="str">
        <f>IFERROR(INDEX(Personnel[Ogretmen],$K112),"")</f>
        <v/>
      </c>
      <c r="F112" s="37" t="str">
        <f>IFERROR(INDEX(Personnel[[Sinav ]],$K112),"")</f>
        <v/>
      </c>
      <c r="G112" s="37" t="str">
        <f>IFERROR(INDEX(Personnel[Egtim durumu],$K112),"")</f>
        <v/>
      </c>
      <c r="H112" s="37" t="str">
        <f>IFERROR(INDEX(Personnel[Shohruh Not],$K112),"")</f>
        <v/>
      </c>
      <c r="I112" s="36" t="str">
        <f>IFERROR(INDEX(Personnel[Дней в РФ],$K112),"")</f>
        <v/>
      </c>
      <c r="K112" s="23" t="str">
        <f t="array" ref="K112">IFERROR(_xlfn.AGGREGATE(15,6,(ROW(Personnel[Egtim durumu])-MIN(ROW(Personnel[Egtim durumu]))+1)/((Personnel[Egtim durumu]="Egitime  devem eden")),ROWS($K$7:K112)),"")</f>
        <v/>
      </c>
    </row>
    <row r="113" spans="1:11" x14ac:dyDescent="0.25">
      <c r="A113" s="18" t="str">
        <f>IFERROR(INDEX(Personnel[Sicil],$K113),"")</f>
        <v/>
      </c>
      <c r="B113" s="17" t="str">
        <f>IFERROR(INDEX(Personnel[Adi Soyadi],$K113),"")</f>
        <v/>
      </c>
      <c r="C113" s="18" t="str">
        <f>IFERROR(INDEX(Personnel[Vatandaslik],$K113),"")</f>
        <v/>
      </c>
      <c r="D113" s="18" t="str">
        <f>IFERROR(INDEX(Personnel[Santiye],$K113),"")</f>
        <v/>
      </c>
      <c r="E113" s="18" t="str">
        <f>IFERROR(INDEX(Personnel[Ogretmen],$K113),"")</f>
        <v/>
      </c>
      <c r="F113" s="17" t="str">
        <f>IFERROR(INDEX(Personnel[[Sinav ]],$K113),"")</f>
        <v/>
      </c>
      <c r="G113" s="17" t="str">
        <f>IFERROR(INDEX(Personnel[Egtim durumu],$K113),"")</f>
        <v/>
      </c>
      <c r="H113" s="17" t="str">
        <f>IFERROR(INDEX(Personnel[Shohruh Not],$K113),"")</f>
        <v/>
      </c>
      <c r="I113" s="18" t="str">
        <f>IFERROR(INDEX(Personnel[Дней в РФ],$K113),"")</f>
        <v/>
      </c>
      <c r="K113" s="23" t="str">
        <f t="array" ref="K113">IFERROR(_xlfn.AGGREGATE(15,6,(ROW(Personnel[Egtim durumu])-MIN(ROW(Personnel[Egtim durumu]))+1)/((Personnel[Egtim durumu]="Egitime  devem eden")),ROWS($K$7:K113)),"")</f>
        <v/>
      </c>
    </row>
    <row r="114" spans="1:11" x14ac:dyDescent="0.25">
      <c r="A114" s="36" t="str">
        <f>IFERROR(INDEX(Personnel[Sicil],$K114),"")</f>
        <v/>
      </c>
      <c r="B114" s="37" t="str">
        <f>IFERROR(INDEX(Personnel[Adi Soyadi],$K114),"")</f>
        <v/>
      </c>
      <c r="C114" s="36" t="str">
        <f>IFERROR(INDEX(Personnel[Vatandaslik],$K114),"")</f>
        <v/>
      </c>
      <c r="D114" s="36" t="str">
        <f>IFERROR(INDEX(Personnel[Santiye],$K114),"")</f>
        <v/>
      </c>
      <c r="E114" s="36" t="str">
        <f>IFERROR(INDEX(Personnel[Ogretmen],$K114),"")</f>
        <v/>
      </c>
      <c r="F114" s="37" t="str">
        <f>IFERROR(INDEX(Personnel[[Sinav ]],$K114),"")</f>
        <v/>
      </c>
      <c r="G114" s="37" t="str">
        <f>IFERROR(INDEX(Personnel[Egtim durumu],$K114),"")</f>
        <v/>
      </c>
      <c r="H114" s="37" t="str">
        <f>IFERROR(INDEX(Personnel[Shohruh Not],$K114),"")</f>
        <v/>
      </c>
      <c r="I114" s="36" t="str">
        <f>IFERROR(INDEX(Personnel[Дней в РФ],$K114),"")</f>
        <v/>
      </c>
      <c r="K114" s="23" t="str">
        <f t="array" ref="K114">IFERROR(_xlfn.AGGREGATE(15,6,(ROW(Personnel[Egtim durumu])-MIN(ROW(Personnel[Egtim durumu]))+1)/((Personnel[Egtim durumu]="Egitime  devem eden")),ROWS($K$7:K114)),"")</f>
        <v/>
      </c>
    </row>
    <row r="115" spans="1:11" x14ac:dyDescent="0.25">
      <c r="A115" s="18" t="str">
        <f>IFERROR(INDEX(Personnel[Sicil],$K115),"")</f>
        <v/>
      </c>
      <c r="B115" s="17" t="str">
        <f>IFERROR(INDEX(Personnel[Adi Soyadi],$K115),"")</f>
        <v/>
      </c>
      <c r="C115" s="18" t="str">
        <f>IFERROR(INDEX(Personnel[Vatandaslik],$K115),"")</f>
        <v/>
      </c>
      <c r="D115" s="18" t="str">
        <f>IFERROR(INDEX(Personnel[Santiye],$K115),"")</f>
        <v/>
      </c>
      <c r="E115" s="18" t="str">
        <f>IFERROR(INDEX(Personnel[Ogretmen],$K115),"")</f>
        <v/>
      </c>
      <c r="F115" s="17" t="str">
        <f>IFERROR(INDEX(Personnel[[Sinav ]],$K115),"")</f>
        <v/>
      </c>
      <c r="G115" s="17" t="str">
        <f>IFERROR(INDEX(Personnel[Egtim durumu],$K115),"")</f>
        <v/>
      </c>
      <c r="H115" s="17" t="str">
        <f>IFERROR(INDEX(Personnel[Shohruh Not],$K115),"")</f>
        <v/>
      </c>
      <c r="I115" s="18" t="str">
        <f>IFERROR(INDEX(Personnel[Дней в РФ],$K115),"")</f>
        <v/>
      </c>
      <c r="K115" s="23" t="str">
        <f t="array" ref="K115">IFERROR(_xlfn.AGGREGATE(15,6,(ROW(Personnel[Egtim durumu])-MIN(ROW(Personnel[Egtim durumu]))+1)/((Personnel[Egtim durumu]="Egitime  devem eden")),ROWS($K$7:K115)),"")</f>
        <v/>
      </c>
    </row>
    <row r="116" spans="1:11" x14ac:dyDescent="0.25">
      <c r="A116" s="36" t="str">
        <f>IFERROR(INDEX(Personnel[Sicil],$K116),"")</f>
        <v/>
      </c>
      <c r="B116" s="37" t="str">
        <f>IFERROR(INDEX(Personnel[Adi Soyadi],$K116),"")</f>
        <v/>
      </c>
      <c r="C116" s="36" t="str">
        <f>IFERROR(INDEX(Personnel[Vatandaslik],$K116),"")</f>
        <v/>
      </c>
      <c r="D116" s="36" t="str">
        <f>IFERROR(INDEX(Personnel[Santiye],$K116),"")</f>
        <v/>
      </c>
      <c r="E116" s="36" t="str">
        <f>IFERROR(INDEX(Personnel[Ogretmen],$K116),"")</f>
        <v/>
      </c>
      <c r="F116" s="37" t="str">
        <f>IFERROR(INDEX(Personnel[[Sinav ]],$K116),"")</f>
        <v/>
      </c>
      <c r="G116" s="37" t="str">
        <f>IFERROR(INDEX(Personnel[Egtim durumu],$K116),"")</f>
        <v/>
      </c>
      <c r="H116" s="37" t="str">
        <f>IFERROR(INDEX(Personnel[Shohruh Not],$K116),"")</f>
        <v/>
      </c>
      <c r="I116" s="36" t="str">
        <f>IFERROR(INDEX(Personnel[Дней в РФ],$K116),"")</f>
        <v/>
      </c>
      <c r="K116" s="23" t="str">
        <f t="array" ref="K116">IFERROR(_xlfn.AGGREGATE(15,6,(ROW(Personnel[Egtim durumu])-MIN(ROW(Personnel[Egtim durumu]))+1)/((Personnel[Egtim durumu]="Egitime  devem eden")),ROWS($K$7:K116)),"")</f>
        <v/>
      </c>
    </row>
    <row r="117" spans="1:11" x14ac:dyDescent="0.25">
      <c r="A117" s="18" t="str">
        <f>IFERROR(INDEX(Personnel[Sicil],$K117),"")</f>
        <v/>
      </c>
      <c r="B117" s="17" t="str">
        <f>IFERROR(INDEX(Personnel[Adi Soyadi],$K117),"")</f>
        <v/>
      </c>
      <c r="C117" s="18" t="str">
        <f>IFERROR(INDEX(Personnel[Vatandaslik],$K117),"")</f>
        <v/>
      </c>
      <c r="D117" s="18" t="str">
        <f>IFERROR(INDEX(Personnel[Santiye],$K117),"")</f>
        <v/>
      </c>
      <c r="E117" s="18" t="str">
        <f>IFERROR(INDEX(Personnel[Ogretmen],$K117),"")</f>
        <v/>
      </c>
      <c r="F117" s="17" t="str">
        <f>IFERROR(INDEX(Personnel[[Sinav ]],$K117),"")</f>
        <v/>
      </c>
      <c r="G117" s="17" t="str">
        <f>IFERROR(INDEX(Personnel[Egtim durumu],$K117),"")</f>
        <v/>
      </c>
      <c r="H117" s="17" t="str">
        <f>IFERROR(INDEX(Personnel[Shohruh Not],$K117),"")</f>
        <v/>
      </c>
      <c r="I117" s="18" t="str">
        <f>IFERROR(INDEX(Personnel[Дней в РФ],$K117),"")</f>
        <v/>
      </c>
      <c r="K117" s="23" t="str">
        <f t="array" ref="K117">IFERROR(_xlfn.AGGREGATE(15,6,(ROW(Personnel[Egtim durumu])-MIN(ROW(Personnel[Egtim durumu]))+1)/((Personnel[Egtim durumu]="Egitime  devem eden")),ROWS($K$7:K117)),"")</f>
        <v/>
      </c>
    </row>
    <row r="118" spans="1:11" x14ac:dyDescent="0.25">
      <c r="A118" s="36" t="str">
        <f>IFERROR(INDEX(Personnel[Sicil],$K118),"")</f>
        <v/>
      </c>
      <c r="B118" s="37" t="str">
        <f>IFERROR(INDEX(Personnel[Adi Soyadi],$K118),"")</f>
        <v/>
      </c>
      <c r="C118" s="36" t="str">
        <f>IFERROR(INDEX(Personnel[Vatandaslik],$K118),"")</f>
        <v/>
      </c>
      <c r="D118" s="36" t="str">
        <f>IFERROR(INDEX(Personnel[Santiye],$K118),"")</f>
        <v/>
      </c>
      <c r="E118" s="36" t="str">
        <f>IFERROR(INDEX(Personnel[Ogretmen],$K118),"")</f>
        <v/>
      </c>
      <c r="F118" s="37" t="str">
        <f>IFERROR(INDEX(Personnel[[Sinav ]],$K118),"")</f>
        <v/>
      </c>
      <c r="G118" s="37" t="str">
        <f>IFERROR(INDEX(Personnel[Egtim durumu],$K118),"")</f>
        <v/>
      </c>
      <c r="H118" s="37" t="str">
        <f>IFERROR(INDEX(Personnel[Shohruh Not],$K118),"")</f>
        <v/>
      </c>
      <c r="I118" s="36" t="str">
        <f>IFERROR(INDEX(Personnel[Дней в РФ],$K118),"")</f>
        <v/>
      </c>
      <c r="K118" s="23" t="str">
        <f t="array" ref="K118">IFERROR(_xlfn.AGGREGATE(15,6,(ROW(Personnel[Egtim durumu])-MIN(ROW(Personnel[Egtim durumu]))+1)/((Personnel[Egtim durumu]="Egitime  devem eden")),ROWS($K$7:K118)),"")</f>
        <v/>
      </c>
    </row>
    <row r="119" spans="1:11" x14ac:dyDescent="0.25">
      <c r="A119" s="18" t="str">
        <f>IFERROR(INDEX(Personnel[Sicil],$K119),"")</f>
        <v/>
      </c>
      <c r="B119" s="17" t="str">
        <f>IFERROR(INDEX(Personnel[Adi Soyadi],$K119),"")</f>
        <v/>
      </c>
      <c r="C119" s="18" t="str">
        <f>IFERROR(INDEX(Personnel[Vatandaslik],$K119),"")</f>
        <v/>
      </c>
      <c r="D119" s="18" t="str">
        <f>IFERROR(INDEX(Personnel[Santiye],$K119),"")</f>
        <v/>
      </c>
      <c r="E119" s="18" t="str">
        <f>IFERROR(INDEX(Personnel[Ogretmen],$K119),"")</f>
        <v/>
      </c>
      <c r="F119" s="17" t="str">
        <f>IFERROR(INDEX(Personnel[[Sinav ]],$K119),"")</f>
        <v/>
      </c>
      <c r="G119" s="17" t="str">
        <f>IFERROR(INDEX(Personnel[Egtim durumu],$K119),"")</f>
        <v/>
      </c>
      <c r="H119" s="17" t="str">
        <f>IFERROR(INDEX(Personnel[Shohruh Not],$K119),"")</f>
        <v/>
      </c>
      <c r="I119" s="18" t="str">
        <f>IFERROR(INDEX(Personnel[Дней в РФ],$K119),"")</f>
        <v/>
      </c>
      <c r="K119" s="23" t="str">
        <f t="array" ref="K119">IFERROR(_xlfn.AGGREGATE(15,6,(ROW(Personnel[Egtim durumu])-MIN(ROW(Personnel[Egtim durumu]))+1)/((Personnel[Egtim durumu]="Egitime  devem eden")),ROWS($K$7:K119)),"")</f>
        <v/>
      </c>
    </row>
    <row r="120" spans="1:11" x14ac:dyDescent="0.25">
      <c r="A120" s="36" t="str">
        <f>IFERROR(INDEX(Personnel[Sicil],$K120),"")</f>
        <v/>
      </c>
      <c r="B120" s="37" t="str">
        <f>IFERROR(INDEX(Personnel[Adi Soyadi],$K120),"")</f>
        <v/>
      </c>
      <c r="C120" s="36" t="str">
        <f>IFERROR(INDEX(Personnel[Vatandaslik],$K120),"")</f>
        <v/>
      </c>
      <c r="D120" s="36" t="str">
        <f>IFERROR(INDEX(Personnel[Santiye],$K120),"")</f>
        <v/>
      </c>
      <c r="E120" s="36" t="str">
        <f>IFERROR(INDEX(Personnel[Ogretmen],$K120),"")</f>
        <v/>
      </c>
      <c r="F120" s="37" t="str">
        <f>IFERROR(INDEX(Personnel[[Sinav ]],$K120),"")</f>
        <v/>
      </c>
      <c r="G120" s="37" t="str">
        <f>IFERROR(INDEX(Personnel[Egtim durumu],$K120),"")</f>
        <v/>
      </c>
      <c r="H120" s="37" t="str">
        <f>IFERROR(INDEX(Personnel[Shohruh Not],$K120),"")</f>
        <v/>
      </c>
      <c r="I120" s="36" t="str">
        <f>IFERROR(INDEX(Personnel[Дней в РФ],$K120),"")</f>
        <v/>
      </c>
      <c r="K120" s="23" t="str">
        <f t="array" ref="K120">IFERROR(_xlfn.AGGREGATE(15,6,(ROW(Personnel[Egtim durumu])-MIN(ROW(Personnel[Egtim durumu]))+1)/((Personnel[Egtim durumu]="Egitime  devem eden")),ROWS($K$7:K120)),"")</f>
        <v/>
      </c>
    </row>
    <row r="121" spans="1:11" x14ac:dyDescent="0.25">
      <c r="A121" s="18" t="str">
        <f>IFERROR(INDEX(Personnel[Sicil],$K121),"")</f>
        <v/>
      </c>
      <c r="B121" s="17" t="str">
        <f>IFERROR(INDEX(Personnel[Adi Soyadi],$K121),"")</f>
        <v/>
      </c>
      <c r="C121" s="18" t="str">
        <f>IFERROR(INDEX(Personnel[Vatandaslik],$K121),"")</f>
        <v/>
      </c>
      <c r="D121" s="18" t="str">
        <f>IFERROR(INDEX(Personnel[Santiye],$K121),"")</f>
        <v/>
      </c>
      <c r="E121" s="18" t="str">
        <f>IFERROR(INDEX(Personnel[Ogretmen],$K121),"")</f>
        <v/>
      </c>
      <c r="F121" s="17" t="str">
        <f>IFERROR(INDEX(Personnel[[Sinav ]],$K121),"")</f>
        <v/>
      </c>
      <c r="G121" s="17" t="str">
        <f>IFERROR(INDEX(Personnel[Egtim durumu],$K121),"")</f>
        <v/>
      </c>
      <c r="H121" s="17" t="str">
        <f>IFERROR(INDEX(Personnel[Shohruh Not],$K121),"")</f>
        <v/>
      </c>
      <c r="I121" s="18" t="str">
        <f>IFERROR(INDEX(Personnel[Дней в РФ],$K121),"")</f>
        <v/>
      </c>
      <c r="K121" s="23" t="str">
        <f t="array" ref="K121">IFERROR(_xlfn.AGGREGATE(15,6,(ROW(Personnel[Egtim durumu])-MIN(ROW(Personnel[Egtim durumu]))+1)/((Personnel[Egtim durumu]="Egitime  devem eden")),ROWS($K$7:K121)),"")</f>
        <v/>
      </c>
    </row>
    <row r="122" spans="1:11" x14ac:dyDescent="0.25">
      <c r="A122" s="36" t="str">
        <f>IFERROR(INDEX(Personnel[Sicil],$K122),"")</f>
        <v/>
      </c>
      <c r="B122" s="37" t="str">
        <f>IFERROR(INDEX(Personnel[Adi Soyadi],$K122),"")</f>
        <v/>
      </c>
      <c r="C122" s="36" t="str">
        <f>IFERROR(INDEX(Personnel[Vatandaslik],$K122),"")</f>
        <v/>
      </c>
      <c r="D122" s="36" t="str">
        <f>IFERROR(INDEX(Personnel[Santiye],$K122),"")</f>
        <v/>
      </c>
      <c r="E122" s="36" t="str">
        <f>IFERROR(INDEX(Personnel[Ogretmen],$K122),"")</f>
        <v/>
      </c>
      <c r="F122" s="37" t="str">
        <f>IFERROR(INDEX(Personnel[[Sinav ]],$K122),"")</f>
        <v/>
      </c>
      <c r="G122" s="37" t="str">
        <f>IFERROR(INDEX(Personnel[Egtim durumu],$K122),"")</f>
        <v/>
      </c>
      <c r="H122" s="37" t="str">
        <f>IFERROR(INDEX(Personnel[Shohruh Not],$K122),"")</f>
        <v/>
      </c>
      <c r="I122" s="36" t="str">
        <f>IFERROR(INDEX(Personnel[Дней в РФ],$K122),"")</f>
        <v/>
      </c>
      <c r="K122" s="23" t="str">
        <f t="array" ref="K122">IFERROR(_xlfn.AGGREGATE(15,6,(ROW(Personnel[Egtim durumu])-MIN(ROW(Personnel[Egtim durumu]))+1)/((Personnel[Egtim durumu]="Egitime  devem eden")),ROWS($K$7:K122)),"")</f>
        <v/>
      </c>
    </row>
    <row r="123" spans="1:11" x14ac:dyDescent="0.25">
      <c r="A123" s="18" t="str">
        <f>IFERROR(INDEX(Personnel[Sicil],$K123),"")</f>
        <v/>
      </c>
      <c r="B123" s="17" t="str">
        <f>IFERROR(INDEX(Personnel[Adi Soyadi],$K123),"")</f>
        <v/>
      </c>
      <c r="C123" s="18" t="str">
        <f>IFERROR(INDEX(Personnel[Vatandaslik],$K123),"")</f>
        <v/>
      </c>
      <c r="D123" s="18" t="str">
        <f>IFERROR(INDEX(Personnel[Santiye],$K123),"")</f>
        <v/>
      </c>
      <c r="E123" s="18" t="str">
        <f>IFERROR(INDEX(Personnel[Ogretmen],$K123),"")</f>
        <v/>
      </c>
      <c r="F123" s="17" t="str">
        <f>IFERROR(INDEX(Personnel[[Sinav ]],$K123),"")</f>
        <v/>
      </c>
      <c r="G123" s="17" t="str">
        <f>IFERROR(INDEX(Personnel[Egtim durumu],$K123),"")</f>
        <v/>
      </c>
      <c r="H123" s="17" t="str">
        <f>IFERROR(INDEX(Personnel[Shohruh Not],$K123),"")</f>
        <v/>
      </c>
      <c r="I123" s="18" t="str">
        <f>IFERROR(INDEX(Personnel[Дней в РФ],$K123),"")</f>
        <v/>
      </c>
      <c r="K123" s="23" t="str">
        <f t="array" ref="K123">IFERROR(_xlfn.AGGREGATE(15,6,(ROW(Personnel[Egtim durumu])-MIN(ROW(Personnel[Egtim durumu]))+1)/((Personnel[Egtim durumu]="Egitime  devem eden")),ROWS($K$7:K123)),"")</f>
        <v/>
      </c>
    </row>
    <row r="124" spans="1:11" x14ac:dyDescent="0.25">
      <c r="A124" s="36" t="str">
        <f>IFERROR(INDEX(Personnel[Sicil],$K124),"")</f>
        <v/>
      </c>
      <c r="B124" s="37" t="str">
        <f>IFERROR(INDEX(Personnel[Adi Soyadi],$K124),"")</f>
        <v/>
      </c>
      <c r="C124" s="36" t="str">
        <f>IFERROR(INDEX(Personnel[Vatandaslik],$K124),"")</f>
        <v/>
      </c>
      <c r="D124" s="36" t="str">
        <f>IFERROR(INDEX(Personnel[Santiye],$K124),"")</f>
        <v/>
      </c>
      <c r="E124" s="36" t="str">
        <f>IFERROR(INDEX(Personnel[Ogretmen],$K124),"")</f>
        <v/>
      </c>
      <c r="F124" s="37" t="str">
        <f>IFERROR(INDEX(Personnel[[Sinav ]],$K124),"")</f>
        <v/>
      </c>
      <c r="G124" s="37" t="str">
        <f>IFERROR(INDEX(Personnel[Egtim durumu],$K124),"")</f>
        <v/>
      </c>
      <c r="H124" s="37" t="str">
        <f>IFERROR(INDEX(Personnel[Shohruh Not],$K124),"")</f>
        <v/>
      </c>
      <c r="I124" s="36" t="str">
        <f>IFERROR(INDEX(Personnel[Дней в РФ],$K124),"")</f>
        <v/>
      </c>
      <c r="K124" s="23" t="str">
        <f t="array" ref="K124">IFERROR(_xlfn.AGGREGATE(15,6,(ROW(Personnel[Egtim durumu])-MIN(ROW(Personnel[Egtim durumu]))+1)/((Personnel[Egtim durumu]="Egitime  devem eden")),ROWS($K$7:K124)),"")</f>
        <v/>
      </c>
    </row>
    <row r="125" spans="1:11" x14ac:dyDescent="0.25">
      <c r="A125" s="18" t="str">
        <f>IFERROR(INDEX(Personnel[Sicil],$K125),"")</f>
        <v/>
      </c>
      <c r="B125" s="17" t="str">
        <f>IFERROR(INDEX(Personnel[Adi Soyadi],$K125),"")</f>
        <v/>
      </c>
      <c r="C125" s="18" t="str">
        <f>IFERROR(INDEX(Personnel[Vatandaslik],$K125),"")</f>
        <v/>
      </c>
      <c r="D125" s="18" t="str">
        <f>IFERROR(INDEX(Personnel[Santiye],$K125),"")</f>
        <v/>
      </c>
      <c r="E125" s="18" t="str">
        <f>IFERROR(INDEX(Personnel[Ogretmen],$K125),"")</f>
        <v/>
      </c>
      <c r="F125" s="17" t="str">
        <f>IFERROR(INDEX(Personnel[[Sinav ]],$K125),"")</f>
        <v/>
      </c>
      <c r="G125" s="17" t="str">
        <f>IFERROR(INDEX(Personnel[Egtim durumu],$K125),"")</f>
        <v/>
      </c>
      <c r="H125" s="17" t="str">
        <f>IFERROR(INDEX(Personnel[Shohruh Not],$K125),"")</f>
        <v/>
      </c>
      <c r="I125" s="18" t="str">
        <f>IFERROR(INDEX(Personnel[Дней в РФ],$K125),"")</f>
        <v/>
      </c>
      <c r="K125" s="23" t="str">
        <f t="array" ref="K125">IFERROR(_xlfn.AGGREGATE(15,6,(ROW(Personnel[Egtim durumu])-MIN(ROW(Personnel[Egtim durumu]))+1)/((Personnel[Egtim durumu]="Egitime  devem eden")),ROWS($K$7:K125)),"")</f>
        <v/>
      </c>
    </row>
    <row r="126" spans="1:11" x14ac:dyDescent="0.25">
      <c r="A126" s="36" t="str">
        <f>IFERROR(INDEX(Personnel[Sicil],$K126),"")</f>
        <v/>
      </c>
      <c r="B126" s="37" t="str">
        <f>IFERROR(INDEX(Personnel[Adi Soyadi],$K126),"")</f>
        <v/>
      </c>
      <c r="C126" s="36" t="str">
        <f>IFERROR(INDEX(Personnel[Vatandaslik],$K126),"")</f>
        <v/>
      </c>
      <c r="D126" s="36" t="str">
        <f>IFERROR(INDEX(Personnel[Santiye],$K126),"")</f>
        <v/>
      </c>
      <c r="E126" s="36" t="str">
        <f>IFERROR(INDEX(Personnel[Ogretmen],$K126),"")</f>
        <v/>
      </c>
      <c r="F126" s="37" t="str">
        <f>IFERROR(INDEX(Personnel[[Sinav ]],$K126),"")</f>
        <v/>
      </c>
      <c r="G126" s="37" t="str">
        <f>IFERROR(INDEX(Personnel[Egtim durumu],$K126),"")</f>
        <v/>
      </c>
      <c r="H126" s="37" t="str">
        <f>IFERROR(INDEX(Personnel[Shohruh Not],$K126),"")</f>
        <v/>
      </c>
      <c r="I126" s="36" t="str">
        <f>IFERROR(INDEX(Personnel[Дней в РФ],$K126),"")</f>
        <v/>
      </c>
      <c r="K126" s="23" t="str">
        <f t="array" ref="K126">IFERROR(_xlfn.AGGREGATE(15,6,(ROW(Personnel[Egtim durumu])-MIN(ROW(Personnel[Egtim durumu]))+1)/((Personnel[Egtim durumu]="Egitime  devem eden")),ROWS($K$7:K126)),"")</f>
        <v/>
      </c>
    </row>
    <row r="127" spans="1:11" x14ac:dyDescent="0.25">
      <c r="A127" s="18" t="str">
        <f>IFERROR(INDEX(Personnel[Sicil],$K127),"")</f>
        <v/>
      </c>
      <c r="B127" s="17" t="str">
        <f>IFERROR(INDEX(Personnel[Adi Soyadi],$K127),"")</f>
        <v/>
      </c>
      <c r="C127" s="18" t="str">
        <f>IFERROR(INDEX(Personnel[Vatandaslik],$K127),"")</f>
        <v/>
      </c>
      <c r="D127" s="18" t="str">
        <f>IFERROR(INDEX(Personnel[Santiye],$K127),"")</f>
        <v/>
      </c>
      <c r="E127" s="18" t="str">
        <f>IFERROR(INDEX(Personnel[Ogretmen],$K127),"")</f>
        <v/>
      </c>
      <c r="F127" s="17" t="str">
        <f>IFERROR(INDEX(Personnel[[Sinav ]],$K127),"")</f>
        <v/>
      </c>
      <c r="G127" s="17" t="str">
        <f>IFERROR(INDEX(Personnel[Egtim durumu],$K127),"")</f>
        <v/>
      </c>
      <c r="H127" s="17" t="str">
        <f>IFERROR(INDEX(Personnel[Shohruh Not],$K127),"")</f>
        <v/>
      </c>
      <c r="I127" s="18" t="str">
        <f>IFERROR(INDEX(Personnel[Дней в РФ],$K127),"")</f>
        <v/>
      </c>
      <c r="K127" s="23" t="str">
        <f t="array" ref="K127">IFERROR(_xlfn.AGGREGATE(15,6,(ROW(Personnel[Egtim durumu])-MIN(ROW(Personnel[Egtim durumu]))+1)/((Personnel[Egtim durumu]="Egitime  devem eden")),ROWS($K$7:K127)),"")</f>
        <v/>
      </c>
    </row>
    <row r="128" spans="1:11" x14ac:dyDescent="0.25">
      <c r="A128" s="36" t="str">
        <f>IFERROR(INDEX(Personnel[Sicil],$K128),"")</f>
        <v/>
      </c>
      <c r="B128" s="37" t="str">
        <f>IFERROR(INDEX(Personnel[Adi Soyadi],$K128),"")</f>
        <v/>
      </c>
      <c r="C128" s="36" t="str">
        <f>IFERROR(INDEX(Personnel[Vatandaslik],$K128),"")</f>
        <v/>
      </c>
      <c r="D128" s="36" t="str">
        <f>IFERROR(INDEX(Personnel[Santiye],$K128),"")</f>
        <v/>
      </c>
      <c r="E128" s="36" t="str">
        <f>IFERROR(INDEX(Personnel[Ogretmen],$K128),"")</f>
        <v/>
      </c>
      <c r="F128" s="37" t="str">
        <f>IFERROR(INDEX(Personnel[[Sinav ]],$K128),"")</f>
        <v/>
      </c>
      <c r="G128" s="37" t="str">
        <f>IFERROR(INDEX(Personnel[Egtim durumu],$K128),"")</f>
        <v/>
      </c>
      <c r="H128" s="37" t="str">
        <f>IFERROR(INDEX(Personnel[Shohruh Not],$K128),"")</f>
        <v/>
      </c>
      <c r="I128" s="36" t="str">
        <f>IFERROR(INDEX(Personnel[Дней в РФ],$K128),"")</f>
        <v/>
      </c>
      <c r="K128" s="23" t="str">
        <f t="array" ref="K128">IFERROR(_xlfn.AGGREGATE(15,6,(ROW(Personnel[Egtim durumu])-MIN(ROW(Personnel[Egtim durumu]))+1)/((Personnel[Egtim durumu]="Egitime  devem eden")),ROWS($K$7:K128)),"")</f>
        <v/>
      </c>
    </row>
    <row r="129" spans="1:11" x14ac:dyDescent="0.25">
      <c r="A129" s="18" t="str">
        <f>IFERROR(INDEX(Personnel[Sicil],$K129),"")</f>
        <v/>
      </c>
      <c r="B129" s="17" t="str">
        <f>IFERROR(INDEX(Personnel[Adi Soyadi],$K129),"")</f>
        <v/>
      </c>
      <c r="C129" s="18" t="str">
        <f>IFERROR(INDEX(Personnel[Vatandaslik],$K129),"")</f>
        <v/>
      </c>
      <c r="D129" s="18" t="str">
        <f>IFERROR(INDEX(Personnel[Santiye],$K129),"")</f>
        <v/>
      </c>
      <c r="E129" s="18" t="str">
        <f>IFERROR(INDEX(Personnel[Ogretmen],$K129),"")</f>
        <v/>
      </c>
      <c r="F129" s="17" t="str">
        <f>IFERROR(INDEX(Personnel[[Sinav ]],$K129),"")</f>
        <v/>
      </c>
      <c r="G129" s="17" t="str">
        <f>IFERROR(INDEX(Personnel[Egtim durumu],$K129),"")</f>
        <v/>
      </c>
      <c r="H129" s="17" t="str">
        <f>IFERROR(INDEX(Personnel[Shohruh Not],$K129),"")</f>
        <v/>
      </c>
      <c r="I129" s="18" t="str">
        <f>IFERROR(INDEX(Personnel[Дней в РФ],$K129),"")</f>
        <v/>
      </c>
      <c r="K129" s="23" t="str">
        <f t="array" ref="K129">IFERROR(_xlfn.AGGREGATE(15,6,(ROW(Personnel[Egtim durumu])-MIN(ROW(Personnel[Egtim durumu]))+1)/((Personnel[Egtim durumu]="Egitime  devem eden")),ROWS($K$7:K129)),"")</f>
        <v/>
      </c>
    </row>
    <row r="130" spans="1:11" x14ac:dyDescent="0.25">
      <c r="A130" s="36" t="str">
        <f>IFERROR(INDEX(Personnel[Sicil],$K130),"")</f>
        <v/>
      </c>
      <c r="B130" s="37" t="str">
        <f>IFERROR(INDEX(Personnel[Adi Soyadi],$K130),"")</f>
        <v/>
      </c>
      <c r="C130" s="36" t="str">
        <f>IFERROR(INDEX(Personnel[Vatandaslik],$K130),"")</f>
        <v/>
      </c>
      <c r="D130" s="36" t="str">
        <f>IFERROR(INDEX(Personnel[Santiye],$K130),"")</f>
        <v/>
      </c>
      <c r="E130" s="36" t="str">
        <f>IFERROR(INDEX(Personnel[Ogretmen],$K130),"")</f>
        <v/>
      </c>
      <c r="F130" s="37" t="str">
        <f>IFERROR(INDEX(Personnel[[Sinav ]],$K130),"")</f>
        <v/>
      </c>
      <c r="G130" s="37" t="str">
        <f>IFERROR(INDEX(Personnel[Egtim durumu],$K130),"")</f>
        <v/>
      </c>
      <c r="H130" s="37" t="str">
        <f>IFERROR(INDEX(Personnel[Shohruh Not],$K130),"")</f>
        <v/>
      </c>
      <c r="I130" s="36" t="str">
        <f>IFERROR(INDEX(Personnel[Дней в РФ],$K130),"")</f>
        <v/>
      </c>
      <c r="K130" s="23" t="str">
        <f t="array" ref="K130">IFERROR(_xlfn.AGGREGATE(15,6,(ROW(Personnel[Egtim durumu])-MIN(ROW(Personnel[Egtim durumu]))+1)/((Personnel[Egtim durumu]="Egitime  devem eden")),ROWS($K$7:K130)),"")</f>
        <v/>
      </c>
    </row>
    <row r="131" spans="1:11" x14ac:dyDescent="0.25">
      <c r="A131" s="18" t="str">
        <f>IFERROR(INDEX(Personnel[Sicil],$K131),"")</f>
        <v/>
      </c>
      <c r="B131" s="17" t="str">
        <f>IFERROR(INDEX(Personnel[Adi Soyadi],$K131),"")</f>
        <v/>
      </c>
      <c r="C131" s="18" t="str">
        <f>IFERROR(INDEX(Personnel[Vatandaslik],$K131),"")</f>
        <v/>
      </c>
      <c r="D131" s="18" t="str">
        <f>IFERROR(INDEX(Personnel[Santiye],$K131),"")</f>
        <v/>
      </c>
      <c r="E131" s="18" t="str">
        <f>IFERROR(INDEX(Personnel[Ogretmen],$K131),"")</f>
        <v/>
      </c>
      <c r="F131" s="17" t="str">
        <f>IFERROR(INDEX(Personnel[[Sinav ]],$K131),"")</f>
        <v/>
      </c>
      <c r="G131" s="17" t="str">
        <f>IFERROR(INDEX(Personnel[Egtim durumu],$K131),"")</f>
        <v/>
      </c>
      <c r="H131" s="17" t="str">
        <f>IFERROR(INDEX(Personnel[Shohruh Not],$K131),"")</f>
        <v/>
      </c>
      <c r="I131" s="18" t="str">
        <f>IFERROR(INDEX(Personnel[Дней в РФ],$K131),"")</f>
        <v/>
      </c>
      <c r="K131" s="23" t="str">
        <f t="array" ref="K131">IFERROR(_xlfn.AGGREGATE(15,6,(ROW(Personnel[Egtim durumu])-MIN(ROW(Personnel[Egtim durumu]))+1)/((Personnel[Egtim durumu]="Egitime  devem eden")),ROWS($K$7:K131)),"")</f>
        <v/>
      </c>
    </row>
    <row r="132" spans="1:11" x14ac:dyDescent="0.25">
      <c r="A132" s="36" t="str">
        <f>IFERROR(INDEX(Personnel[Sicil],$K132),"")</f>
        <v/>
      </c>
      <c r="B132" s="37" t="str">
        <f>IFERROR(INDEX(Personnel[Adi Soyadi],$K132),"")</f>
        <v/>
      </c>
      <c r="C132" s="36" t="str">
        <f>IFERROR(INDEX(Personnel[Vatandaslik],$K132),"")</f>
        <v/>
      </c>
      <c r="D132" s="36" t="str">
        <f>IFERROR(INDEX(Personnel[Santiye],$K132),"")</f>
        <v/>
      </c>
      <c r="E132" s="36" t="str">
        <f>IFERROR(INDEX(Personnel[Ogretmen],$K132),"")</f>
        <v/>
      </c>
      <c r="F132" s="37" t="str">
        <f>IFERROR(INDEX(Personnel[[Sinav ]],$K132),"")</f>
        <v/>
      </c>
      <c r="G132" s="37" t="str">
        <f>IFERROR(INDEX(Personnel[Egtim durumu],$K132),"")</f>
        <v/>
      </c>
      <c r="H132" s="37" t="str">
        <f>IFERROR(INDEX(Personnel[Shohruh Not],$K132),"")</f>
        <v/>
      </c>
      <c r="I132" s="36" t="str">
        <f>IFERROR(INDEX(Personnel[Дней в РФ],$K132),"")</f>
        <v/>
      </c>
      <c r="K132" s="23" t="str">
        <f t="array" ref="K132">IFERROR(_xlfn.AGGREGATE(15,6,(ROW(Personnel[Egtim durumu])-MIN(ROW(Personnel[Egtim durumu]))+1)/((Personnel[Egtim durumu]="Egitime  devem eden")),ROWS($K$7:K132)),"")</f>
        <v/>
      </c>
    </row>
    <row r="133" spans="1:11" x14ac:dyDescent="0.25">
      <c r="A133" s="18" t="str">
        <f>IFERROR(INDEX(Personnel[Sicil],$K133),"")</f>
        <v/>
      </c>
      <c r="B133" s="17" t="str">
        <f>IFERROR(INDEX(Personnel[Adi Soyadi],$K133),"")</f>
        <v/>
      </c>
      <c r="C133" s="18" t="str">
        <f>IFERROR(INDEX(Personnel[Vatandaslik],$K133),"")</f>
        <v/>
      </c>
      <c r="D133" s="18" t="str">
        <f>IFERROR(INDEX(Personnel[Santiye],$K133),"")</f>
        <v/>
      </c>
      <c r="E133" s="18" t="str">
        <f>IFERROR(INDEX(Personnel[Ogretmen],$K133),"")</f>
        <v/>
      </c>
      <c r="F133" s="17" t="str">
        <f>IFERROR(INDEX(Personnel[[Sinav ]],$K133),"")</f>
        <v/>
      </c>
      <c r="G133" s="17" t="str">
        <f>IFERROR(INDEX(Personnel[Egtim durumu],$K133),"")</f>
        <v/>
      </c>
      <c r="H133" s="17" t="str">
        <f>IFERROR(INDEX(Personnel[Shohruh Not],$K133),"")</f>
        <v/>
      </c>
      <c r="I133" s="18" t="str">
        <f>IFERROR(INDEX(Personnel[Дней в РФ],$K133),"")</f>
        <v/>
      </c>
      <c r="K133" s="23" t="str">
        <f t="array" ref="K133">IFERROR(_xlfn.AGGREGATE(15,6,(ROW(Personnel[Egtim durumu])-MIN(ROW(Personnel[Egtim durumu]))+1)/((Personnel[Egtim durumu]="Egitime  devem eden")),ROWS($K$7:K133)),"")</f>
        <v/>
      </c>
    </row>
    <row r="134" spans="1:11" x14ac:dyDescent="0.25">
      <c r="A134" s="36" t="str">
        <f>IFERROR(INDEX(Personnel[Sicil],$K134),"")</f>
        <v/>
      </c>
      <c r="B134" s="37" t="str">
        <f>IFERROR(INDEX(Personnel[Adi Soyadi],$K134),"")</f>
        <v/>
      </c>
      <c r="C134" s="36" t="str">
        <f>IFERROR(INDEX(Personnel[Vatandaslik],$K134),"")</f>
        <v/>
      </c>
      <c r="D134" s="36" t="str">
        <f>IFERROR(INDEX(Personnel[Santiye],$K134),"")</f>
        <v/>
      </c>
      <c r="E134" s="36" t="str">
        <f>IFERROR(INDEX(Personnel[Ogretmen],$K134),"")</f>
        <v/>
      </c>
      <c r="F134" s="37" t="str">
        <f>IFERROR(INDEX(Personnel[[Sinav ]],$K134),"")</f>
        <v/>
      </c>
      <c r="G134" s="37" t="str">
        <f>IFERROR(INDEX(Personnel[Egtim durumu],$K134),"")</f>
        <v/>
      </c>
      <c r="H134" s="37" t="str">
        <f>IFERROR(INDEX(Personnel[Shohruh Not],$K134),"")</f>
        <v/>
      </c>
      <c r="I134" s="36" t="str">
        <f>IFERROR(INDEX(Personnel[Дней в РФ],$K134),"")</f>
        <v/>
      </c>
      <c r="K134" s="23" t="str">
        <f t="array" ref="K134">IFERROR(_xlfn.AGGREGATE(15,6,(ROW(Personnel[Egtim durumu])-MIN(ROW(Personnel[Egtim durumu]))+1)/((Personnel[Egtim durumu]="Egitime  devem eden")),ROWS($K$7:K134)),"")</f>
        <v/>
      </c>
    </row>
    <row r="135" spans="1:11" x14ac:dyDescent="0.25">
      <c r="A135" s="18" t="str">
        <f>IFERROR(INDEX(Personnel[Sicil],$K135),"")</f>
        <v/>
      </c>
      <c r="B135" s="17" t="str">
        <f>IFERROR(INDEX(Personnel[Adi Soyadi],$K135),"")</f>
        <v/>
      </c>
      <c r="C135" s="18" t="str">
        <f>IFERROR(INDEX(Personnel[Vatandaslik],$K135),"")</f>
        <v/>
      </c>
      <c r="D135" s="18" t="str">
        <f>IFERROR(INDEX(Personnel[Santiye],$K135),"")</f>
        <v/>
      </c>
      <c r="E135" s="18" t="str">
        <f>IFERROR(INDEX(Personnel[Ogretmen],$K135),"")</f>
        <v/>
      </c>
      <c r="F135" s="17" t="str">
        <f>IFERROR(INDEX(Personnel[[Sinav ]],$K135),"")</f>
        <v/>
      </c>
      <c r="G135" s="17" t="str">
        <f>IFERROR(INDEX(Personnel[Egtim durumu],$K135),"")</f>
        <v/>
      </c>
      <c r="H135" s="17" t="str">
        <f>IFERROR(INDEX(Personnel[Shohruh Not],$K135),"")</f>
        <v/>
      </c>
      <c r="I135" s="18" t="str">
        <f>IFERROR(INDEX(Personnel[Дней в РФ],$K135),"")</f>
        <v/>
      </c>
      <c r="K135" s="23" t="str">
        <f t="array" ref="K135">IFERROR(_xlfn.AGGREGATE(15,6,(ROW(Personnel[Egtim durumu])-MIN(ROW(Personnel[Egtim durumu]))+1)/((Personnel[Egtim durumu]="Egitime  devem eden")),ROWS($K$7:K135)),"")</f>
        <v/>
      </c>
    </row>
    <row r="136" spans="1:11" x14ac:dyDescent="0.25">
      <c r="A136" s="36" t="str">
        <f>IFERROR(INDEX(Personnel[Sicil],$K136),"")</f>
        <v/>
      </c>
      <c r="B136" s="37" t="str">
        <f>IFERROR(INDEX(Personnel[Adi Soyadi],$K136),"")</f>
        <v/>
      </c>
      <c r="C136" s="36" t="str">
        <f>IFERROR(INDEX(Personnel[Vatandaslik],$K136),"")</f>
        <v/>
      </c>
      <c r="D136" s="36" t="str">
        <f>IFERROR(INDEX(Personnel[Santiye],$K136),"")</f>
        <v/>
      </c>
      <c r="E136" s="36" t="str">
        <f>IFERROR(INDEX(Personnel[Ogretmen],$K136),"")</f>
        <v/>
      </c>
      <c r="F136" s="37" t="str">
        <f>IFERROR(INDEX(Personnel[[Sinav ]],$K136),"")</f>
        <v/>
      </c>
      <c r="G136" s="37" t="str">
        <f>IFERROR(INDEX(Personnel[Egtim durumu],$K136),"")</f>
        <v/>
      </c>
      <c r="H136" s="37" t="str">
        <f>IFERROR(INDEX(Personnel[Shohruh Not],$K136),"")</f>
        <v/>
      </c>
      <c r="I136" s="36" t="str">
        <f>IFERROR(INDEX(Personnel[Дней в РФ],$K136),"")</f>
        <v/>
      </c>
      <c r="K136" s="23" t="str">
        <f t="array" ref="K136">IFERROR(_xlfn.AGGREGATE(15,6,(ROW(Personnel[Egtim durumu])-MIN(ROW(Personnel[Egtim durumu]))+1)/((Personnel[Egtim durumu]="Egitime  devem eden")),ROWS($K$7:K136)),"")</f>
        <v/>
      </c>
    </row>
    <row r="137" spans="1:11" x14ac:dyDescent="0.25">
      <c r="A137" s="18" t="str">
        <f>IFERROR(INDEX(Personnel[Sicil],$K137),"")</f>
        <v/>
      </c>
      <c r="B137" s="17" t="str">
        <f>IFERROR(INDEX(Personnel[Adi Soyadi],$K137),"")</f>
        <v/>
      </c>
      <c r="C137" s="18" t="str">
        <f>IFERROR(INDEX(Personnel[Vatandaslik],$K137),"")</f>
        <v/>
      </c>
      <c r="D137" s="18" t="str">
        <f>IFERROR(INDEX(Personnel[Santiye],$K137),"")</f>
        <v/>
      </c>
      <c r="E137" s="18" t="str">
        <f>IFERROR(INDEX(Personnel[Ogretmen],$K137),"")</f>
        <v/>
      </c>
      <c r="F137" s="17" t="str">
        <f>IFERROR(INDEX(Personnel[[Sinav ]],$K137),"")</f>
        <v/>
      </c>
      <c r="G137" s="17" t="str">
        <f>IFERROR(INDEX(Personnel[Egtim durumu],$K137),"")</f>
        <v/>
      </c>
      <c r="H137" s="17" t="str">
        <f>IFERROR(INDEX(Personnel[Shohruh Not],$K137),"")</f>
        <v/>
      </c>
      <c r="I137" s="18" t="str">
        <f>IFERROR(INDEX(Personnel[Дней в РФ],$K137),"")</f>
        <v/>
      </c>
      <c r="K137" s="23" t="str">
        <f t="array" ref="K137">IFERROR(_xlfn.AGGREGATE(15,6,(ROW(Personnel[Egtim durumu])-MIN(ROW(Personnel[Egtim durumu]))+1)/((Personnel[Egtim durumu]="Egitime  devem eden")),ROWS($K$7:K137)),"")</f>
        <v/>
      </c>
    </row>
    <row r="138" spans="1:11" x14ac:dyDescent="0.25">
      <c r="A138" s="36" t="str">
        <f>IFERROR(INDEX(Personnel[Sicil],$K138),"")</f>
        <v/>
      </c>
      <c r="B138" s="37" t="str">
        <f>IFERROR(INDEX(Personnel[Adi Soyadi],$K138),"")</f>
        <v/>
      </c>
      <c r="C138" s="36" t="str">
        <f>IFERROR(INDEX(Personnel[Vatandaslik],$K138),"")</f>
        <v/>
      </c>
      <c r="D138" s="36" t="str">
        <f>IFERROR(INDEX(Personnel[Santiye],$K138),"")</f>
        <v/>
      </c>
      <c r="E138" s="36" t="str">
        <f>IFERROR(INDEX(Personnel[Ogretmen],$K138),"")</f>
        <v/>
      </c>
      <c r="F138" s="37" t="str">
        <f>IFERROR(INDEX(Personnel[[Sinav ]],$K138),"")</f>
        <v/>
      </c>
      <c r="G138" s="37" t="str">
        <f>IFERROR(INDEX(Personnel[Egtim durumu],$K138),"")</f>
        <v/>
      </c>
      <c r="H138" s="37" t="str">
        <f>IFERROR(INDEX(Personnel[Shohruh Not],$K138),"")</f>
        <v/>
      </c>
      <c r="I138" s="36" t="str">
        <f>IFERROR(INDEX(Personnel[Дней в РФ],$K138),"")</f>
        <v/>
      </c>
      <c r="K138" s="23" t="str">
        <f t="array" ref="K138">IFERROR(_xlfn.AGGREGATE(15,6,(ROW(Personnel[Egtim durumu])-MIN(ROW(Personnel[Egtim durumu]))+1)/((Personnel[Egtim durumu]="Egitime  devem eden")),ROWS($K$7:K138)),"")</f>
        <v/>
      </c>
    </row>
    <row r="139" spans="1:11" x14ac:dyDescent="0.25">
      <c r="A139" s="18" t="str">
        <f>IFERROR(INDEX(Personnel[Sicil],$K139),"")</f>
        <v/>
      </c>
      <c r="B139" s="17" t="str">
        <f>IFERROR(INDEX(Personnel[Adi Soyadi],$K139),"")</f>
        <v/>
      </c>
      <c r="C139" s="18" t="str">
        <f>IFERROR(INDEX(Personnel[Vatandaslik],$K139),"")</f>
        <v/>
      </c>
      <c r="D139" s="18" t="str">
        <f>IFERROR(INDEX(Personnel[Santiye],$K139),"")</f>
        <v/>
      </c>
      <c r="E139" s="18" t="str">
        <f>IFERROR(INDEX(Personnel[Ogretmen],$K139),"")</f>
        <v/>
      </c>
      <c r="F139" s="17" t="str">
        <f>IFERROR(INDEX(Personnel[[Sinav ]],$K139),"")</f>
        <v/>
      </c>
      <c r="G139" s="17" t="str">
        <f>IFERROR(INDEX(Personnel[Egtim durumu],$K139),"")</f>
        <v/>
      </c>
      <c r="H139" s="17" t="str">
        <f>IFERROR(INDEX(Personnel[Shohruh Not],$K139),"")</f>
        <v/>
      </c>
      <c r="I139" s="18" t="str">
        <f>IFERROR(INDEX(Personnel[Дней в РФ],$K139),"")</f>
        <v/>
      </c>
      <c r="K139" s="23" t="str">
        <f t="array" ref="K139">IFERROR(_xlfn.AGGREGATE(15,6,(ROW(Personnel[Egtim durumu])-MIN(ROW(Personnel[Egtim durumu]))+1)/((Personnel[Egtim durumu]="Egitime  devem eden")),ROWS($K$7:K139)),"")</f>
        <v/>
      </c>
    </row>
    <row r="140" spans="1:11" x14ac:dyDescent="0.25">
      <c r="A140" s="36" t="str">
        <f>IFERROR(INDEX(Personnel[Sicil],$K140),"")</f>
        <v/>
      </c>
      <c r="B140" s="37" t="str">
        <f>IFERROR(INDEX(Personnel[Adi Soyadi],$K140),"")</f>
        <v/>
      </c>
      <c r="C140" s="36" t="str">
        <f>IFERROR(INDEX(Personnel[Vatandaslik],$K140),"")</f>
        <v/>
      </c>
      <c r="D140" s="36" t="str">
        <f>IFERROR(INDEX(Personnel[Santiye],$K140),"")</f>
        <v/>
      </c>
      <c r="E140" s="36" t="str">
        <f>IFERROR(INDEX(Personnel[Ogretmen],$K140),"")</f>
        <v/>
      </c>
      <c r="F140" s="37" t="str">
        <f>IFERROR(INDEX(Personnel[[Sinav ]],$K140),"")</f>
        <v/>
      </c>
      <c r="G140" s="37" t="str">
        <f>IFERROR(INDEX(Personnel[Egtim durumu],$K140),"")</f>
        <v/>
      </c>
      <c r="H140" s="37" t="str">
        <f>IFERROR(INDEX(Personnel[Shohruh Not],$K140),"")</f>
        <v/>
      </c>
      <c r="I140" s="36" t="str">
        <f>IFERROR(INDEX(Personnel[Дней в РФ],$K140),"")</f>
        <v/>
      </c>
      <c r="K140" s="23" t="str">
        <f t="array" ref="K140">IFERROR(_xlfn.AGGREGATE(15,6,(ROW(Personnel[Egtim durumu])-MIN(ROW(Personnel[Egtim durumu]))+1)/((Personnel[Egtim durumu]="Egitime  devem eden")),ROWS($K$7:K140)),"")</f>
        <v/>
      </c>
    </row>
    <row r="141" spans="1:11" x14ac:dyDescent="0.25">
      <c r="A141" s="18" t="str">
        <f>IFERROR(INDEX(Personnel[Sicil],$K141),"")</f>
        <v/>
      </c>
      <c r="B141" s="17" t="str">
        <f>IFERROR(INDEX(Personnel[Adi Soyadi],$K141),"")</f>
        <v/>
      </c>
      <c r="C141" s="18" t="str">
        <f>IFERROR(INDEX(Personnel[Vatandaslik],$K141),"")</f>
        <v/>
      </c>
      <c r="D141" s="18" t="str">
        <f>IFERROR(INDEX(Personnel[Santiye],$K141),"")</f>
        <v/>
      </c>
      <c r="E141" s="18" t="str">
        <f>IFERROR(INDEX(Personnel[Ogretmen],$K141),"")</f>
        <v/>
      </c>
      <c r="F141" s="17" t="str">
        <f>IFERROR(INDEX(Personnel[[Sinav ]],$K141),"")</f>
        <v/>
      </c>
      <c r="G141" s="17" t="str">
        <f>IFERROR(INDEX(Personnel[Egtim durumu],$K141),"")</f>
        <v/>
      </c>
      <c r="H141" s="17" t="str">
        <f>IFERROR(INDEX(Personnel[Shohruh Not],$K141),"")</f>
        <v/>
      </c>
      <c r="I141" s="18" t="str">
        <f>IFERROR(INDEX(Personnel[Дней в РФ],$K141),"")</f>
        <v/>
      </c>
      <c r="K141" s="23" t="str">
        <f t="array" ref="K141">IFERROR(_xlfn.AGGREGATE(15,6,(ROW(Personnel[Egtim durumu])-MIN(ROW(Personnel[Egtim durumu]))+1)/((Personnel[Egtim durumu]="Egitime  devem eden")),ROWS($K$7:K141)),"")</f>
        <v/>
      </c>
    </row>
    <row r="142" spans="1:11" x14ac:dyDescent="0.25">
      <c r="A142" s="36" t="str">
        <f>IFERROR(INDEX(Personnel[Sicil],$K142),"")</f>
        <v/>
      </c>
      <c r="B142" s="37" t="str">
        <f>IFERROR(INDEX(Personnel[Adi Soyadi],$K142),"")</f>
        <v/>
      </c>
      <c r="C142" s="36" t="str">
        <f>IFERROR(INDEX(Personnel[Vatandaslik],$K142),"")</f>
        <v/>
      </c>
      <c r="D142" s="36" t="str">
        <f>IFERROR(INDEX(Personnel[Santiye],$K142),"")</f>
        <v/>
      </c>
      <c r="E142" s="36" t="str">
        <f>IFERROR(INDEX(Personnel[Ogretmen],$K142),"")</f>
        <v/>
      </c>
      <c r="F142" s="37" t="str">
        <f>IFERROR(INDEX(Personnel[[Sinav ]],$K142),"")</f>
        <v/>
      </c>
      <c r="G142" s="37" t="str">
        <f>IFERROR(INDEX(Personnel[Egtim durumu],$K142),"")</f>
        <v/>
      </c>
      <c r="H142" s="37" t="str">
        <f>IFERROR(INDEX(Personnel[Shohruh Not],$K142),"")</f>
        <v/>
      </c>
      <c r="I142" s="36" t="str">
        <f>IFERROR(INDEX(Personnel[Дней в РФ],$K142),"")</f>
        <v/>
      </c>
      <c r="K142" s="23" t="str">
        <f t="array" ref="K142">IFERROR(_xlfn.AGGREGATE(15,6,(ROW(Personnel[Egtim durumu])-MIN(ROW(Personnel[Egtim durumu]))+1)/((Personnel[Egtim durumu]="Egitime  devem eden")),ROWS($K$7:K142)),"")</f>
        <v/>
      </c>
    </row>
    <row r="143" spans="1:11" x14ac:dyDescent="0.25">
      <c r="A143" s="18" t="str">
        <f>IFERROR(INDEX(Personnel[Sicil],$K143),"")</f>
        <v/>
      </c>
      <c r="B143" s="17" t="str">
        <f>IFERROR(INDEX(Personnel[Adi Soyadi],$K143),"")</f>
        <v/>
      </c>
      <c r="C143" s="18" t="str">
        <f>IFERROR(INDEX(Personnel[Vatandaslik],$K143),"")</f>
        <v/>
      </c>
      <c r="D143" s="18" t="str">
        <f>IFERROR(INDEX(Personnel[Santiye],$K143),"")</f>
        <v/>
      </c>
      <c r="E143" s="18" t="str">
        <f>IFERROR(INDEX(Personnel[Ogretmen],$K143),"")</f>
        <v/>
      </c>
      <c r="F143" s="17" t="str">
        <f>IFERROR(INDEX(Personnel[[Sinav ]],$K143),"")</f>
        <v/>
      </c>
      <c r="G143" s="17" t="str">
        <f>IFERROR(INDEX(Personnel[Egtim durumu],$K143),"")</f>
        <v/>
      </c>
      <c r="H143" s="17" t="str">
        <f>IFERROR(INDEX(Personnel[Shohruh Not],$K143),"")</f>
        <v/>
      </c>
      <c r="I143" s="18" t="str">
        <f>IFERROR(INDEX(Personnel[Дней в РФ],$K143),"")</f>
        <v/>
      </c>
      <c r="K143" s="23" t="str">
        <f t="array" ref="K143">IFERROR(_xlfn.AGGREGATE(15,6,(ROW(Personnel[Egtim durumu])-MIN(ROW(Personnel[Egtim durumu]))+1)/((Personnel[Egtim durumu]="Egitime  devem eden")),ROWS($K$7:K143)),"")</f>
        <v/>
      </c>
    </row>
    <row r="144" spans="1:11" x14ac:dyDescent="0.25">
      <c r="A144" s="36" t="str">
        <f>IFERROR(INDEX(Personnel[Sicil],$K144),"")</f>
        <v/>
      </c>
      <c r="B144" s="37" t="str">
        <f>IFERROR(INDEX(Personnel[Adi Soyadi],$K144),"")</f>
        <v/>
      </c>
      <c r="C144" s="36" t="str">
        <f>IFERROR(INDEX(Personnel[Vatandaslik],$K144),"")</f>
        <v/>
      </c>
      <c r="D144" s="36" t="str">
        <f>IFERROR(INDEX(Personnel[Santiye],$K144),"")</f>
        <v/>
      </c>
      <c r="E144" s="36" t="str">
        <f>IFERROR(INDEX(Personnel[Ogretmen],$K144),"")</f>
        <v/>
      </c>
      <c r="F144" s="37" t="str">
        <f>IFERROR(INDEX(Personnel[[Sinav ]],$K144),"")</f>
        <v/>
      </c>
      <c r="G144" s="37" t="str">
        <f>IFERROR(INDEX(Personnel[Egtim durumu],$K144),"")</f>
        <v/>
      </c>
      <c r="H144" s="37" t="str">
        <f>IFERROR(INDEX(Personnel[Shohruh Not],$K144),"")</f>
        <v/>
      </c>
      <c r="I144" s="36" t="str">
        <f>IFERROR(INDEX(Personnel[Дней в РФ],$K144),"")</f>
        <v/>
      </c>
      <c r="K144" s="23" t="str">
        <f t="array" ref="K144">IFERROR(_xlfn.AGGREGATE(15,6,(ROW(Personnel[Egtim durumu])-MIN(ROW(Personnel[Egtim durumu]))+1)/((Personnel[Egtim durumu]="Egitime  devem eden")),ROWS($K$7:K144)),"")</f>
        <v/>
      </c>
    </row>
    <row r="145" spans="1:11" x14ac:dyDescent="0.25">
      <c r="A145" s="18" t="str">
        <f>IFERROR(INDEX(Personnel[Sicil],$K145),"")</f>
        <v/>
      </c>
      <c r="B145" s="17" t="str">
        <f>IFERROR(INDEX(Personnel[Adi Soyadi],$K145),"")</f>
        <v/>
      </c>
      <c r="C145" s="18" t="str">
        <f>IFERROR(INDEX(Personnel[Vatandaslik],$K145),"")</f>
        <v/>
      </c>
      <c r="D145" s="18" t="str">
        <f>IFERROR(INDEX(Personnel[Santiye],$K145),"")</f>
        <v/>
      </c>
      <c r="E145" s="18" t="str">
        <f>IFERROR(INDEX(Personnel[Ogretmen],$K145),"")</f>
        <v/>
      </c>
      <c r="F145" s="17" t="str">
        <f>IFERROR(INDEX(Personnel[[Sinav ]],$K145),"")</f>
        <v/>
      </c>
      <c r="G145" s="17" t="str">
        <f>IFERROR(INDEX(Personnel[Egtim durumu],$K145),"")</f>
        <v/>
      </c>
      <c r="H145" s="17" t="str">
        <f>IFERROR(INDEX(Personnel[Shohruh Not],$K145),"")</f>
        <v/>
      </c>
      <c r="I145" s="18" t="str">
        <f>IFERROR(INDEX(Personnel[Дней в РФ],$K145),"")</f>
        <v/>
      </c>
      <c r="K145" s="23" t="str">
        <f t="array" ref="K145">IFERROR(_xlfn.AGGREGATE(15,6,(ROW(Personnel[Egtim durumu])-MIN(ROW(Personnel[Egtim durumu]))+1)/((Personnel[Egtim durumu]="Egitime  devem eden")),ROWS($K$7:K145)),"")</f>
        <v/>
      </c>
    </row>
    <row r="146" spans="1:11" x14ac:dyDescent="0.25">
      <c r="A146" s="36" t="str">
        <f>IFERROR(INDEX(Personnel[Sicil],$K146),"")</f>
        <v/>
      </c>
      <c r="B146" s="37" t="str">
        <f>IFERROR(INDEX(Personnel[Adi Soyadi],$K146),"")</f>
        <v/>
      </c>
      <c r="C146" s="36" t="str">
        <f>IFERROR(INDEX(Personnel[Vatandaslik],$K146),"")</f>
        <v/>
      </c>
      <c r="D146" s="36" t="str">
        <f>IFERROR(INDEX(Personnel[Santiye],$K146),"")</f>
        <v/>
      </c>
      <c r="E146" s="36" t="str">
        <f>IFERROR(INDEX(Personnel[Ogretmen],$K146),"")</f>
        <v/>
      </c>
      <c r="F146" s="37" t="str">
        <f>IFERROR(INDEX(Personnel[[Sinav ]],$K146),"")</f>
        <v/>
      </c>
      <c r="G146" s="37" t="str">
        <f>IFERROR(INDEX(Personnel[Egtim durumu],$K146),"")</f>
        <v/>
      </c>
      <c r="H146" s="37" t="str">
        <f>IFERROR(INDEX(Personnel[Shohruh Not],$K146),"")</f>
        <v/>
      </c>
      <c r="I146" s="36" t="str">
        <f>IFERROR(INDEX(Personnel[Дней в РФ],$K146),"")</f>
        <v/>
      </c>
      <c r="K146" s="23" t="str">
        <f t="array" ref="K146">IFERROR(_xlfn.AGGREGATE(15,6,(ROW(Personnel[Egtim durumu])-MIN(ROW(Personnel[Egtim durumu]))+1)/((Personnel[Egtim durumu]="Egitime  devem eden")),ROWS($K$7:K146)),"")</f>
        <v/>
      </c>
    </row>
    <row r="147" spans="1:11" x14ac:dyDescent="0.25">
      <c r="A147" s="18" t="str">
        <f>IFERROR(INDEX(Personnel[Sicil],$K147),"")</f>
        <v/>
      </c>
      <c r="B147" s="17" t="str">
        <f>IFERROR(INDEX(Personnel[Adi Soyadi],$K147),"")</f>
        <v/>
      </c>
      <c r="C147" s="18" t="str">
        <f>IFERROR(INDEX(Personnel[Vatandaslik],$K147),"")</f>
        <v/>
      </c>
      <c r="D147" s="18" t="str">
        <f>IFERROR(INDEX(Personnel[Santiye],$K147),"")</f>
        <v/>
      </c>
      <c r="E147" s="18" t="str">
        <f>IFERROR(INDEX(Personnel[Ogretmen],$K147),"")</f>
        <v/>
      </c>
      <c r="F147" s="17" t="str">
        <f>IFERROR(INDEX(Personnel[[Sinav ]],$K147),"")</f>
        <v/>
      </c>
      <c r="G147" s="17" t="str">
        <f>IFERROR(INDEX(Personnel[Egtim durumu],$K147),"")</f>
        <v/>
      </c>
      <c r="H147" s="17" t="str">
        <f>IFERROR(INDEX(Personnel[Shohruh Not],$K147),"")</f>
        <v/>
      </c>
      <c r="I147" s="18" t="str">
        <f>IFERROR(INDEX(Personnel[Дней в РФ],$K147),"")</f>
        <v/>
      </c>
      <c r="K147" s="23" t="str">
        <f t="array" ref="K147">IFERROR(_xlfn.AGGREGATE(15,6,(ROW(Personnel[Egtim durumu])-MIN(ROW(Personnel[Egtim durumu]))+1)/((Personnel[Egtim durumu]="Egitime  devem eden")),ROWS($K$7:K147)),"")</f>
        <v/>
      </c>
    </row>
    <row r="148" spans="1:11" x14ac:dyDescent="0.25">
      <c r="A148" s="36" t="str">
        <f>IFERROR(INDEX(Personnel[Sicil],$K148),"")</f>
        <v/>
      </c>
      <c r="B148" s="37" t="str">
        <f>IFERROR(INDEX(Personnel[Adi Soyadi],$K148),"")</f>
        <v/>
      </c>
      <c r="C148" s="36" t="str">
        <f>IFERROR(INDEX(Personnel[Vatandaslik],$K148),"")</f>
        <v/>
      </c>
      <c r="D148" s="36" t="str">
        <f>IFERROR(INDEX(Personnel[Santiye],$K148),"")</f>
        <v/>
      </c>
      <c r="E148" s="36" t="str">
        <f>IFERROR(INDEX(Personnel[Ogretmen],$K148),"")</f>
        <v/>
      </c>
      <c r="F148" s="37" t="str">
        <f>IFERROR(INDEX(Personnel[[Sinav ]],$K148),"")</f>
        <v/>
      </c>
      <c r="G148" s="37" t="str">
        <f>IFERROR(INDEX(Personnel[Egtim durumu],$K148),"")</f>
        <v/>
      </c>
      <c r="H148" s="37" t="str">
        <f>IFERROR(INDEX(Personnel[Shohruh Not],$K148),"")</f>
        <v/>
      </c>
      <c r="I148" s="36" t="str">
        <f>IFERROR(INDEX(Personnel[Дней в РФ],$K148),"")</f>
        <v/>
      </c>
      <c r="K148" s="23" t="str">
        <f t="array" ref="K148">IFERROR(_xlfn.AGGREGATE(15,6,(ROW(Personnel[Egtim durumu])-MIN(ROW(Personnel[Egtim durumu]))+1)/((Personnel[Egtim durumu]="Egitime  devem eden")),ROWS($K$7:K148)),"")</f>
        <v/>
      </c>
    </row>
    <row r="149" spans="1:11" x14ac:dyDescent="0.25">
      <c r="A149" s="18" t="str">
        <f>IFERROR(INDEX(Personnel[Sicil],$K149),"")</f>
        <v/>
      </c>
      <c r="B149" s="17" t="str">
        <f>IFERROR(INDEX(Personnel[Adi Soyadi],$K149),"")</f>
        <v/>
      </c>
      <c r="C149" s="18" t="str">
        <f>IFERROR(INDEX(Personnel[Vatandaslik],$K149),"")</f>
        <v/>
      </c>
      <c r="D149" s="18" t="str">
        <f>IFERROR(INDEX(Personnel[Santiye],$K149),"")</f>
        <v/>
      </c>
      <c r="E149" s="18" t="str">
        <f>IFERROR(INDEX(Personnel[Ogretmen],$K149),"")</f>
        <v/>
      </c>
      <c r="F149" s="17" t="str">
        <f>IFERROR(INDEX(Personnel[[Sinav ]],$K149),"")</f>
        <v/>
      </c>
      <c r="G149" s="17" t="str">
        <f>IFERROR(INDEX(Personnel[Egtim durumu],$K149),"")</f>
        <v/>
      </c>
      <c r="H149" s="17" t="str">
        <f>IFERROR(INDEX(Personnel[Shohruh Not],$K149),"")</f>
        <v/>
      </c>
      <c r="I149" s="18" t="str">
        <f>IFERROR(INDEX(Personnel[Дней в РФ],$K149),"")</f>
        <v/>
      </c>
      <c r="K149" s="23" t="str">
        <f t="array" ref="K149">IFERROR(_xlfn.AGGREGATE(15,6,(ROW(Personnel[Egtim durumu])-MIN(ROW(Personnel[Egtim durumu]))+1)/((Personnel[Egtim durumu]="Egitime  devem eden")),ROWS($K$7:K149)),"")</f>
        <v/>
      </c>
    </row>
    <row r="150" spans="1:11" x14ac:dyDescent="0.25">
      <c r="A150" s="36" t="str">
        <f>IFERROR(INDEX(Personnel[Sicil],$K150),"")</f>
        <v/>
      </c>
      <c r="B150" s="37" t="str">
        <f>IFERROR(INDEX(Personnel[Adi Soyadi],$K150),"")</f>
        <v/>
      </c>
      <c r="C150" s="36" t="str">
        <f>IFERROR(INDEX(Personnel[Vatandaslik],$K150),"")</f>
        <v/>
      </c>
      <c r="D150" s="36" t="str">
        <f>IFERROR(INDEX(Personnel[Santiye],$K150),"")</f>
        <v/>
      </c>
      <c r="E150" s="36" t="str">
        <f>IFERROR(INDEX(Personnel[Ogretmen],$K150),"")</f>
        <v/>
      </c>
      <c r="F150" s="37" t="str">
        <f>IFERROR(INDEX(Personnel[[Sinav ]],$K150),"")</f>
        <v/>
      </c>
      <c r="G150" s="37" t="str">
        <f>IFERROR(INDEX(Personnel[Egtim durumu],$K150),"")</f>
        <v/>
      </c>
      <c r="H150" s="37" t="str">
        <f>IFERROR(INDEX(Personnel[Shohruh Not],$K150),"")</f>
        <v/>
      </c>
      <c r="I150" s="36" t="str">
        <f>IFERROR(INDEX(Personnel[Дней в РФ],$K150),"")</f>
        <v/>
      </c>
      <c r="K150" s="23" t="str">
        <f t="array" ref="K150">IFERROR(_xlfn.AGGREGATE(15,6,(ROW(Personnel[Egtim durumu])-MIN(ROW(Personnel[Egtim durumu]))+1)/((Personnel[Egtim durumu]="Egitime  devem eden")),ROWS($K$7:K150)),"")</f>
        <v/>
      </c>
    </row>
    <row r="151" spans="1:11" x14ac:dyDescent="0.25">
      <c r="A151" s="18" t="str">
        <f>IFERROR(INDEX(Personnel[Sicil],$K151),"")</f>
        <v/>
      </c>
      <c r="B151" s="17" t="str">
        <f>IFERROR(INDEX(Personnel[Adi Soyadi],$K151),"")</f>
        <v/>
      </c>
      <c r="C151" s="18" t="str">
        <f>IFERROR(INDEX(Personnel[Vatandaslik],$K151),"")</f>
        <v/>
      </c>
      <c r="D151" s="18" t="str">
        <f>IFERROR(INDEX(Personnel[Santiye],$K151),"")</f>
        <v/>
      </c>
      <c r="E151" s="18" t="str">
        <f>IFERROR(INDEX(Personnel[Ogretmen],$K151),"")</f>
        <v/>
      </c>
      <c r="F151" s="17" t="str">
        <f>IFERROR(INDEX(Personnel[[Sinav ]],$K151),"")</f>
        <v/>
      </c>
      <c r="G151" s="17" t="str">
        <f>IFERROR(INDEX(Personnel[Egtim durumu],$K151),"")</f>
        <v/>
      </c>
      <c r="H151" s="17" t="str">
        <f>IFERROR(INDEX(Personnel[Shohruh Not],$K151),"")</f>
        <v/>
      </c>
      <c r="I151" s="18" t="str">
        <f>IFERROR(INDEX(Personnel[Дней в РФ],$K151),"")</f>
        <v/>
      </c>
      <c r="K151" s="23" t="str">
        <f t="array" ref="K151">IFERROR(_xlfn.AGGREGATE(15,6,(ROW(Personnel[Egtim durumu])-MIN(ROW(Personnel[Egtim durumu]))+1)/((Personnel[Egtim durumu]="Egitime  devem eden")),ROWS($K$7:K151)),"")</f>
        <v/>
      </c>
    </row>
    <row r="152" spans="1:11" x14ac:dyDescent="0.25">
      <c r="A152" s="36" t="str">
        <f>IFERROR(INDEX(Personnel[Sicil],$K152),"")</f>
        <v/>
      </c>
      <c r="B152" s="37" t="str">
        <f>IFERROR(INDEX(Personnel[Adi Soyadi],$K152),"")</f>
        <v/>
      </c>
      <c r="C152" s="36" t="str">
        <f>IFERROR(INDEX(Personnel[Vatandaslik],$K152),"")</f>
        <v/>
      </c>
      <c r="D152" s="36" t="str">
        <f>IFERROR(INDEX(Personnel[Santiye],$K152),"")</f>
        <v/>
      </c>
      <c r="E152" s="36" t="str">
        <f>IFERROR(INDEX(Personnel[Ogretmen],$K152),"")</f>
        <v/>
      </c>
      <c r="F152" s="37" t="str">
        <f>IFERROR(INDEX(Personnel[[Sinav ]],$K152),"")</f>
        <v/>
      </c>
      <c r="G152" s="37" t="str">
        <f>IFERROR(INDEX(Personnel[Egtim durumu],$K152),"")</f>
        <v/>
      </c>
      <c r="H152" s="37" t="str">
        <f>IFERROR(INDEX(Personnel[Shohruh Not],$K152),"")</f>
        <v/>
      </c>
      <c r="I152" s="36" t="str">
        <f>IFERROR(INDEX(Personnel[Дней в РФ],$K152),"")</f>
        <v/>
      </c>
      <c r="K152" s="23" t="str">
        <f t="array" ref="K152">IFERROR(_xlfn.AGGREGATE(15,6,(ROW(Personnel[Egtim durumu])-MIN(ROW(Personnel[Egtim durumu]))+1)/((Personnel[Egtim durumu]="Egitime  devem eden")),ROWS($K$7:K152)),"")</f>
        <v/>
      </c>
    </row>
    <row r="153" spans="1:11" x14ac:dyDescent="0.25">
      <c r="A153" s="18" t="str">
        <f>IFERROR(INDEX(Personnel[Sicil],$K153),"")</f>
        <v/>
      </c>
      <c r="B153" s="17" t="str">
        <f>IFERROR(INDEX(Personnel[Adi Soyadi],$K153),"")</f>
        <v/>
      </c>
      <c r="C153" s="18" t="str">
        <f>IFERROR(INDEX(Personnel[Vatandaslik],$K153),"")</f>
        <v/>
      </c>
      <c r="D153" s="18" t="str">
        <f>IFERROR(INDEX(Personnel[Santiye],$K153),"")</f>
        <v/>
      </c>
      <c r="E153" s="18" t="str">
        <f>IFERROR(INDEX(Personnel[Ogretmen],$K153),"")</f>
        <v/>
      </c>
      <c r="F153" s="17" t="str">
        <f>IFERROR(INDEX(Personnel[[Sinav ]],$K153),"")</f>
        <v/>
      </c>
      <c r="G153" s="17" t="str">
        <f>IFERROR(INDEX(Personnel[Egtim durumu],$K153),"")</f>
        <v/>
      </c>
      <c r="H153" s="17" t="str">
        <f>IFERROR(INDEX(Personnel[Shohruh Not],$K153),"")</f>
        <v/>
      </c>
      <c r="I153" s="18" t="str">
        <f>IFERROR(INDEX(Personnel[Дней в РФ],$K153),"")</f>
        <v/>
      </c>
      <c r="K153" s="23" t="str">
        <f t="array" ref="K153">IFERROR(_xlfn.AGGREGATE(15,6,(ROW(Personnel[Egtim durumu])-MIN(ROW(Personnel[Egtim durumu]))+1)/((Personnel[Egtim durumu]="Egitime  devem eden")),ROWS($K$7:K153)),"")</f>
        <v/>
      </c>
    </row>
    <row r="154" spans="1:11" x14ac:dyDescent="0.25">
      <c r="A154" s="36" t="str">
        <f>IFERROR(INDEX(Personnel[Sicil],$K154),"")</f>
        <v/>
      </c>
      <c r="B154" s="37" t="str">
        <f>IFERROR(INDEX(Personnel[Adi Soyadi],$K154),"")</f>
        <v/>
      </c>
      <c r="C154" s="36" t="str">
        <f>IFERROR(INDEX(Personnel[Vatandaslik],$K154),"")</f>
        <v/>
      </c>
      <c r="D154" s="36" t="str">
        <f>IFERROR(INDEX(Personnel[Santiye],$K154),"")</f>
        <v/>
      </c>
      <c r="E154" s="36" t="str">
        <f>IFERROR(INDEX(Personnel[Ogretmen],$K154),"")</f>
        <v/>
      </c>
      <c r="F154" s="37" t="str">
        <f>IFERROR(INDEX(Personnel[[Sinav ]],$K154),"")</f>
        <v/>
      </c>
      <c r="G154" s="37" t="str">
        <f>IFERROR(INDEX(Personnel[Egtim durumu],$K154),"")</f>
        <v/>
      </c>
      <c r="H154" s="37" t="str">
        <f>IFERROR(INDEX(Personnel[Shohruh Not],$K154),"")</f>
        <v/>
      </c>
      <c r="I154" s="36" t="str">
        <f>IFERROR(INDEX(Personnel[Дней в РФ],$K154),"")</f>
        <v/>
      </c>
      <c r="K154" s="23" t="str">
        <f t="array" ref="K154">IFERROR(_xlfn.AGGREGATE(15,6,(ROW(Personnel[Egtim durumu])-MIN(ROW(Personnel[Egtim durumu]))+1)/((Personnel[Egtim durumu]="Egitime  devem eden")),ROWS($K$7:K154)),"")</f>
        <v/>
      </c>
    </row>
    <row r="155" spans="1:11" x14ac:dyDescent="0.25">
      <c r="A155" s="18" t="str">
        <f>IFERROR(INDEX(Personnel[Sicil],$K155),"")</f>
        <v/>
      </c>
      <c r="B155" s="17" t="str">
        <f>IFERROR(INDEX(Personnel[Adi Soyadi],$K155),"")</f>
        <v/>
      </c>
      <c r="C155" s="18" t="str">
        <f>IFERROR(INDEX(Personnel[Vatandaslik],$K155),"")</f>
        <v/>
      </c>
      <c r="D155" s="18" t="str">
        <f>IFERROR(INDEX(Personnel[Santiye],$K155),"")</f>
        <v/>
      </c>
      <c r="E155" s="18" t="str">
        <f>IFERROR(INDEX(Personnel[Ogretmen],$K155),"")</f>
        <v/>
      </c>
      <c r="F155" s="17" t="str">
        <f>IFERROR(INDEX(Personnel[[Sinav ]],$K155),"")</f>
        <v/>
      </c>
      <c r="G155" s="17" t="str">
        <f>IFERROR(INDEX(Personnel[Egtim durumu],$K155),"")</f>
        <v/>
      </c>
      <c r="H155" s="17" t="str">
        <f>IFERROR(INDEX(Personnel[Shohruh Not],$K155),"")</f>
        <v/>
      </c>
      <c r="I155" s="18" t="str">
        <f>IFERROR(INDEX(Personnel[Дней в РФ],$K155),"")</f>
        <v/>
      </c>
      <c r="K155" s="23" t="str">
        <f t="array" ref="K155">IFERROR(_xlfn.AGGREGATE(15,6,(ROW(Personnel[Egtim durumu])-MIN(ROW(Personnel[Egtim durumu]))+1)/((Personnel[Egtim durumu]="Egitime  devem eden")),ROWS($K$7:K155)),"")</f>
        <v/>
      </c>
    </row>
    <row r="156" spans="1:11" x14ac:dyDescent="0.25">
      <c r="A156" s="36" t="str">
        <f>IFERROR(INDEX(Personnel[Sicil],$K156),"")</f>
        <v/>
      </c>
      <c r="B156" s="37" t="str">
        <f>IFERROR(INDEX(Personnel[Adi Soyadi],$K156),"")</f>
        <v/>
      </c>
      <c r="C156" s="36" t="str">
        <f>IFERROR(INDEX(Personnel[Vatandaslik],$K156),"")</f>
        <v/>
      </c>
      <c r="D156" s="36" t="str">
        <f>IFERROR(INDEX(Personnel[Santiye],$K156),"")</f>
        <v/>
      </c>
      <c r="E156" s="36" t="str">
        <f>IFERROR(INDEX(Personnel[Ogretmen],$K156),"")</f>
        <v/>
      </c>
      <c r="F156" s="37" t="str">
        <f>IFERROR(INDEX(Personnel[[Sinav ]],$K156),"")</f>
        <v/>
      </c>
      <c r="G156" s="37" t="str">
        <f>IFERROR(INDEX(Personnel[Egtim durumu],$K156),"")</f>
        <v/>
      </c>
      <c r="H156" s="37" t="str">
        <f>IFERROR(INDEX(Personnel[Shohruh Not],$K156),"")</f>
        <v/>
      </c>
      <c r="I156" s="36" t="str">
        <f>IFERROR(INDEX(Personnel[Дней в РФ],$K156),"")</f>
        <v/>
      </c>
      <c r="K156" s="23" t="str">
        <f t="array" ref="K156">IFERROR(_xlfn.AGGREGATE(15,6,(ROW(Personnel[Egtim durumu])-MIN(ROW(Personnel[Egtim durumu]))+1)/((Personnel[Egtim durumu]="Egitime  devem eden")),ROWS($K$7:K156)),"")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2E7D32"/>
  </sheetPr>
  <dimension ref="A1:K1006"/>
  <sheetViews>
    <sheetView showGridLines="0" zoomScaleNormal="100" workbookViewId="0">
      <pane ySplit="6" topLeftCell="A7" activePane="bottomLeft" state="frozen"/>
      <selection activeCell="F30" sqref="F30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96" t="s">
        <v>1805</v>
      </c>
      <c r="B1" s="96"/>
      <c r="C1" s="96"/>
    </row>
    <row r="3" spans="1:11" ht="21" x14ac:dyDescent="0.35">
      <c r="A3" s="97" t="s">
        <v>1821</v>
      </c>
      <c r="B3" s="97"/>
      <c r="C3" s="97"/>
      <c r="D3" s="97"/>
      <c r="E3" s="97"/>
      <c r="F3" s="97"/>
      <c r="G3" s="97"/>
      <c r="H3" s="97"/>
    </row>
    <row r="4" spans="1:11" x14ac:dyDescent="0.25">
      <c r="A4" s="85" t="s">
        <v>1822</v>
      </c>
      <c r="B4" s="85"/>
      <c r="C4" s="85"/>
      <c r="D4" s="85"/>
      <c r="E4" s="85"/>
      <c r="F4" s="85"/>
      <c r="G4" s="85"/>
      <c r="H4" s="85"/>
    </row>
    <row r="5" spans="1:11" x14ac:dyDescent="0.25">
      <c r="A5" s="98" t="str">
        <f>"Найдено записей: "&amp;COUNTIF(Personnel[Egtim durumu],"Dil egitimi tamamlandi sinavdan gecti")</f>
        <v>Найдено записей: 583</v>
      </c>
      <c r="B5" s="98"/>
      <c r="C5" s="98"/>
      <c r="D5" s="98"/>
      <c r="E5" s="98"/>
      <c r="F5" s="98"/>
      <c r="G5" s="98"/>
      <c r="H5" s="98"/>
    </row>
    <row r="6" spans="1:11" ht="27.75" customHeight="1" x14ac:dyDescent="0.25">
      <c r="A6" s="39" t="s">
        <v>1808</v>
      </c>
      <c r="B6" s="39" t="s">
        <v>1809</v>
      </c>
      <c r="C6" s="39" t="s">
        <v>1784</v>
      </c>
      <c r="D6" s="39" t="s">
        <v>1810</v>
      </c>
      <c r="E6" s="39" t="s">
        <v>1811</v>
      </c>
      <c r="F6" s="39" t="s">
        <v>1812</v>
      </c>
      <c r="G6" s="39" t="s">
        <v>1813</v>
      </c>
      <c r="H6" s="39" t="s">
        <v>1814</v>
      </c>
      <c r="I6" s="39" t="s">
        <v>24</v>
      </c>
    </row>
    <row r="7" spans="1:11" ht="25.5" x14ac:dyDescent="0.25">
      <c r="A7" s="18">
        <f>IFERROR(INDEX(Personnel[Sicil],$K7),"")</f>
        <v>614033</v>
      </c>
      <c r="B7" s="17" t="str">
        <f>IFERROR(INDEX(Personnel[Adi Soyadi],$K7),"")</f>
        <v>Туфлиев Эргаш Эшбобо Угли</v>
      </c>
      <c r="C7" s="18" t="str">
        <f>IFERROR(INDEX(Personnel[Vatandaslik],$K7),"")</f>
        <v>УЗБЕКИСТАН</v>
      </c>
      <c r="D7" s="18" t="str">
        <f>IFERROR(INDEX(Personnel[Santiye],$K7),"")</f>
        <v>GPP Proje</v>
      </c>
      <c r="E7" s="18" t="str">
        <f>IFERROR(INDEX(Personnel[Ogretmen],$K7),"")</f>
        <v>Tyulina Natalya</v>
      </c>
      <c r="F7" s="17" t="str">
        <f>IFERROR(INDEX(Personnel[[Sinav ]],$K7),"")</f>
        <v xml:space="preserve">23.04.2026 Sineva gitti gecemedi /30.04.2026 Sineva gitti gecdi </v>
      </c>
      <c r="G7" s="17" t="str">
        <f>IFERROR(INDEX(Personnel[Egtim durumu],$K7),"")</f>
        <v>Dil egitimi tamamlandi sinavdan gecti</v>
      </c>
      <c r="H7" s="17" t="str">
        <f>IFERROR(INDEX(Personnel[Shohruh Not],$K7),"")</f>
        <v>-</v>
      </c>
      <c r="I7" s="22">
        <f ca="1">IFERROR(INDEX(Personnel[Дней в РФ],$K7),"")</f>
        <v>132</v>
      </c>
      <c r="K7" s="23">
        <f t="array" ref="K7">IFERROR(_xlfn.AGGREGATE(15,6,(ROW(Personnel[Egtim durumu])-MIN(ROW(Personnel[Egtim durumu]))+1)/((Personnel[Egtim durumu]="Dil egitimi tamamlandi sinavdan gecti")),ROWS($K$7:K7)),"")</f>
        <v>3</v>
      </c>
    </row>
    <row r="8" spans="1:11" ht="25.5" x14ac:dyDescent="0.25">
      <c r="A8" s="40">
        <f>IFERROR(INDEX(Personnel[Sicil],$K8),"")</f>
        <v>642207</v>
      </c>
      <c r="B8" s="41" t="str">
        <f>IFERROR(INDEX(Personnel[Adi Soyadi],$K8),"")</f>
        <v>Жураев Хасан Урол Угли</v>
      </c>
      <c r="C8" s="40" t="str">
        <f>IFERROR(INDEX(Personnel[Vatandaslik],$K8),"")</f>
        <v>УЗБЕКИСТАН</v>
      </c>
      <c r="D8" s="40" t="str">
        <f>IFERROR(INDEX(Personnel[Santiye],$K8),"")</f>
        <v>GPP Proje</v>
      </c>
      <c r="E8" s="40" t="str">
        <f>IFERROR(INDEX(Personnel[Ogretmen],$K8),"")</f>
        <v>Tyulina Natalya</v>
      </c>
      <c r="F8" s="41" t="str">
        <f>IFERROR(INDEX(Personnel[[Sinav ]],$K8),"")</f>
        <v xml:space="preserve">23.04.2026 Sineva gitti gecemedi /28.04.2026 Sineva gitti gecdi </v>
      </c>
      <c r="G8" s="41" t="str">
        <f>IFERROR(INDEX(Personnel[Egtim durumu],$K8),"")</f>
        <v>Dil egitimi tamamlandi sinavdan gecti</v>
      </c>
      <c r="H8" s="41" t="str">
        <f>IFERROR(INDEX(Personnel[Shohruh Not],$K8),"")</f>
        <v>-</v>
      </c>
      <c r="I8" s="42">
        <f ca="1">IFERROR(INDEX(Personnel[Дней в РФ],$K8),"")</f>
        <v>132</v>
      </c>
      <c r="K8" s="23">
        <f t="array" ref="K8">IFERROR(_xlfn.AGGREGATE(15,6,(ROW(Personnel[Egtim durumu])-MIN(ROW(Personnel[Egtim durumu]))+1)/((Personnel[Egtim durumu]="Dil egitimi tamamlandi sinavdan gecti")),ROWS($K$7:K8)),"")</f>
        <v>4</v>
      </c>
    </row>
    <row r="9" spans="1:11" x14ac:dyDescent="0.25">
      <c r="A9" s="18">
        <f>IFERROR(INDEX(Personnel[Sicil],$K9),"")</f>
        <v>642247</v>
      </c>
      <c r="B9" s="17" t="str">
        <f>IFERROR(INDEX(Personnel[Adi Soyadi],$K9),"")</f>
        <v>Артиков Одилжон Бокиевич</v>
      </c>
      <c r="C9" s="18" t="str">
        <f>IFERROR(INDEX(Personnel[Vatandaslik],$K9),"")</f>
        <v>УЗБЕКИСТАН</v>
      </c>
      <c r="D9" s="18" t="str">
        <f>IFERROR(INDEX(Personnel[Santiye],$K9),"")</f>
        <v>GPP Proje</v>
      </c>
      <c r="E9" s="18" t="str">
        <f>IFERROR(INDEX(Personnel[Ogretmen],$K9),"")</f>
        <v>Tyulina Natalya</v>
      </c>
      <c r="F9" s="17" t="str">
        <f>IFERROR(INDEX(Personnel[[Sinav ]],$K9),"")</f>
        <v>28.04.2026 Sineva gitti gecdi</v>
      </c>
      <c r="G9" s="17" t="str">
        <f>IFERROR(INDEX(Personnel[Egtim durumu],$K9),"")</f>
        <v>Dil egitimi tamamlandi sinavdan gecti</v>
      </c>
      <c r="H9" s="17" t="str">
        <f>IFERROR(INDEX(Personnel[Shohruh Not],$K9),"")</f>
        <v>-</v>
      </c>
      <c r="I9" s="22">
        <f ca="1">IFERROR(INDEX(Personnel[Дней в РФ],$K9),"")</f>
        <v>132</v>
      </c>
      <c r="K9" s="23">
        <f t="array" ref="K9">IFERROR(_xlfn.AGGREGATE(15,6,(ROW(Personnel[Egtim durumu])-MIN(ROW(Personnel[Egtim durumu]))+1)/((Personnel[Egtim durumu]="Dil egitimi tamamlandi sinavdan gecti")),ROWS($K$7:K9)),"")</f>
        <v>5</v>
      </c>
    </row>
    <row r="10" spans="1:11" x14ac:dyDescent="0.25">
      <c r="A10" s="40">
        <f>IFERROR(INDEX(Personnel[Sicil],$K10),"")</f>
        <v>642254</v>
      </c>
      <c r="B10" s="41" t="str">
        <f>IFERROR(INDEX(Personnel[Adi Soyadi],$K10),"")</f>
        <v>Инамов Фарход Хамидович</v>
      </c>
      <c r="C10" s="40" t="str">
        <f>IFERROR(INDEX(Personnel[Vatandaslik],$K10),"")</f>
        <v>УЗБЕКИСТАН</v>
      </c>
      <c r="D10" s="40" t="str">
        <f>IFERROR(INDEX(Personnel[Santiye],$K10),"")</f>
        <v>GPP Proje</v>
      </c>
      <c r="E10" s="40" t="str">
        <f>IFERROR(INDEX(Personnel[Ogretmen],$K10),"")</f>
        <v>Tyulina Natalya</v>
      </c>
      <c r="F10" s="41" t="str">
        <f>IFERROR(INDEX(Personnel[[Sinav ]],$K10),"")</f>
        <v>28.04.2026 Sineva gitti gecdi</v>
      </c>
      <c r="G10" s="41" t="str">
        <f>IFERROR(INDEX(Personnel[Egtim durumu],$K10),"")</f>
        <v>Dil egitimi tamamlandi sinavdan gecti</v>
      </c>
      <c r="H10" s="41" t="str">
        <f>IFERROR(INDEX(Personnel[Shohruh Not],$K10),"")</f>
        <v>-</v>
      </c>
      <c r="I10" s="42">
        <f ca="1">IFERROR(INDEX(Personnel[Дней в РФ],$K10),"")</f>
        <v>132</v>
      </c>
      <c r="K10" s="23">
        <f t="array" ref="K10">IFERROR(_xlfn.AGGREGATE(15,6,(ROW(Personnel[Egtim durumu])-MIN(ROW(Personnel[Egtim durumu]))+1)/((Personnel[Egtim durumu]="Dil egitimi tamamlandi sinavdan gecti")),ROWS($K$7:K10)),"")</f>
        <v>6</v>
      </c>
    </row>
    <row r="11" spans="1:11" ht="25.5" x14ac:dyDescent="0.25">
      <c r="A11" s="18">
        <f>IFERROR(INDEX(Personnel[Sicil],$K11),"")</f>
        <v>642246</v>
      </c>
      <c r="B11" s="17" t="str">
        <f>IFERROR(INDEX(Personnel[Adi Soyadi],$K11),"")</f>
        <v>Мирзалиев Дилшоджон Киргизжонович</v>
      </c>
      <c r="C11" s="18" t="str">
        <f>IFERROR(INDEX(Personnel[Vatandaslik],$K11),"")</f>
        <v>УЗБЕКИСТАН</v>
      </c>
      <c r="D11" s="18" t="str">
        <f>IFERROR(INDEX(Personnel[Santiye],$K11),"")</f>
        <v>GPP Proje</v>
      </c>
      <c r="E11" s="18" t="str">
        <f>IFERROR(INDEX(Personnel[Ogretmen],$K11),"")</f>
        <v>Tyulina Natalya</v>
      </c>
      <c r="F11" s="17" t="str">
        <f>IFERROR(INDEX(Personnel[[Sinav ]],$K11),"")</f>
        <v>28.04.2026 Sineva gitti gecemedi /30.04.2026 Sineva gitti gecdi</v>
      </c>
      <c r="G11" s="17" t="str">
        <f>IFERROR(INDEX(Personnel[Egtim durumu],$K11),"")</f>
        <v>Dil egitimi tamamlandi sinavdan gecti</v>
      </c>
      <c r="H11" s="17" t="str">
        <f>IFERROR(INDEX(Personnel[Shohruh Not],$K11),"")</f>
        <v>-</v>
      </c>
      <c r="I11" s="22">
        <f ca="1">IFERROR(INDEX(Personnel[Дней в РФ],$K11),"")</f>
        <v>132</v>
      </c>
      <c r="K11" s="23">
        <f t="array" ref="K11">IFERROR(_xlfn.AGGREGATE(15,6,(ROW(Personnel[Egtim durumu])-MIN(ROW(Personnel[Egtim durumu]))+1)/((Personnel[Egtim durumu]="Dil egitimi tamamlandi sinavdan gecti")),ROWS($K$7:K11)),"")</f>
        <v>7</v>
      </c>
    </row>
    <row r="12" spans="1:11" ht="25.5" x14ac:dyDescent="0.25">
      <c r="A12" s="40">
        <f>IFERROR(INDEX(Personnel[Sicil],$K12),"")</f>
        <v>642257</v>
      </c>
      <c r="B12" s="41" t="str">
        <f>IFERROR(INDEX(Personnel[Adi Soyadi],$K12),"")</f>
        <v>Хурамов Эркин Нурмаматович</v>
      </c>
      <c r="C12" s="40" t="str">
        <f>IFERROR(INDEX(Personnel[Vatandaslik],$K12),"")</f>
        <v>УЗБЕКИСТАН</v>
      </c>
      <c r="D12" s="40" t="str">
        <f>IFERROR(INDEX(Personnel[Santiye],$K12),"")</f>
        <v>GPP Proje</v>
      </c>
      <c r="E12" s="40" t="str">
        <f>IFERROR(INDEX(Personnel[Ogretmen],$K12),"")</f>
        <v>Tyulina Natalya</v>
      </c>
      <c r="F12" s="41" t="str">
        <f>IFERROR(INDEX(Personnel[[Sinav ]],$K12),"")</f>
        <v xml:space="preserve">23.04.2026 Sineva gitti gecemedi /28.04.2026 Sineva gitti gecdi </v>
      </c>
      <c r="G12" s="41" t="str">
        <f>IFERROR(INDEX(Personnel[Egtim durumu],$K12),"")</f>
        <v>Dil egitimi tamamlandi sinavdan gecti</v>
      </c>
      <c r="H12" s="41" t="str">
        <f>IFERROR(INDEX(Personnel[Shohruh Not],$K12),"")</f>
        <v>-</v>
      </c>
      <c r="I12" s="42">
        <f ca="1">IFERROR(INDEX(Personnel[Дней в РФ],$K12),"")</f>
        <v>131</v>
      </c>
      <c r="K12" s="23">
        <f t="array" ref="K12">IFERROR(_xlfn.AGGREGATE(15,6,(ROW(Personnel[Egtim durumu])-MIN(ROW(Personnel[Egtim durumu]))+1)/((Personnel[Egtim durumu]="Dil egitimi tamamlandi sinavdan gecti")),ROWS($K$7:K12)),"")</f>
        <v>10</v>
      </c>
    </row>
    <row r="13" spans="1:11" ht="25.5" x14ac:dyDescent="0.25">
      <c r="A13" s="18">
        <f>IFERROR(INDEX(Personnel[Sicil],$K13),"")</f>
        <v>642291</v>
      </c>
      <c r="B13" s="17" t="str">
        <f>IFERROR(INDEX(Personnel[Adi Soyadi],$K13),"")</f>
        <v>Алибоев Хусанбой Собирович</v>
      </c>
      <c r="C13" s="18" t="str">
        <f>IFERROR(INDEX(Personnel[Vatandaslik],$K13),"")</f>
        <v>УЗБЕКИСТАН</v>
      </c>
      <c r="D13" s="18" t="str">
        <f>IFERROR(INDEX(Personnel[Santiye],$K13),"")</f>
        <v>GPP Proje</v>
      </c>
      <c r="E13" s="18" t="str">
        <f>IFERROR(INDEX(Personnel[Ogretmen],$K13),"")</f>
        <v>Tyulina Natalya</v>
      </c>
      <c r="F13" s="17" t="str">
        <f>IFERROR(INDEX(Personnel[[Sinav ]],$K13),"")</f>
        <v xml:space="preserve">23.04.2026 Sineva gitti gecemedi/ 28.04.2026 Sineva gitti gecdi </v>
      </c>
      <c r="G13" s="17" t="str">
        <f>IFERROR(INDEX(Personnel[Egtim durumu],$K13),"")</f>
        <v>Dil egitimi tamamlandi sinavdan gecti</v>
      </c>
      <c r="H13" s="17" t="str">
        <f>IFERROR(INDEX(Personnel[Shohruh Not],$K13),"")</f>
        <v>-</v>
      </c>
      <c r="I13" s="22">
        <f ca="1">IFERROR(INDEX(Personnel[Дней в РФ],$K13),"")</f>
        <v>130</v>
      </c>
      <c r="K13" s="23">
        <f t="array" ref="K13">IFERROR(_xlfn.AGGREGATE(15,6,(ROW(Personnel[Egtim durumu])-MIN(ROW(Personnel[Egtim durumu]))+1)/((Personnel[Egtim durumu]="Dil egitimi tamamlandi sinavdan gecti")),ROWS($K$7:K13)),"")</f>
        <v>11</v>
      </c>
    </row>
    <row r="14" spans="1:11" x14ac:dyDescent="0.25">
      <c r="A14" s="40">
        <f>IFERROR(INDEX(Personnel[Sicil],$K14),"")</f>
        <v>642323</v>
      </c>
      <c r="B14" s="41" t="str">
        <f>IFERROR(INDEX(Personnel[Adi Soyadi],$K14),"")</f>
        <v>Саматов Аскар Холназар Угли</v>
      </c>
      <c r="C14" s="40" t="str">
        <f>IFERROR(INDEX(Personnel[Vatandaslik],$K14),"")</f>
        <v>УЗБЕКИСТАН</v>
      </c>
      <c r="D14" s="40" t="str">
        <f>IFERROR(INDEX(Personnel[Santiye],$K14),"")</f>
        <v>GPP Proje</v>
      </c>
      <c r="E14" s="40" t="str">
        <f>IFERROR(INDEX(Personnel[Ogretmen],$K14),"")</f>
        <v>Tyulina Natalya</v>
      </c>
      <c r="F14" s="41" t="str">
        <f>IFERROR(INDEX(Personnel[[Sinav ]],$K14),"")</f>
        <v>28.04.2026 Sineva gitti gecdi</v>
      </c>
      <c r="G14" s="41" t="str">
        <f>IFERROR(INDEX(Personnel[Egtim durumu],$K14),"")</f>
        <v>Dil egitimi tamamlandi sinavdan gecti</v>
      </c>
      <c r="H14" s="41" t="str">
        <f>IFERROR(INDEX(Personnel[Shohruh Not],$K14),"")</f>
        <v>-</v>
      </c>
      <c r="I14" s="42">
        <f ca="1">IFERROR(INDEX(Personnel[Дней в РФ],$K14),"")</f>
        <v>130</v>
      </c>
      <c r="K14" s="23">
        <f t="array" ref="K14">IFERROR(_xlfn.AGGREGATE(15,6,(ROW(Personnel[Egtim durumu])-MIN(ROW(Personnel[Egtim durumu]))+1)/((Personnel[Egtim durumu]="Dil egitimi tamamlandi sinavdan gecti")),ROWS($K$7:K14)),"")</f>
        <v>13</v>
      </c>
    </row>
    <row r="15" spans="1:11" x14ac:dyDescent="0.25">
      <c r="A15" s="18">
        <f>IFERROR(INDEX(Personnel[Sicil],$K15),"")</f>
        <v>642319</v>
      </c>
      <c r="B15" s="17" t="str">
        <f>IFERROR(INDEX(Personnel[Adi Soyadi],$K15),"")</f>
        <v>Тогаев Мелис Улмас Угли</v>
      </c>
      <c r="C15" s="18" t="str">
        <f>IFERROR(INDEX(Personnel[Vatandaslik],$K15),"")</f>
        <v>УЗБЕКИСТАН</v>
      </c>
      <c r="D15" s="18" t="str">
        <f>IFERROR(INDEX(Personnel[Santiye],$K15),"")</f>
        <v>GPP Proje</v>
      </c>
      <c r="E15" s="18" t="str">
        <f>IFERROR(INDEX(Personnel[Ogretmen],$K15),"")</f>
        <v>Tyulina Natalya</v>
      </c>
      <c r="F15" s="17" t="str">
        <f>IFERROR(INDEX(Personnel[[Sinav ]],$K15),"")</f>
        <v>28.04.2026 Sineva gitti gecdi</v>
      </c>
      <c r="G15" s="17" t="str">
        <f>IFERROR(INDEX(Personnel[Egtim durumu],$K15),"")</f>
        <v>Dil egitimi tamamlandi sinavdan gecti</v>
      </c>
      <c r="H15" s="17" t="str">
        <f>IFERROR(INDEX(Personnel[Shohruh Not],$K15),"")</f>
        <v>-</v>
      </c>
      <c r="I15" s="22">
        <f ca="1">IFERROR(INDEX(Personnel[Дней в РФ],$K15),"")</f>
        <v>130</v>
      </c>
      <c r="K15" s="23">
        <f t="array" ref="K15">IFERROR(_xlfn.AGGREGATE(15,6,(ROW(Personnel[Egtim durumu])-MIN(ROW(Personnel[Egtim durumu]))+1)/((Personnel[Egtim durumu]="Dil egitimi tamamlandi sinavdan gecti")),ROWS($K$7:K15)),"")</f>
        <v>14</v>
      </c>
    </row>
    <row r="16" spans="1:11" x14ac:dyDescent="0.25">
      <c r="A16" s="40">
        <f>IFERROR(INDEX(Personnel[Sicil],$K16),"")</f>
        <v>642338</v>
      </c>
      <c r="B16" s="41" t="str">
        <f>IFERROR(INDEX(Personnel[Adi Soyadi],$K16),"")</f>
        <v>Файзиев Шерали Фахритдинович</v>
      </c>
      <c r="C16" s="40" t="str">
        <f>IFERROR(INDEX(Personnel[Vatandaslik],$K16),"")</f>
        <v>УЗБЕКИСТАН</v>
      </c>
      <c r="D16" s="40" t="str">
        <f>IFERROR(INDEX(Personnel[Santiye],$K16),"")</f>
        <v>GPP Proje</v>
      </c>
      <c r="E16" s="40" t="str">
        <f>IFERROR(INDEX(Personnel[Ogretmen],$K16),"")</f>
        <v>Tyulina Natalya</v>
      </c>
      <c r="F16" s="41" t="str">
        <f>IFERROR(INDEX(Personnel[[Sinav ]],$K16),"")</f>
        <v>28.04.2026 Sineva gitti gecdi</v>
      </c>
      <c r="G16" s="41" t="str">
        <f>IFERROR(INDEX(Personnel[Egtim durumu],$K16),"")</f>
        <v>Dil egitimi tamamlandi sinavdan gecti</v>
      </c>
      <c r="H16" s="41" t="str">
        <f>IFERROR(INDEX(Personnel[Shohruh Not],$K16),"")</f>
        <v>-</v>
      </c>
      <c r="I16" s="42">
        <f ca="1">IFERROR(INDEX(Personnel[Дней в РФ],$K16),"")</f>
        <v>130</v>
      </c>
      <c r="K16" s="23">
        <f t="array" ref="K16">IFERROR(_xlfn.AGGREGATE(15,6,(ROW(Personnel[Egtim durumu])-MIN(ROW(Personnel[Egtim durumu]))+1)/((Personnel[Egtim durumu]="Dil egitimi tamamlandi sinavdan gecti")),ROWS($K$7:K16)),"")</f>
        <v>15</v>
      </c>
    </row>
    <row r="17" spans="1:11" ht="25.5" x14ac:dyDescent="0.25">
      <c r="A17" s="18">
        <f>IFERROR(INDEX(Personnel[Sicil],$K17),"")</f>
        <v>522851</v>
      </c>
      <c r="B17" s="17" t="str">
        <f>IFERROR(INDEX(Personnel[Adi Soyadi],$K17),"")</f>
        <v>Зиямиддинов Бахромжон Боходирович</v>
      </c>
      <c r="C17" s="18" t="str">
        <f>IFERROR(INDEX(Personnel[Vatandaslik],$K17),"")</f>
        <v>УЗБЕКИСТАН</v>
      </c>
      <c r="D17" s="18" t="str">
        <f>IFERROR(INDEX(Personnel[Santiye],$K17),"")</f>
        <v>GPP Proje</v>
      </c>
      <c r="E17" s="18" t="str">
        <f>IFERROR(INDEX(Personnel[Ogretmen],$K17),"")</f>
        <v xml:space="preserve">Ziazetdinov Arslan </v>
      </c>
      <c r="F17" s="17" t="str">
        <f>IFERROR(INDEX(Personnel[[Sinav ]],$K17),"")</f>
        <v>05.05.2026 Sineva gitti gecdi</v>
      </c>
      <c r="G17" s="17" t="str">
        <f>IFERROR(INDEX(Personnel[Egtim durumu],$K17),"")</f>
        <v>Dil egitimi tamamlandi sinavdan gecti</v>
      </c>
      <c r="H17" s="17" t="str">
        <f>IFERROR(INDEX(Personnel[Shohruh Not],$K17),"")</f>
        <v>-</v>
      </c>
      <c r="I17" s="22">
        <f ca="1">IFERROR(INDEX(Personnel[Дней в РФ],$K17),"")</f>
        <v>479</v>
      </c>
      <c r="K17" s="23">
        <f t="array" ref="K17">IFERROR(_xlfn.AGGREGATE(15,6,(ROW(Personnel[Egtim durumu])-MIN(ROW(Personnel[Egtim durumu]))+1)/((Personnel[Egtim durumu]="Dil egitimi tamamlandi sinavdan gecti")),ROWS($K$7:K17)),"")</f>
        <v>16</v>
      </c>
    </row>
    <row r="18" spans="1:11" x14ac:dyDescent="0.25">
      <c r="A18" s="40">
        <f>IFERROR(INDEX(Personnel[Sicil],$K18),"")</f>
        <v>642249</v>
      </c>
      <c r="B18" s="41" t="str">
        <f>IFERROR(INDEX(Personnel[Adi Soyadi],$K18),"")</f>
        <v>Ахмедов Зафарбек Захиржон Угли</v>
      </c>
      <c r="C18" s="40" t="str">
        <f>IFERROR(INDEX(Personnel[Vatandaslik],$K18),"")</f>
        <v>УЗБЕКИСТАН</v>
      </c>
      <c r="D18" s="40" t="str">
        <f>IFERROR(INDEX(Personnel[Santiye],$K18),"")</f>
        <v>GPP Proje</v>
      </c>
      <c r="E18" s="40" t="str">
        <f>IFERROR(INDEX(Personnel[Ogretmen],$K18),"")</f>
        <v>Tyulina Natalya</v>
      </c>
      <c r="F18" s="41" t="str">
        <f>IFERROR(INDEX(Personnel[[Sinav ]],$K18),"")</f>
        <v>28.04.2026 Sineva gitti gecdi</v>
      </c>
      <c r="G18" s="41" t="str">
        <f>IFERROR(INDEX(Personnel[Egtim durumu],$K18),"")</f>
        <v>Dil egitimi tamamlandi sinavdan gecti</v>
      </c>
      <c r="H18" s="41" t="str">
        <f>IFERROR(INDEX(Personnel[Shohruh Not],$K18),"")</f>
        <v>-</v>
      </c>
      <c r="I18" s="42">
        <f ca="1">IFERROR(INDEX(Personnel[Дней в РФ],$K18),"")</f>
        <v>132</v>
      </c>
      <c r="K18" s="23">
        <f t="array" ref="K18">IFERROR(_xlfn.AGGREGATE(15,6,(ROW(Personnel[Egtim durumu])-MIN(ROW(Personnel[Egtim durumu]))+1)/((Personnel[Egtim durumu]="Dil egitimi tamamlandi sinavdan gecti")),ROWS($K$7:K18)),"")</f>
        <v>17</v>
      </c>
    </row>
    <row r="19" spans="1:11" x14ac:dyDescent="0.25">
      <c r="A19" s="18">
        <f>IFERROR(INDEX(Personnel[Sicil],$K19),"")</f>
        <v>403996</v>
      </c>
      <c r="B19" s="17" t="str">
        <f>IFERROR(INDEX(Personnel[Adi Soyadi],$K19),"")</f>
        <v>Курбанбаев Пулат Камалбаевич</v>
      </c>
      <c r="C19" s="18" t="str">
        <f>IFERROR(INDEX(Personnel[Vatandaslik],$K19),"")</f>
        <v>УЗБЕКИСТАН</v>
      </c>
      <c r="D19" s="18" t="str">
        <f>IFERROR(INDEX(Personnel[Santiye],$K19),"")</f>
        <v>GPP Proje</v>
      </c>
      <c r="E19" s="18" t="str">
        <f>IFERROR(INDEX(Personnel[Ogretmen],$K19),"")</f>
        <v xml:space="preserve">Ziazetdinov Arslan </v>
      </c>
      <c r="F19" s="17" t="str">
        <f>IFERROR(INDEX(Personnel[[Sinav ]],$K19),"")</f>
        <v>05.05.2026 Sineva gitti gecdi</v>
      </c>
      <c r="G19" s="17" t="str">
        <f>IFERROR(INDEX(Personnel[Egtim durumu],$K19),"")</f>
        <v>Dil egitimi tamamlandi sinavdan gecti</v>
      </c>
      <c r="H19" s="17" t="str">
        <f>IFERROR(INDEX(Personnel[Shohruh Not],$K19),"")</f>
        <v>-</v>
      </c>
      <c r="I19" s="22">
        <f ca="1">IFERROR(INDEX(Personnel[Дней в РФ],$K19),"")</f>
        <v>465</v>
      </c>
      <c r="K19" s="23">
        <f t="array" ref="K19">IFERROR(_xlfn.AGGREGATE(15,6,(ROW(Personnel[Egtim durumu])-MIN(ROW(Personnel[Egtim durumu]))+1)/((Personnel[Egtim durumu]="Dil egitimi tamamlandi sinavdan gecti")),ROWS($K$7:K19)),"")</f>
        <v>18</v>
      </c>
    </row>
    <row r="20" spans="1:11" x14ac:dyDescent="0.25">
      <c r="A20" s="40">
        <f>IFERROR(INDEX(Personnel[Sicil],$K20),"")</f>
        <v>642264</v>
      </c>
      <c r="B20" s="41" t="str">
        <f>IFERROR(INDEX(Personnel[Adi Soyadi],$K20),"")</f>
        <v>Окбоев Дониёрбек Рустамович</v>
      </c>
      <c r="C20" s="40" t="str">
        <f>IFERROR(INDEX(Personnel[Vatandaslik],$K20),"")</f>
        <v>УЗБЕКИСТАН</v>
      </c>
      <c r="D20" s="40" t="str">
        <f>IFERROR(INDEX(Personnel[Santiye],$K20),"")</f>
        <v>GPP Proje</v>
      </c>
      <c r="E20" s="40" t="str">
        <f>IFERROR(INDEX(Personnel[Ogretmen],$K20),"")</f>
        <v>Tyulina Natalya</v>
      </c>
      <c r="F20" s="41" t="str">
        <f>IFERROR(INDEX(Personnel[[Sinav ]],$K20),"")</f>
        <v>28.04.2026 Sineva gitti gecdi</v>
      </c>
      <c r="G20" s="41" t="str">
        <f>IFERROR(INDEX(Personnel[Egtim durumu],$K20),"")</f>
        <v>Dil egitimi tamamlandi sinavdan gecti</v>
      </c>
      <c r="H20" s="41" t="str">
        <f>IFERROR(INDEX(Personnel[Shohruh Not],$K20),"")</f>
        <v>-</v>
      </c>
      <c r="I20" s="42">
        <f ca="1">IFERROR(INDEX(Personnel[Дней в РФ],$K20),"")</f>
        <v>132</v>
      </c>
      <c r="K20" s="23">
        <f t="array" ref="K20">IFERROR(_xlfn.AGGREGATE(15,6,(ROW(Personnel[Egtim durumu])-MIN(ROW(Personnel[Egtim durumu]))+1)/((Personnel[Egtim durumu]="Dil egitimi tamamlandi sinavdan gecti")),ROWS($K$7:K20)),"")</f>
        <v>19</v>
      </c>
    </row>
    <row r="21" spans="1:11" x14ac:dyDescent="0.25">
      <c r="A21" s="18">
        <f>IFERROR(INDEX(Personnel[Sicil],$K21),"")</f>
        <v>642361</v>
      </c>
      <c r="B21" s="17" t="str">
        <f>IFERROR(INDEX(Personnel[Adi Soyadi],$K21),"")</f>
        <v>Уразбаев Тимур Абатович</v>
      </c>
      <c r="C21" s="18" t="str">
        <f>IFERROR(INDEX(Personnel[Vatandaslik],$K21),"")</f>
        <v>УЗБЕКИСТАН</v>
      </c>
      <c r="D21" s="18" t="str">
        <f>IFERROR(INDEX(Personnel[Santiye],$K21),"")</f>
        <v>GPP Proje</v>
      </c>
      <c r="E21" s="18" t="str">
        <f>IFERROR(INDEX(Personnel[Ogretmen],$K21),"")</f>
        <v>Tyulina Natalya</v>
      </c>
      <c r="F21" s="17" t="str">
        <f>IFERROR(INDEX(Personnel[[Sinav ]],$K21),"")</f>
        <v>28.04.2026 Sineva gitti gecdi</v>
      </c>
      <c r="G21" s="17" t="str">
        <f>IFERROR(INDEX(Personnel[Egtim durumu],$K21),"")</f>
        <v>Dil egitimi tamamlandi sinavdan gecti</v>
      </c>
      <c r="H21" s="17" t="str">
        <f>IFERROR(INDEX(Personnel[Shohruh Not],$K21),"")</f>
        <v>-</v>
      </c>
      <c r="I21" s="22">
        <f ca="1">IFERROR(INDEX(Personnel[Дней в РФ],$K21),"")</f>
        <v>127</v>
      </c>
      <c r="K21" s="23">
        <f t="array" ref="K21">IFERROR(_xlfn.AGGREGATE(15,6,(ROW(Personnel[Egtim durumu])-MIN(ROW(Personnel[Egtim durumu]))+1)/((Personnel[Egtim durumu]="Dil egitimi tamamlandi sinavdan gecti")),ROWS($K$7:K21)),"")</f>
        <v>21</v>
      </c>
    </row>
    <row r="22" spans="1:11" x14ac:dyDescent="0.25">
      <c r="A22" s="40">
        <f>IFERROR(INDEX(Personnel[Sicil],$K22),"")</f>
        <v>630386</v>
      </c>
      <c r="B22" s="41" t="str">
        <f>IFERROR(INDEX(Personnel[Adi Soyadi],$K22),"")</f>
        <v>Абдуллаев Рамозон Чори Угли</v>
      </c>
      <c r="C22" s="40" t="str">
        <f>IFERROR(INDEX(Personnel[Vatandaslik],$K22),"")</f>
        <v>УЗБЕКИСТАН</v>
      </c>
      <c r="D22" s="40" t="str">
        <f>IFERROR(INDEX(Personnel[Santiye],$K22),"")</f>
        <v>GPP Proje</v>
      </c>
      <c r="E22" s="40" t="str">
        <f>IFERROR(INDEX(Personnel[Ogretmen],$K22),"")</f>
        <v>Tyulina Natalya</v>
      </c>
      <c r="F22" s="41" t="str">
        <f>IFERROR(INDEX(Personnel[[Sinav ]],$K22),"")</f>
        <v>30.04.2026 Sineva gitti gecdi</v>
      </c>
      <c r="G22" s="41" t="str">
        <f>IFERROR(INDEX(Personnel[Egtim durumu],$K22),"")</f>
        <v>Dil egitimi tamamlandi sinavdan gecti</v>
      </c>
      <c r="H22" s="41" t="str">
        <f>IFERROR(INDEX(Personnel[Shohruh Not],$K22),"")</f>
        <v>-</v>
      </c>
      <c r="I22" s="42">
        <f ca="1">IFERROR(INDEX(Personnel[Дней в РФ],$K22),"")</f>
        <v>125</v>
      </c>
      <c r="K22" s="23">
        <f t="array" ref="K22">IFERROR(_xlfn.AGGREGATE(15,6,(ROW(Personnel[Egtim durumu])-MIN(ROW(Personnel[Egtim durumu]))+1)/((Personnel[Egtim durumu]="Dil egitimi tamamlandi sinavdan gecti")),ROWS($K$7:K22)),"")</f>
        <v>22</v>
      </c>
    </row>
    <row r="23" spans="1:11" ht="25.5" x14ac:dyDescent="0.25">
      <c r="A23" s="18">
        <f>IFERROR(INDEX(Personnel[Sicil],$K23),"")</f>
        <v>642380</v>
      </c>
      <c r="B23" s="17" t="str">
        <f>IFERROR(INDEX(Personnel[Adi Soyadi],$K23),"")</f>
        <v>Абдурахимов Фаррухбек Махмуджанович</v>
      </c>
      <c r="C23" s="18" t="str">
        <f>IFERROR(INDEX(Personnel[Vatandaslik],$K23),"")</f>
        <v>УЗБЕКИСТАН</v>
      </c>
      <c r="D23" s="18" t="str">
        <f>IFERROR(INDEX(Personnel[Santiye],$K23),"")</f>
        <v>GPP Proje</v>
      </c>
      <c r="E23" s="18" t="str">
        <f>IFERROR(INDEX(Personnel[Ogretmen],$K23),"")</f>
        <v>Tyulina Natalya</v>
      </c>
      <c r="F23" s="17" t="str">
        <f>IFERROR(INDEX(Personnel[[Sinav ]],$K23),"")</f>
        <v>28.04.2026 Sineva gitti gecdi</v>
      </c>
      <c r="G23" s="17" t="str">
        <f>IFERROR(INDEX(Personnel[Egtim durumu],$K23),"")</f>
        <v>Dil egitimi tamamlandi sinavdan gecti</v>
      </c>
      <c r="H23" s="17" t="str">
        <f>IFERROR(INDEX(Personnel[Shohruh Not],$K23),"")</f>
        <v>-</v>
      </c>
      <c r="I23" s="22">
        <f ca="1">IFERROR(INDEX(Personnel[Дней в РФ],$K23),"")</f>
        <v>125</v>
      </c>
      <c r="K23" s="23">
        <f t="array" ref="K23">IFERROR(_xlfn.AGGREGATE(15,6,(ROW(Personnel[Egtim durumu])-MIN(ROW(Personnel[Egtim durumu]))+1)/((Personnel[Egtim durumu]="Dil egitimi tamamlandi sinavdan gecti")),ROWS($K$7:K23)),"")</f>
        <v>23</v>
      </c>
    </row>
    <row r="24" spans="1:11" x14ac:dyDescent="0.25">
      <c r="A24" s="40">
        <f>IFERROR(INDEX(Personnel[Sicil],$K24),"")</f>
        <v>642395</v>
      </c>
      <c r="B24" s="41" t="str">
        <f>IFERROR(INDEX(Personnel[Adi Soyadi],$K24),"")</f>
        <v>Аширов Бобуржон Алишерович</v>
      </c>
      <c r="C24" s="40" t="str">
        <f>IFERROR(INDEX(Personnel[Vatandaslik],$K24),"")</f>
        <v>УЗБЕКИСТАН</v>
      </c>
      <c r="D24" s="40" t="str">
        <f>IFERROR(INDEX(Personnel[Santiye],$K24),"")</f>
        <v>GPP Proje</v>
      </c>
      <c r="E24" s="40" t="str">
        <f>IFERROR(INDEX(Personnel[Ogretmen],$K24),"")</f>
        <v>Tyulina Natalya</v>
      </c>
      <c r="F24" s="41" t="str">
        <f>IFERROR(INDEX(Personnel[[Sinav ]],$K24),"")</f>
        <v>28.04.2026 Sineva gitti gecdi</v>
      </c>
      <c r="G24" s="41" t="str">
        <f>IFERROR(INDEX(Personnel[Egtim durumu],$K24),"")</f>
        <v>Dil egitimi tamamlandi sinavdan gecti</v>
      </c>
      <c r="H24" s="41" t="str">
        <f>IFERROR(INDEX(Personnel[Shohruh Not],$K24),"")</f>
        <v>-</v>
      </c>
      <c r="I24" s="42">
        <f ca="1">IFERROR(INDEX(Personnel[Дней в РФ],$K24),"")</f>
        <v>126</v>
      </c>
      <c r="K24" s="23">
        <f t="array" ref="K24">IFERROR(_xlfn.AGGREGATE(15,6,(ROW(Personnel[Egtim durumu])-MIN(ROW(Personnel[Egtim durumu]))+1)/((Personnel[Egtim durumu]="Dil egitimi tamamlandi sinavdan gecti")),ROWS($K$7:K24)),"")</f>
        <v>24</v>
      </c>
    </row>
    <row r="25" spans="1:11" ht="25.5" x14ac:dyDescent="0.25">
      <c r="A25" s="18">
        <f>IFERROR(INDEX(Personnel[Sicil],$K25),"")</f>
        <v>623010</v>
      </c>
      <c r="B25" s="17" t="str">
        <f>IFERROR(INDEX(Personnel[Adi Soyadi],$K25),"")</f>
        <v>Дурдиев Алланазар Нурмухаммедович</v>
      </c>
      <c r="C25" s="18" t="str">
        <f>IFERROR(INDEX(Personnel[Vatandaslik],$K25),"")</f>
        <v>УЗБЕКИСТАН</v>
      </c>
      <c r="D25" s="18" t="str">
        <f>IFERROR(INDEX(Personnel[Santiye],$K25),"")</f>
        <v>GPP Proje</v>
      </c>
      <c r="E25" s="18" t="str">
        <f>IFERROR(INDEX(Personnel[Ogretmen],$K25),"")</f>
        <v>Tyulina Natalya</v>
      </c>
      <c r="F25" s="17" t="str">
        <f>IFERROR(INDEX(Personnel[[Sinav ]],$K25),"")</f>
        <v>28.04.2026 Sineva gitti gecdi</v>
      </c>
      <c r="G25" s="17" t="str">
        <f>IFERROR(INDEX(Personnel[Egtim durumu],$K25),"")</f>
        <v>Dil egitimi tamamlandi sinavdan gecti</v>
      </c>
      <c r="H25" s="17" t="str">
        <f>IFERROR(INDEX(Personnel[Shohruh Not],$K25),"")</f>
        <v>-</v>
      </c>
      <c r="I25" s="22">
        <f ca="1">IFERROR(INDEX(Personnel[Дней в РФ],$K25),"")</f>
        <v>126</v>
      </c>
      <c r="K25" s="23">
        <f t="array" ref="K25">IFERROR(_xlfn.AGGREGATE(15,6,(ROW(Personnel[Egtim durumu])-MIN(ROW(Personnel[Egtim durumu]))+1)/((Personnel[Egtim durumu]="Dil egitimi tamamlandi sinavdan gecti")),ROWS($K$7:K25)),"")</f>
        <v>25</v>
      </c>
    </row>
    <row r="26" spans="1:11" x14ac:dyDescent="0.25">
      <c r="A26" s="40">
        <f>IFERROR(INDEX(Personnel[Sicil],$K26),"")</f>
        <v>278392</v>
      </c>
      <c r="B26" s="41" t="str">
        <f>IFERROR(INDEX(Personnel[Adi Soyadi],$K26),"")</f>
        <v>Богбеков Руслонбек Исмоилович</v>
      </c>
      <c r="C26" s="40" t="str">
        <f>IFERROR(INDEX(Personnel[Vatandaslik],$K26),"")</f>
        <v>УЗБЕКИСТАН</v>
      </c>
      <c r="D26" s="40" t="str">
        <f>IFERROR(INDEX(Personnel[Santiye],$K26),"")</f>
        <v>GPP Proje</v>
      </c>
      <c r="E26" s="40" t="str">
        <f>IFERROR(INDEX(Personnel[Ogretmen],$K26),"")</f>
        <v xml:space="preserve">Ziazetdinov Arslan </v>
      </c>
      <c r="F26" s="41" t="str">
        <f>IFERROR(INDEX(Personnel[[Sinav ]],$K26),"")</f>
        <v>05.05.2026 Sineva gitti gecdi</v>
      </c>
      <c r="G26" s="41" t="str">
        <f>IFERROR(INDEX(Personnel[Egtim durumu],$K26),"")</f>
        <v>Dil egitimi tamamlandi sinavdan gecti</v>
      </c>
      <c r="H26" s="41" t="str">
        <f>IFERROR(INDEX(Personnel[Shohruh Not],$K26),"")</f>
        <v>-</v>
      </c>
      <c r="I26" s="42">
        <f ca="1">IFERROR(INDEX(Personnel[Дней в РФ],$K26),"")</f>
        <v>445</v>
      </c>
      <c r="K26" s="23">
        <f t="array" ref="K26">IFERROR(_xlfn.AGGREGATE(15,6,(ROW(Personnel[Egtim durumu])-MIN(ROW(Personnel[Egtim durumu]))+1)/((Personnel[Egtim durumu]="Dil egitimi tamamlandi sinavdan gecti")),ROWS($K$7:K26)),"")</f>
        <v>26</v>
      </c>
    </row>
    <row r="27" spans="1:11" x14ac:dyDescent="0.25">
      <c r="A27" s="18">
        <f>IFERROR(INDEX(Personnel[Sicil],$K27),"")</f>
        <v>642433</v>
      </c>
      <c r="B27" s="17" t="str">
        <f>IFERROR(INDEX(Personnel[Adi Soyadi],$K27),"")</f>
        <v>Хасанов Сулаймон Худойберган Угли</v>
      </c>
      <c r="C27" s="18" t="str">
        <f>IFERROR(INDEX(Personnel[Vatandaslik],$K27),"")</f>
        <v>УЗБЕКИСТАН</v>
      </c>
      <c r="D27" s="18" t="str">
        <f>IFERROR(INDEX(Personnel[Santiye],$K27),"")</f>
        <v>GPP Proje</v>
      </c>
      <c r="E27" s="18" t="str">
        <f>IFERROR(INDEX(Personnel[Ogretmen],$K27),"")</f>
        <v>Tyulina Natalya</v>
      </c>
      <c r="F27" s="17" t="str">
        <f>IFERROR(INDEX(Personnel[[Sinav ]],$K27),"")</f>
        <v>28.04.2026 Sineva gitti gecdi</v>
      </c>
      <c r="G27" s="17" t="str">
        <f>IFERROR(INDEX(Personnel[Egtim durumu],$K27),"")</f>
        <v>Dil egitimi tamamlandi sinavdan gecti</v>
      </c>
      <c r="H27" s="17" t="str">
        <f>IFERROR(INDEX(Personnel[Shohruh Not],$K27),"")</f>
        <v>-</v>
      </c>
      <c r="I27" s="22">
        <f ca="1">IFERROR(INDEX(Personnel[Дней в РФ],$K27),"")</f>
        <v>124</v>
      </c>
      <c r="K27" s="23">
        <f t="array" ref="K27">IFERROR(_xlfn.AGGREGATE(15,6,(ROW(Personnel[Egtim durumu])-MIN(ROW(Personnel[Egtim durumu]))+1)/((Personnel[Egtim durumu]="Dil egitimi tamamlandi sinavdan gecti")),ROWS($K$7:K27)),"")</f>
        <v>27</v>
      </c>
    </row>
    <row r="28" spans="1:11" ht="25.5" x14ac:dyDescent="0.25">
      <c r="A28" s="40">
        <f>IFERROR(INDEX(Personnel[Sicil],$K28),"")</f>
        <v>642383</v>
      </c>
      <c r="B28" s="41" t="str">
        <f>IFERROR(INDEX(Personnel[Adi Soyadi],$K28),"")</f>
        <v>Назаров Рахмонберди Носиржонович</v>
      </c>
      <c r="C28" s="40" t="str">
        <f>IFERROR(INDEX(Personnel[Vatandaslik],$K28),"")</f>
        <v>УЗБЕКИСТАН</v>
      </c>
      <c r="D28" s="40" t="str">
        <f>IFERROR(INDEX(Personnel[Santiye],$K28),"")</f>
        <v>GPP Proje</v>
      </c>
      <c r="E28" s="40" t="str">
        <f>IFERROR(INDEX(Personnel[Ogretmen],$K28),"")</f>
        <v>Tyulina Natalya</v>
      </c>
      <c r="F28" s="41" t="str">
        <f>IFERROR(INDEX(Personnel[[Sinav ]],$K28),"")</f>
        <v>30.04.2026 Sineva gitti gecdi</v>
      </c>
      <c r="G28" s="41" t="str">
        <f>IFERROR(INDEX(Personnel[Egtim durumu],$K28),"")</f>
        <v>Dil egitimi tamamlandi sinavdan gecti</v>
      </c>
      <c r="H28" s="41" t="str">
        <f>IFERROR(INDEX(Personnel[Shohruh Not],$K28),"")</f>
        <v>-</v>
      </c>
      <c r="I28" s="42">
        <f ca="1">IFERROR(INDEX(Personnel[Дней в РФ],$K28),"")</f>
        <v>125</v>
      </c>
      <c r="K28" s="23">
        <f t="array" ref="K28">IFERROR(_xlfn.AGGREGATE(15,6,(ROW(Personnel[Egtim durumu])-MIN(ROW(Personnel[Egtim durumu]))+1)/((Personnel[Egtim durumu]="Dil egitimi tamamlandi sinavdan gecti")),ROWS($K$7:K28)),"")</f>
        <v>28</v>
      </c>
    </row>
    <row r="29" spans="1:11" x14ac:dyDescent="0.25">
      <c r="A29" s="18">
        <f>IFERROR(INDEX(Personnel[Sicil],$K29),"")</f>
        <v>642377</v>
      </c>
      <c r="B29" s="17" t="str">
        <f>IFERROR(INDEX(Personnel[Adi Soyadi],$K29),"")</f>
        <v>Нурметов Сирож Рустамбекович</v>
      </c>
      <c r="C29" s="18" t="str">
        <f>IFERROR(INDEX(Personnel[Vatandaslik],$K29),"")</f>
        <v>УЗБЕКИСТАН</v>
      </c>
      <c r="D29" s="18" t="str">
        <f>IFERROR(INDEX(Personnel[Santiye],$K29),"")</f>
        <v>GPP Proje</v>
      </c>
      <c r="E29" s="18" t="str">
        <f>IFERROR(INDEX(Personnel[Ogretmen],$K29),"")</f>
        <v>Tyulina Natalya</v>
      </c>
      <c r="F29" s="17" t="str">
        <f>IFERROR(INDEX(Personnel[[Sinav ]],$K29),"")</f>
        <v>28.04.2026 Sineva gitti gecdi</v>
      </c>
      <c r="G29" s="17" t="str">
        <f>IFERROR(INDEX(Personnel[Egtim durumu],$K29),"")</f>
        <v>Dil egitimi tamamlandi sinavdan gecti</v>
      </c>
      <c r="H29" s="17" t="str">
        <f>IFERROR(INDEX(Personnel[Shohruh Not],$K29),"")</f>
        <v>-</v>
      </c>
      <c r="I29" s="22">
        <f ca="1">IFERROR(INDEX(Personnel[Дней в РФ],$K29),"")</f>
        <v>126</v>
      </c>
      <c r="K29" s="23">
        <f t="array" ref="K29">IFERROR(_xlfn.AGGREGATE(15,6,(ROW(Personnel[Egtim durumu])-MIN(ROW(Personnel[Egtim durumu]))+1)/((Personnel[Egtim durumu]="Dil egitimi tamamlandi sinavdan gecti")),ROWS($K$7:K29)),"")</f>
        <v>29</v>
      </c>
    </row>
    <row r="30" spans="1:11" ht="25.5" x14ac:dyDescent="0.25">
      <c r="A30" s="40">
        <f>IFERROR(INDEX(Personnel[Sicil],$K30),"")</f>
        <v>642431</v>
      </c>
      <c r="B30" s="41" t="str">
        <f>IFERROR(INDEX(Personnel[Adi Soyadi],$K30),"")</f>
        <v>Абдуллаев Нажмиддин Мирзафар Угли</v>
      </c>
      <c r="C30" s="40" t="str">
        <f>IFERROR(INDEX(Personnel[Vatandaslik],$K30),"")</f>
        <v>УЗБЕКИСТАН</v>
      </c>
      <c r="D30" s="40" t="str">
        <f>IFERROR(INDEX(Personnel[Santiye],$K30),"")</f>
        <v>GPP Proje</v>
      </c>
      <c r="E30" s="40" t="str">
        <f>IFERROR(INDEX(Personnel[Ogretmen],$K30),"")</f>
        <v>Tyulina Natalya</v>
      </c>
      <c r="F30" s="41" t="str">
        <f>IFERROR(INDEX(Personnel[[Sinav ]],$K30),"")</f>
        <v>28.04.2026 Sineva gitti gecdi</v>
      </c>
      <c r="G30" s="41" t="str">
        <f>IFERROR(INDEX(Personnel[Egtim durumu],$K30),"")</f>
        <v>Dil egitimi tamamlandi sinavdan gecti</v>
      </c>
      <c r="H30" s="41" t="str">
        <f>IFERROR(INDEX(Personnel[Shohruh Not],$K30),"")</f>
        <v>-</v>
      </c>
      <c r="I30" s="42">
        <f ca="1">IFERROR(INDEX(Personnel[Дней в РФ],$K30),"")</f>
        <v>125</v>
      </c>
      <c r="K30" s="23">
        <f t="array" ref="K30">IFERROR(_xlfn.AGGREGATE(15,6,(ROW(Personnel[Egtim durumu])-MIN(ROW(Personnel[Egtim durumu]))+1)/((Personnel[Egtim durumu]="Dil egitimi tamamlandi sinavdan gecti")),ROWS($K$7:K30)),"")</f>
        <v>31</v>
      </c>
    </row>
    <row r="31" spans="1:11" ht="25.5" x14ac:dyDescent="0.25">
      <c r="A31" s="18">
        <f>IFERROR(INDEX(Personnel[Sicil],$K31),"")</f>
        <v>642379</v>
      </c>
      <c r="B31" s="17" t="str">
        <f>IFERROR(INDEX(Personnel[Adi Soyadi],$K31),"")</f>
        <v>Эшмуродов Элёр Исматович</v>
      </c>
      <c r="C31" s="18" t="str">
        <f>IFERROR(INDEX(Personnel[Vatandaslik],$K31),"")</f>
        <v>УЗБЕКИСТАН</v>
      </c>
      <c r="D31" s="18" t="str">
        <f>IFERROR(INDEX(Personnel[Santiye],$K31),"")</f>
        <v>GPP Proje</v>
      </c>
      <c r="E31" s="18" t="str">
        <f>IFERROR(INDEX(Personnel[Ogretmen],$K31),"")</f>
        <v>Tyulina Natalya</v>
      </c>
      <c r="F31" s="17" t="str">
        <f>IFERROR(INDEX(Personnel[[Sinav ]],$K31),"")</f>
        <v>28.04.2026 Sineva gitti gecemedi /30.04.2026 Sineva gitti gecdi</v>
      </c>
      <c r="G31" s="17" t="str">
        <f>IFERROR(INDEX(Personnel[Egtim durumu],$K31),"")</f>
        <v>Dil egitimi tamamlandi sinavdan gecti</v>
      </c>
      <c r="H31" s="17" t="str">
        <f>IFERROR(INDEX(Personnel[Shohruh Not],$K31),"")</f>
        <v>-</v>
      </c>
      <c r="I31" s="22">
        <f ca="1">IFERROR(INDEX(Personnel[Дней в РФ],$K31),"")</f>
        <v>126</v>
      </c>
      <c r="K31" s="23">
        <f t="array" ref="K31">IFERROR(_xlfn.AGGREGATE(15,6,(ROW(Personnel[Egtim durumu])-MIN(ROW(Personnel[Egtim durumu]))+1)/((Personnel[Egtim durumu]="Dil egitimi tamamlandi sinavdan gecti")),ROWS($K$7:K31)),"")</f>
        <v>32</v>
      </c>
    </row>
    <row r="32" spans="1:11" x14ac:dyDescent="0.25">
      <c r="A32" s="40">
        <f>IFERROR(INDEX(Personnel[Sicil],$K32),"")</f>
        <v>270531</v>
      </c>
      <c r="B32" s="41" t="str">
        <f>IFERROR(INDEX(Personnel[Adi Soyadi],$K32),"")</f>
        <v>Пардаев Фарход Рустамович</v>
      </c>
      <c r="C32" s="40" t="str">
        <f>IFERROR(INDEX(Personnel[Vatandaslik],$K32),"")</f>
        <v>УЗБЕКИСТАН</v>
      </c>
      <c r="D32" s="40" t="str">
        <f>IFERROR(INDEX(Personnel[Santiye],$K32),"")</f>
        <v>GPP Proje</v>
      </c>
      <c r="E32" s="40" t="str">
        <f>IFERROR(INDEX(Personnel[Ogretmen],$K32),"")</f>
        <v>Tyulina Natalya</v>
      </c>
      <c r="F32" s="41" t="str">
        <f>IFERROR(INDEX(Personnel[[Sinav ]],$K32),"")</f>
        <v>28.04.2026 Sineva gitti gecdi</v>
      </c>
      <c r="G32" s="41" t="str">
        <f>IFERROR(INDEX(Personnel[Egtim durumu],$K32),"")</f>
        <v>Dil egitimi tamamlandi sinavdan gecti</v>
      </c>
      <c r="H32" s="41" t="str">
        <f>IFERROR(INDEX(Personnel[Shohruh Not],$K32),"")</f>
        <v>-</v>
      </c>
      <c r="I32" s="42">
        <f ca="1">IFERROR(INDEX(Personnel[Дней в РФ],$K32),"")</f>
        <v>126</v>
      </c>
      <c r="K32" s="23">
        <f t="array" ref="K32">IFERROR(_xlfn.AGGREGATE(15,6,(ROW(Personnel[Egtim durumu])-MIN(ROW(Personnel[Egtim durumu]))+1)/((Personnel[Egtim durumu]="Dil egitimi tamamlandi sinavdan gecti")),ROWS($K$7:K32)),"")</f>
        <v>33</v>
      </c>
    </row>
    <row r="33" spans="1:11" x14ac:dyDescent="0.25">
      <c r="A33" s="18">
        <f>IFERROR(INDEX(Personnel[Sicil],$K33),"")</f>
        <v>514626</v>
      </c>
      <c r="B33" s="17" t="str">
        <f>IFERROR(INDEX(Personnel[Adi Soyadi],$K33),"")</f>
        <v>Уринов Жалолбек Юлдошбой угли</v>
      </c>
      <c r="C33" s="18" t="str">
        <f>IFERROR(INDEX(Personnel[Vatandaslik],$K33),"")</f>
        <v>УЗБЕКИСТАН</v>
      </c>
      <c r="D33" s="18" t="str">
        <f>IFERROR(INDEX(Personnel[Santiye],$K33),"")</f>
        <v>GPP Proje</v>
      </c>
      <c r="E33" s="18" t="str">
        <f>IFERROR(INDEX(Personnel[Ogretmen],$K33),"")</f>
        <v>Tyulina Natalya</v>
      </c>
      <c r="F33" s="17" t="str">
        <f>IFERROR(INDEX(Personnel[[Sinav ]],$K33),"")</f>
        <v>28.04.2026 Sineva gitti gecdi</v>
      </c>
      <c r="G33" s="17" t="str">
        <f>IFERROR(INDEX(Personnel[Egtim durumu],$K33),"")</f>
        <v>Dil egitimi tamamlandi sinavdan gecti</v>
      </c>
      <c r="H33" s="17" t="str">
        <f>IFERROR(INDEX(Personnel[Shohruh Not],$K33),"")</f>
        <v>-</v>
      </c>
      <c r="I33" s="22">
        <f ca="1">IFERROR(INDEX(Personnel[Дней в РФ],$K33),"")</f>
        <v>126</v>
      </c>
      <c r="K33" s="23">
        <f t="array" ref="K33">IFERROR(_xlfn.AGGREGATE(15,6,(ROW(Personnel[Egtim durumu])-MIN(ROW(Personnel[Egtim durumu]))+1)/((Personnel[Egtim durumu]="Dil egitimi tamamlandi sinavdan gecti")),ROWS($K$7:K33)),"")</f>
        <v>34</v>
      </c>
    </row>
    <row r="34" spans="1:11" x14ac:dyDescent="0.25">
      <c r="A34" s="40">
        <f>IFERROR(INDEX(Personnel[Sicil],$K34),"")</f>
        <v>530712</v>
      </c>
      <c r="B34" s="41" t="str">
        <f>IFERROR(INDEX(Personnel[Adi Soyadi],$K34),"")</f>
        <v>Отажонов Юсуфбой Хасанбой Угли</v>
      </c>
      <c r="C34" s="40" t="str">
        <f>IFERROR(INDEX(Personnel[Vatandaslik],$K34),"")</f>
        <v>УЗБЕКИСТАН</v>
      </c>
      <c r="D34" s="40" t="str">
        <f>IFERROR(INDEX(Personnel[Santiye],$K34),"")</f>
        <v>GPP Proje</v>
      </c>
      <c r="E34" s="40" t="str">
        <f>IFERROR(INDEX(Personnel[Ogretmen],$K34),"")</f>
        <v xml:space="preserve">Ziazetdinov Arslan </v>
      </c>
      <c r="F34" s="41" t="str">
        <f>IFERROR(INDEX(Personnel[[Sinav ]],$K34),"")</f>
        <v>05.05.2026 Sineva gitti gecdi</v>
      </c>
      <c r="G34" s="41" t="str">
        <f>IFERROR(INDEX(Personnel[Egtim durumu],$K34),"")</f>
        <v>Dil egitimi tamamlandi sinavdan gecti</v>
      </c>
      <c r="H34" s="41" t="str">
        <f>IFERROR(INDEX(Personnel[Shohruh Not],$K34),"")</f>
        <v>-</v>
      </c>
      <c r="I34" s="42">
        <f ca="1">IFERROR(INDEX(Personnel[Дней в РФ],$K34),"")</f>
        <v>458</v>
      </c>
      <c r="K34" s="23">
        <f t="array" ref="K34">IFERROR(_xlfn.AGGREGATE(15,6,(ROW(Personnel[Egtim durumu])-MIN(ROW(Personnel[Egtim durumu]))+1)/((Personnel[Egtim durumu]="Dil egitimi tamamlandi sinavdan gecti")),ROWS($K$7:K34)),"")</f>
        <v>35</v>
      </c>
    </row>
    <row r="35" spans="1:11" x14ac:dyDescent="0.25">
      <c r="A35" s="18">
        <f>IFERROR(INDEX(Personnel[Sicil],$K35),"")</f>
        <v>642434</v>
      </c>
      <c r="B35" s="17" t="str">
        <f>IFERROR(INDEX(Personnel[Adi Soyadi],$K35),"")</f>
        <v>Бозоров Асомиддин Кувондик Угли</v>
      </c>
      <c r="C35" s="18" t="str">
        <f>IFERROR(INDEX(Personnel[Vatandaslik],$K35),"")</f>
        <v>УЗБЕКИСТАН</v>
      </c>
      <c r="D35" s="18" t="str">
        <f>IFERROR(INDEX(Personnel[Santiye],$K35),"")</f>
        <v>GPP Proje</v>
      </c>
      <c r="E35" s="18" t="str">
        <f>IFERROR(INDEX(Personnel[Ogretmen],$K35),"")</f>
        <v>Tyulina Natalya</v>
      </c>
      <c r="F35" s="17" t="str">
        <f>IFERROR(INDEX(Personnel[[Sinav ]],$K35),"")</f>
        <v>28.04.2026 Sineva gitti gecdi</v>
      </c>
      <c r="G35" s="17" t="str">
        <f>IFERROR(INDEX(Personnel[Egtim durumu],$K35),"")</f>
        <v>Dil egitimi tamamlandi sinavdan gecti</v>
      </c>
      <c r="H35" s="17" t="str">
        <f>IFERROR(INDEX(Personnel[Shohruh Not],$K35),"")</f>
        <v>-</v>
      </c>
      <c r="I35" s="22">
        <f ca="1">IFERROR(INDEX(Personnel[Дней в РФ],$K35),"")</f>
        <v>124</v>
      </c>
      <c r="K35" s="23">
        <f t="array" ref="K35">IFERROR(_xlfn.AGGREGATE(15,6,(ROW(Personnel[Egtim durumu])-MIN(ROW(Personnel[Egtim durumu]))+1)/((Personnel[Egtim durumu]="Dil egitimi tamamlandi sinavdan gecti")),ROWS($K$7:K35)),"")</f>
        <v>36</v>
      </c>
    </row>
    <row r="36" spans="1:11" x14ac:dyDescent="0.25">
      <c r="A36" s="40">
        <f>IFERROR(INDEX(Personnel[Sicil],$K36),"")</f>
        <v>514850</v>
      </c>
      <c r="B36" s="41" t="str">
        <f>IFERROR(INDEX(Personnel[Adi Soyadi],$K36),"")</f>
        <v>Розимов Хусниддин Сапарбаевич</v>
      </c>
      <c r="C36" s="40" t="str">
        <f>IFERROR(INDEX(Personnel[Vatandaslik],$K36),"")</f>
        <v>УЗБЕКИСТАН</v>
      </c>
      <c r="D36" s="40" t="str">
        <f>IFERROR(INDEX(Personnel[Santiye],$K36),"")</f>
        <v>GPP Proje</v>
      </c>
      <c r="E36" s="40" t="str">
        <f>IFERROR(INDEX(Personnel[Ogretmen],$K36),"")</f>
        <v>-</v>
      </c>
      <c r="F36" s="41" t="str">
        <f>IFERROR(INDEX(Personnel[[Sinav ]],$K36),"")</f>
        <v>13.05.2026 Sineva gitti gecdi</v>
      </c>
      <c r="G36" s="41" t="str">
        <f>IFERROR(INDEX(Personnel[Egtim durumu],$K36),"")</f>
        <v>Dil egitimi tamamlandi sinavdan gecti</v>
      </c>
      <c r="H36" s="41" t="str">
        <f>IFERROR(INDEX(Personnel[Shohruh Not],$K36),"")</f>
        <v>-</v>
      </c>
      <c r="I36" s="42">
        <f ca="1">IFERROR(INDEX(Personnel[Дней в РФ],$K36),"")</f>
        <v>453</v>
      </c>
      <c r="K36" s="23">
        <f t="array" ref="K36">IFERROR(_xlfn.AGGREGATE(15,6,(ROW(Personnel[Egtim durumu])-MIN(ROW(Personnel[Egtim durumu]))+1)/((Personnel[Egtim durumu]="Dil egitimi tamamlandi sinavdan gecti")),ROWS($K$7:K36)),"")</f>
        <v>38</v>
      </c>
    </row>
    <row r="37" spans="1:11" x14ac:dyDescent="0.25">
      <c r="A37" s="18">
        <f>IFERROR(INDEX(Personnel[Sicil],$K37),"")</f>
        <v>623249</v>
      </c>
      <c r="B37" s="17" t="str">
        <f>IFERROR(INDEX(Personnel[Adi Soyadi],$K37),"")</f>
        <v>Кулдашов Шерзодбек Алишерович</v>
      </c>
      <c r="C37" s="18" t="str">
        <f>IFERROR(INDEX(Personnel[Vatandaslik],$K37),"")</f>
        <v>УЗБЕКИСТАН</v>
      </c>
      <c r="D37" s="18" t="str">
        <f>IFERROR(INDEX(Personnel[Santiye],$K37),"")</f>
        <v>GPP Proje</v>
      </c>
      <c r="E37" s="18" t="str">
        <f>IFERROR(INDEX(Personnel[Ogretmen],$K37),"")</f>
        <v>Tyulina Natalya</v>
      </c>
      <c r="F37" s="17" t="str">
        <f>IFERROR(INDEX(Personnel[[Sinav ]],$K37),"")</f>
        <v>28.04.2026 Sineva gitti gecdi</v>
      </c>
      <c r="G37" s="17" t="str">
        <f>IFERROR(INDEX(Personnel[Egtim durumu],$K37),"")</f>
        <v>Dil egitimi tamamlandi sinavdan gecti</v>
      </c>
      <c r="H37" s="17" t="str">
        <f>IFERROR(INDEX(Personnel[Shohruh Not],$K37),"")</f>
        <v>-</v>
      </c>
      <c r="I37" s="22">
        <f ca="1">IFERROR(INDEX(Personnel[Дней в РФ],$K37),"")</f>
        <v>123</v>
      </c>
      <c r="K37" s="23">
        <f t="array" ref="K37">IFERROR(_xlfn.AGGREGATE(15,6,(ROW(Personnel[Egtim durumu])-MIN(ROW(Personnel[Egtim durumu]))+1)/((Personnel[Egtim durumu]="Dil egitimi tamamlandi sinavdan gecti")),ROWS($K$7:K37)),"")</f>
        <v>39</v>
      </c>
    </row>
    <row r="38" spans="1:11" x14ac:dyDescent="0.25">
      <c r="A38" s="40">
        <f>IFERROR(INDEX(Personnel[Sicil],$K38),"")</f>
        <v>607412</v>
      </c>
      <c r="B38" s="41" t="str">
        <f>IFERROR(INDEX(Personnel[Adi Soyadi],$K38),"")</f>
        <v>Хуррамов Элдор Элмурод Угли</v>
      </c>
      <c r="C38" s="40" t="str">
        <f>IFERROR(INDEX(Personnel[Vatandaslik],$K38),"")</f>
        <v>УЗБЕКИСТАН</v>
      </c>
      <c r="D38" s="40" t="str">
        <f>IFERROR(INDEX(Personnel[Santiye],$K38),"")</f>
        <v>GPP Proje (TSF)</v>
      </c>
      <c r="E38" s="40" t="str">
        <f>IFERROR(INDEX(Personnel[Ogretmen],$K38),"")</f>
        <v>Tyulina Natalya</v>
      </c>
      <c r="F38" s="41" t="str">
        <f>IFERROR(INDEX(Personnel[[Sinav ]],$K38),"")</f>
        <v>28.04.2026 Sineva gitti gecdi</v>
      </c>
      <c r="G38" s="41" t="str">
        <f>IFERROR(INDEX(Personnel[Egtim durumu],$K38),"")</f>
        <v>Dil egitimi tamamlandi sinavdan gecti</v>
      </c>
      <c r="H38" s="41" t="str">
        <f>IFERROR(INDEX(Personnel[Shohruh Not],$K38),"")</f>
        <v>-</v>
      </c>
      <c r="I38" s="42">
        <f ca="1">IFERROR(INDEX(Personnel[Дней в РФ],$K38),"")</f>
        <v>124</v>
      </c>
      <c r="K38" s="23">
        <f t="array" ref="K38">IFERROR(_xlfn.AGGREGATE(15,6,(ROW(Personnel[Egtim durumu])-MIN(ROW(Personnel[Egtim durumu]))+1)/((Personnel[Egtim durumu]="Dil egitimi tamamlandi sinavdan gecti")),ROWS($K$7:K38)),"")</f>
        <v>40</v>
      </c>
    </row>
    <row r="39" spans="1:11" x14ac:dyDescent="0.25">
      <c r="A39" s="18">
        <f>IFERROR(INDEX(Personnel[Sicil],$K39),"")</f>
        <v>637081</v>
      </c>
      <c r="B39" s="17" t="str">
        <f>IFERROR(INDEX(Personnel[Adi Soyadi],$K39),"")</f>
        <v>Юсупов Бобур Гайрат Угли</v>
      </c>
      <c r="C39" s="18" t="str">
        <f>IFERROR(INDEX(Personnel[Vatandaslik],$K39),"")</f>
        <v>УЗБЕКИСТАН</v>
      </c>
      <c r="D39" s="18" t="str">
        <f>IFERROR(INDEX(Personnel[Santiye],$K39),"")</f>
        <v>GPP Proje</v>
      </c>
      <c r="E39" s="18" t="str">
        <f>IFERROR(INDEX(Personnel[Ogretmen],$K39),"")</f>
        <v xml:space="preserve">Ziazetdinov Arslan </v>
      </c>
      <c r="F39" s="17" t="str">
        <f>IFERROR(INDEX(Personnel[[Sinav ]],$K39),"")</f>
        <v>05.05.2026 Sineva gitti gecdi</v>
      </c>
      <c r="G39" s="17" t="str">
        <f>IFERROR(INDEX(Personnel[Egtim durumu],$K39),"")</f>
        <v>Dil egitimi tamamlandi sinavdan gecti</v>
      </c>
      <c r="H39" s="17" t="str">
        <f>IFERROR(INDEX(Personnel[Shohruh Not],$K39),"")</f>
        <v>-</v>
      </c>
      <c r="I39" s="22">
        <f ca="1">IFERROR(INDEX(Personnel[Дней в РФ],$K39),"")</f>
        <v>475</v>
      </c>
      <c r="K39" s="23">
        <f t="array" ref="K39">IFERROR(_xlfn.AGGREGATE(15,6,(ROW(Personnel[Egtim durumu])-MIN(ROW(Personnel[Egtim durumu]))+1)/((Personnel[Egtim durumu]="Dil egitimi tamamlandi sinavdan gecti")),ROWS($K$7:K39)),"")</f>
        <v>41</v>
      </c>
    </row>
    <row r="40" spans="1:11" x14ac:dyDescent="0.25">
      <c r="A40" s="40">
        <f>IFERROR(INDEX(Personnel[Sicil],$K40),"")</f>
        <v>642506</v>
      </c>
      <c r="B40" s="41" t="str">
        <f>IFERROR(INDEX(Personnel[Adi Soyadi],$K40),"")</f>
        <v>Фозилов Мухриддин Нуриддинович</v>
      </c>
      <c r="C40" s="40" t="str">
        <f>IFERROR(INDEX(Personnel[Vatandaslik],$K40),"")</f>
        <v>УЗБЕКИСТАН</v>
      </c>
      <c r="D40" s="40" t="str">
        <f>IFERROR(INDEX(Personnel[Santiye],$K40),"")</f>
        <v>GPP Proje</v>
      </c>
      <c r="E40" s="40" t="str">
        <f>IFERROR(INDEX(Personnel[Ogretmen],$K40),"")</f>
        <v>Tyulina Natalya</v>
      </c>
      <c r="F40" s="41" t="str">
        <f>IFERROR(INDEX(Personnel[[Sinav ]],$K40),"")</f>
        <v>28.04.2026 Sineva gitti gecdi</v>
      </c>
      <c r="G40" s="41" t="str">
        <f>IFERROR(INDEX(Personnel[Egtim durumu],$K40),"")</f>
        <v>Dil egitimi tamamlandi sinavdan gecti</v>
      </c>
      <c r="H40" s="41" t="str">
        <f>IFERROR(INDEX(Personnel[Shohruh Not],$K40),"")</f>
        <v>-</v>
      </c>
      <c r="I40" s="42">
        <f ca="1">IFERROR(INDEX(Personnel[Дней в РФ],$K40),"")</f>
        <v>123</v>
      </c>
      <c r="K40" s="23">
        <f t="array" ref="K40">IFERROR(_xlfn.AGGREGATE(15,6,(ROW(Personnel[Egtim durumu])-MIN(ROW(Personnel[Egtim durumu]))+1)/((Personnel[Egtim durumu]="Dil egitimi tamamlandi sinavdan gecti")),ROWS($K$7:K40)),"")</f>
        <v>42</v>
      </c>
    </row>
    <row r="41" spans="1:11" ht="25.5" x14ac:dyDescent="0.25">
      <c r="A41" s="18">
        <f>IFERROR(INDEX(Personnel[Sicil],$K41),"")</f>
        <v>642336</v>
      </c>
      <c r="B41" s="17" t="str">
        <f>IFERROR(INDEX(Personnel[Adi Soyadi],$K41),"")</f>
        <v>Буронов Туроб Тешаевич</v>
      </c>
      <c r="C41" s="18" t="str">
        <f>IFERROR(INDEX(Personnel[Vatandaslik],$K41),"")</f>
        <v>УЗБЕКИСТАН</v>
      </c>
      <c r="D41" s="18" t="str">
        <f>IFERROR(INDEX(Personnel[Santiye],$K41),"")</f>
        <v>GPP Proje</v>
      </c>
      <c r="E41" s="18" t="str">
        <f>IFERROR(INDEX(Personnel[Ogretmen],$K41),"")</f>
        <v>Tyulina Natalya</v>
      </c>
      <c r="F41" s="17" t="str">
        <f>IFERROR(INDEX(Personnel[[Sinav ]],$K41),"")</f>
        <v>28.04.2026 Sineva gitti gecemedi /05.05.2026 Sineva gitti gecdi</v>
      </c>
      <c r="G41" s="17" t="str">
        <f>IFERROR(INDEX(Personnel[Egtim durumu],$K41),"")</f>
        <v>Dil egitimi tamamlandi sinavdan gecti</v>
      </c>
      <c r="H41" s="17" t="str">
        <f>IFERROR(INDEX(Personnel[Shohruh Not],$K41),"")</f>
        <v>-</v>
      </c>
      <c r="I41" s="22">
        <f ca="1">IFERROR(INDEX(Personnel[Дней в РФ],$K41),"")</f>
        <v>130</v>
      </c>
      <c r="K41" s="23">
        <f t="array" ref="K41">IFERROR(_xlfn.AGGREGATE(15,6,(ROW(Personnel[Egtim durumu])-MIN(ROW(Personnel[Egtim durumu]))+1)/((Personnel[Egtim durumu]="Dil egitimi tamamlandi sinavdan gecti")),ROWS($K$7:K41)),"")</f>
        <v>43</v>
      </c>
    </row>
    <row r="42" spans="1:11" ht="25.5" x14ac:dyDescent="0.25">
      <c r="A42" s="40">
        <f>IFERROR(INDEX(Personnel[Sicil],$K42),"")</f>
        <v>642320</v>
      </c>
      <c r="B42" s="41" t="str">
        <f>IFERROR(INDEX(Personnel[Adi Soyadi],$K42),"")</f>
        <v>Хайитмаматов Жавохиржон Шовкат Угли</v>
      </c>
      <c r="C42" s="40" t="str">
        <f>IFERROR(INDEX(Personnel[Vatandaslik],$K42),"")</f>
        <v>УЗБЕКИСТАН</v>
      </c>
      <c r="D42" s="40" t="str">
        <f>IFERROR(INDEX(Personnel[Santiye],$K42),"")</f>
        <v>GPP Proje</v>
      </c>
      <c r="E42" s="40" t="str">
        <f>IFERROR(INDEX(Personnel[Ogretmen],$K42),"")</f>
        <v>Tyulina Natalya</v>
      </c>
      <c r="F42" s="41" t="str">
        <f>IFERROR(INDEX(Personnel[[Sinav ]],$K42),"")</f>
        <v>28.04.2026 Sineva gitti gecemedi /05.05.2026 Sineva gitti gecdi</v>
      </c>
      <c r="G42" s="41" t="str">
        <f>IFERROR(INDEX(Personnel[Egtim durumu],$K42),"")</f>
        <v>Dil egitimi tamamlandi sinavdan gecti</v>
      </c>
      <c r="H42" s="41" t="str">
        <f>IFERROR(INDEX(Personnel[Shohruh Not],$K42),"")</f>
        <v>-</v>
      </c>
      <c r="I42" s="42">
        <f ca="1">IFERROR(INDEX(Personnel[Дней в РФ],$K42),"")</f>
        <v>130</v>
      </c>
      <c r="K42" s="23">
        <f t="array" ref="K42">IFERROR(_xlfn.AGGREGATE(15,6,(ROW(Personnel[Egtim durumu])-MIN(ROW(Personnel[Egtim durumu]))+1)/((Personnel[Egtim durumu]="Dil egitimi tamamlandi sinavdan gecti")),ROWS($K$7:K42)),"")</f>
        <v>44</v>
      </c>
    </row>
    <row r="43" spans="1:11" ht="25.5" x14ac:dyDescent="0.25">
      <c r="A43" s="18">
        <f>IFERROR(INDEX(Personnel[Sicil],$K43),"")</f>
        <v>642571</v>
      </c>
      <c r="B43" s="17" t="str">
        <f>IFERROR(INDEX(Personnel[Adi Soyadi],$K43),"")</f>
        <v>Нуриддинов Санжарбек Мехмонали Угли</v>
      </c>
      <c r="C43" s="18" t="str">
        <f>IFERROR(INDEX(Personnel[Vatandaslik],$K43),"")</f>
        <v>УЗБЕКИСТАН</v>
      </c>
      <c r="D43" s="18" t="str">
        <f>IFERROR(INDEX(Personnel[Santiye],$K43),"")</f>
        <v>GPP Proje</v>
      </c>
      <c r="E43" s="18" t="str">
        <f>IFERROR(INDEX(Personnel[Ogretmen],$K43),"")</f>
        <v>Tyulina Natalya</v>
      </c>
      <c r="F43" s="17" t="str">
        <f>IFERROR(INDEX(Personnel[[Sinav ]],$K43),"")</f>
        <v>29.04.2026 Sineva gitti gecdi</v>
      </c>
      <c r="G43" s="17" t="str">
        <f>IFERROR(INDEX(Personnel[Egtim durumu],$K43),"")</f>
        <v>Dil egitimi tamamlandi sinavdan gecti</v>
      </c>
      <c r="H43" s="17" t="str">
        <f>IFERROR(INDEX(Personnel[Shohruh Not],$K43),"")</f>
        <v>-</v>
      </c>
      <c r="I43" s="22">
        <f ca="1">IFERROR(INDEX(Personnel[Дней в РФ],$K43),"")</f>
        <v>123</v>
      </c>
      <c r="K43" s="23">
        <f t="array" ref="K43">IFERROR(_xlfn.AGGREGATE(15,6,(ROW(Personnel[Egtim durumu])-MIN(ROW(Personnel[Egtim durumu]))+1)/((Personnel[Egtim durumu]="Dil egitimi tamamlandi sinavdan gecti")),ROWS($K$7:K43)),"")</f>
        <v>46</v>
      </c>
    </row>
    <row r="44" spans="1:11" x14ac:dyDescent="0.25">
      <c r="A44" s="40">
        <f>IFERROR(INDEX(Personnel[Sicil],$K44),"")</f>
        <v>642572</v>
      </c>
      <c r="B44" s="41" t="str">
        <f>IFERROR(INDEX(Personnel[Adi Soyadi],$K44),"")</f>
        <v>Хаёнов Рамзбек Равшанбек Угли</v>
      </c>
      <c r="C44" s="40" t="str">
        <f>IFERROR(INDEX(Personnel[Vatandaslik],$K44),"")</f>
        <v>УЗБЕКИСТАН</v>
      </c>
      <c r="D44" s="40" t="str">
        <f>IFERROR(INDEX(Personnel[Santiye],$K44),"")</f>
        <v>GPP Proje</v>
      </c>
      <c r="E44" s="40" t="str">
        <f>IFERROR(INDEX(Personnel[Ogretmen],$K44),"")</f>
        <v>Tyulina Natalya</v>
      </c>
      <c r="F44" s="41" t="str">
        <f>IFERROR(INDEX(Personnel[[Sinav ]],$K44),"")</f>
        <v>29.04.2026 Sineva gitti gecdi</v>
      </c>
      <c r="G44" s="41" t="str">
        <f>IFERROR(INDEX(Personnel[Egtim durumu],$K44),"")</f>
        <v>Dil egitimi tamamlandi sinavdan gecti</v>
      </c>
      <c r="H44" s="41" t="str">
        <f>IFERROR(INDEX(Personnel[Shohruh Not],$K44),"")</f>
        <v>-</v>
      </c>
      <c r="I44" s="42">
        <f ca="1">IFERROR(INDEX(Personnel[Дней в РФ],$K44),"")</f>
        <v>123</v>
      </c>
      <c r="K44" s="23">
        <f t="array" ref="K44">IFERROR(_xlfn.AGGREGATE(15,6,(ROW(Personnel[Egtim durumu])-MIN(ROW(Personnel[Egtim durumu]))+1)/((Personnel[Egtim durumu]="Dil egitimi tamamlandi sinavdan gecti")),ROWS($K$7:K44)),"")</f>
        <v>47</v>
      </c>
    </row>
    <row r="45" spans="1:11" x14ac:dyDescent="0.25">
      <c r="A45" s="18">
        <f>IFERROR(INDEX(Personnel[Sicil],$K45),"")</f>
        <v>609771</v>
      </c>
      <c r="B45" s="17" t="str">
        <f>IFERROR(INDEX(Personnel[Adi Soyadi],$K45),"")</f>
        <v>Норкулов Аслиддин Бахтиёр угли</v>
      </c>
      <c r="C45" s="18" t="str">
        <f>IFERROR(INDEX(Personnel[Vatandaslik],$K45),"")</f>
        <v>УЗБЕКИСТАН</v>
      </c>
      <c r="D45" s="18" t="str">
        <f>IFERROR(INDEX(Personnel[Santiye],$K45),"")</f>
        <v>GPP Proje</v>
      </c>
      <c r="E45" s="18" t="str">
        <f>IFERROR(INDEX(Personnel[Ogretmen],$K45),"")</f>
        <v>Tyulina Natalya</v>
      </c>
      <c r="F45" s="17" t="str">
        <f>IFERROR(INDEX(Personnel[[Sinav ]],$K45),"")</f>
        <v>05.05.2026 Sineva gitti gecdi</v>
      </c>
      <c r="G45" s="17" t="str">
        <f>IFERROR(INDEX(Personnel[Egtim durumu],$K45),"")</f>
        <v>Dil egitimi tamamlandi sinavdan gecti</v>
      </c>
      <c r="H45" s="17" t="str">
        <f>IFERROR(INDEX(Personnel[Shohruh Not],$K45),"")</f>
        <v>-</v>
      </c>
      <c r="I45" s="22">
        <f ca="1">IFERROR(INDEX(Personnel[Дней в РФ],$K45),"")</f>
        <v>122</v>
      </c>
      <c r="K45" s="23">
        <f t="array" ref="K45">IFERROR(_xlfn.AGGREGATE(15,6,(ROW(Personnel[Egtim durumu])-MIN(ROW(Personnel[Egtim durumu]))+1)/((Personnel[Egtim durumu]="Dil egitimi tamamlandi sinavdan gecti")),ROWS($K$7:K45)),"")</f>
        <v>50</v>
      </c>
    </row>
    <row r="46" spans="1:11" ht="25.5" x14ac:dyDescent="0.25">
      <c r="A46" s="40">
        <f>IFERROR(INDEX(Personnel[Sicil],$K46),"")</f>
        <v>642450</v>
      </c>
      <c r="B46" s="41" t="str">
        <f>IFERROR(INDEX(Personnel[Adi Soyadi],$K46),"")</f>
        <v>Абдуллаев Достонбек Илхом Угли</v>
      </c>
      <c r="C46" s="40" t="str">
        <f>IFERROR(INDEX(Personnel[Vatandaslik],$K46),"")</f>
        <v>УЗБЕКИСТАН</v>
      </c>
      <c r="D46" s="40" t="str">
        <f>IFERROR(INDEX(Personnel[Santiye],$K46),"")</f>
        <v>GPP Proje</v>
      </c>
      <c r="E46" s="40" t="str">
        <f>IFERROR(INDEX(Personnel[Ogretmen],$K46),"")</f>
        <v>Tyulina Natalya</v>
      </c>
      <c r="F46" s="41" t="str">
        <f>IFERROR(INDEX(Personnel[[Sinav ]],$K46),"")</f>
        <v>28.04.2026 Sineva gitti gecemedi /05.05.2026 Sineva gitti gecdi</v>
      </c>
      <c r="G46" s="41" t="str">
        <f>IFERROR(INDEX(Personnel[Egtim durumu],$K46),"")</f>
        <v>Dil egitimi tamamlandi sinavdan gecti</v>
      </c>
      <c r="H46" s="41" t="str">
        <f>IFERROR(INDEX(Personnel[Shohruh Not],$K46),"")</f>
        <v>-</v>
      </c>
      <c r="I46" s="42">
        <f ca="1">IFERROR(INDEX(Personnel[Дней в РФ],$K46),"")</f>
        <v>124</v>
      </c>
      <c r="K46" s="23">
        <f t="array" ref="K46">IFERROR(_xlfn.AGGREGATE(15,6,(ROW(Personnel[Egtim durumu])-MIN(ROW(Personnel[Egtim durumu]))+1)/((Personnel[Egtim durumu]="Dil egitimi tamamlandi sinavdan gecti")),ROWS($K$7:K46)),"")</f>
        <v>51</v>
      </c>
    </row>
    <row r="47" spans="1:11" x14ac:dyDescent="0.25">
      <c r="A47" s="18">
        <f>IFERROR(INDEX(Personnel[Sicil],$K47),"")</f>
        <v>512121</v>
      </c>
      <c r="B47" s="17" t="str">
        <f>IFERROR(INDEX(Personnel[Adi Soyadi],$K47),"")</f>
        <v>Раджапов Расулбек Равшанбек угли</v>
      </c>
      <c r="C47" s="18" t="str">
        <f>IFERROR(INDEX(Personnel[Vatandaslik],$K47),"")</f>
        <v>УЗБЕКИСТАН</v>
      </c>
      <c r="D47" s="18" t="str">
        <f>IFERROR(INDEX(Personnel[Santiye],$K47),"")</f>
        <v>GPP Proje</v>
      </c>
      <c r="E47" s="18" t="str">
        <f>IFERROR(INDEX(Personnel[Ogretmen],$K47),"")</f>
        <v>Tyulina Natalya</v>
      </c>
      <c r="F47" s="17" t="str">
        <f>IFERROR(INDEX(Personnel[[Sinav ]],$K47),"")</f>
        <v>29.04.2026 Sineva gitti gecdi</v>
      </c>
      <c r="G47" s="17" t="str">
        <f>IFERROR(INDEX(Personnel[Egtim durumu],$K47),"")</f>
        <v>Dil egitimi tamamlandi sinavdan gecti</v>
      </c>
      <c r="H47" s="17" t="str">
        <f>IFERROR(INDEX(Personnel[Shohruh Not],$K47),"")</f>
        <v>-</v>
      </c>
      <c r="I47" s="22">
        <f ca="1">IFERROR(INDEX(Personnel[Дней в РФ],$K47),"")</f>
        <v>123</v>
      </c>
      <c r="K47" s="23">
        <f t="array" ref="K47">IFERROR(_xlfn.AGGREGATE(15,6,(ROW(Personnel[Egtim durumu])-MIN(ROW(Personnel[Egtim durumu]))+1)/((Personnel[Egtim durumu]="Dil egitimi tamamlandi sinavdan gecti")),ROWS($K$7:K47)),"")</f>
        <v>52</v>
      </c>
    </row>
    <row r="48" spans="1:11" x14ac:dyDescent="0.25">
      <c r="A48" s="40">
        <f>IFERROR(INDEX(Personnel[Sicil],$K48),"")</f>
        <v>642449</v>
      </c>
      <c r="B48" s="41" t="str">
        <f>IFERROR(INDEX(Personnel[Adi Soyadi],$K48),"")</f>
        <v>Хушвактов Самандар Файзулла Угли</v>
      </c>
      <c r="C48" s="40" t="str">
        <f>IFERROR(INDEX(Personnel[Vatandaslik],$K48),"")</f>
        <v>УЗБЕКИСТАН</v>
      </c>
      <c r="D48" s="40" t="str">
        <f>IFERROR(INDEX(Personnel[Santiye],$K48),"")</f>
        <v>GPP Proje</v>
      </c>
      <c r="E48" s="40" t="str">
        <f>IFERROR(INDEX(Personnel[Ogretmen],$K48),"")</f>
        <v>Tyulina Natalya</v>
      </c>
      <c r="F48" s="41" t="str">
        <f>IFERROR(INDEX(Personnel[[Sinav ]],$K48),"")</f>
        <v>05.05.2026 Sineva gitti gecdi</v>
      </c>
      <c r="G48" s="41" t="str">
        <f>IFERROR(INDEX(Personnel[Egtim durumu],$K48),"")</f>
        <v>Dil egitimi tamamlandi sinavdan gecti</v>
      </c>
      <c r="H48" s="41" t="str">
        <f>IFERROR(INDEX(Personnel[Shohruh Not],$K48),"")</f>
        <v>-</v>
      </c>
      <c r="I48" s="42">
        <f ca="1">IFERROR(INDEX(Personnel[Дней в РФ],$K48),"")</f>
        <v>124</v>
      </c>
      <c r="K48" s="23">
        <f t="array" ref="K48">IFERROR(_xlfn.AGGREGATE(15,6,(ROW(Personnel[Egtim durumu])-MIN(ROW(Personnel[Egtim durumu]))+1)/((Personnel[Egtim durumu]="Dil egitimi tamamlandi sinavdan gecti")),ROWS($K$7:K48)),"")</f>
        <v>54</v>
      </c>
    </row>
    <row r="49" spans="1:11" ht="25.5" x14ac:dyDescent="0.25">
      <c r="A49" s="18">
        <f>IFERROR(INDEX(Personnel[Sicil],$K49),"")</f>
        <v>591961</v>
      </c>
      <c r="B49" s="17" t="str">
        <f>IFERROR(INDEX(Personnel[Adi Soyadi],$K49),"")</f>
        <v>Мисиров Исомиддин Мамаражабович</v>
      </c>
      <c r="C49" s="18" t="str">
        <f>IFERROR(INDEX(Personnel[Vatandaslik],$K49),"")</f>
        <v>УЗБЕКИСТАН</v>
      </c>
      <c r="D49" s="18" t="str">
        <f>IFERROR(INDEX(Personnel[Santiye],$K49),"")</f>
        <v>GPP Proje</v>
      </c>
      <c r="E49" s="18" t="str">
        <f>IFERROR(INDEX(Personnel[Ogretmen],$K49),"")</f>
        <v>Tyulina Natalya</v>
      </c>
      <c r="F49" s="17" t="str">
        <f>IFERROR(INDEX(Personnel[[Sinav ]],$K49),"")</f>
        <v>05.05.2026 Sineva gitti gecdi</v>
      </c>
      <c r="G49" s="17" t="str">
        <f>IFERROR(INDEX(Personnel[Egtim durumu],$K49),"")</f>
        <v>Dil egitimi tamamlandi sinavdan gecti</v>
      </c>
      <c r="H49" s="17" t="str">
        <f>IFERROR(INDEX(Personnel[Shohruh Not],$K49),"")</f>
        <v>-</v>
      </c>
      <c r="I49" s="22">
        <f ca="1">IFERROR(INDEX(Personnel[Дней в РФ],$K49),"")</f>
        <v>123</v>
      </c>
      <c r="K49" s="23">
        <f t="array" ref="K49">IFERROR(_xlfn.AGGREGATE(15,6,(ROW(Personnel[Egtim durumu])-MIN(ROW(Personnel[Egtim durumu]))+1)/((Personnel[Egtim durumu]="Dil egitimi tamamlandi sinavdan gecti")),ROWS($K$7:K49)),"")</f>
        <v>55</v>
      </c>
    </row>
    <row r="50" spans="1:11" ht="25.5" x14ac:dyDescent="0.25">
      <c r="A50" s="40">
        <f>IFERROR(INDEX(Personnel[Sicil],$K50),"")</f>
        <v>642505</v>
      </c>
      <c r="B50" s="41" t="str">
        <f>IFERROR(INDEX(Personnel[Adi Soyadi],$K50),"")</f>
        <v>Саипов Муйдинжон Ашуралиевич</v>
      </c>
      <c r="C50" s="40" t="str">
        <f>IFERROR(INDEX(Personnel[Vatandaslik],$K50),"")</f>
        <v>УЗБЕКИСТАН</v>
      </c>
      <c r="D50" s="40" t="str">
        <f>IFERROR(INDEX(Personnel[Santiye],$K50),"")</f>
        <v>GPP Proje</v>
      </c>
      <c r="E50" s="40" t="str">
        <f>IFERROR(INDEX(Personnel[Ogretmen],$K50),"")</f>
        <v>Tyulina Natalya</v>
      </c>
      <c r="F50" s="41" t="str">
        <f>IFERROR(INDEX(Personnel[[Sinav ]],$K50),"")</f>
        <v>28.04.2026 Sineva gitti gecemedi /05.05.2026 Sineva gitti gecdi</v>
      </c>
      <c r="G50" s="41" t="str">
        <f>IFERROR(INDEX(Personnel[Egtim durumu],$K50),"")</f>
        <v>Dil egitimi tamamlandi sinavdan gecti</v>
      </c>
      <c r="H50" s="41" t="str">
        <f>IFERROR(INDEX(Personnel[Shohruh Not],$K50),"")</f>
        <v>-</v>
      </c>
      <c r="I50" s="42">
        <f ca="1">IFERROR(INDEX(Personnel[Дней в РФ],$K50),"")</f>
        <v>123</v>
      </c>
      <c r="K50" s="23">
        <f t="array" ref="K50">IFERROR(_xlfn.AGGREGATE(15,6,(ROW(Personnel[Egtim durumu])-MIN(ROW(Personnel[Egtim durumu]))+1)/((Personnel[Egtim durumu]="Dil egitimi tamamlandi sinavdan gecti")),ROWS($K$7:K50)),"")</f>
        <v>57</v>
      </c>
    </row>
    <row r="51" spans="1:11" x14ac:dyDescent="0.25">
      <c r="A51" s="18">
        <f>IFERROR(INDEX(Personnel[Sicil],$K51),"")</f>
        <v>608263</v>
      </c>
      <c r="B51" s="17" t="str">
        <f>IFERROR(INDEX(Personnel[Adi Soyadi],$K51),"")</f>
        <v>Розметов Жамолбек Адилбекович</v>
      </c>
      <c r="C51" s="18" t="str">
        <f>IFERROR(INDEX(Personnel[Vatandaslik],$K51),"")</f>
        <v>УЗБЕКИСТАН</v>
      </c>
      <c r="D51" s="18" t="str">
        <f>IFERROR(INDEX(Personnel[Santiye],$K51),"")</f>
        <v>GPP Proje</v>
      </c>
      <c r="E51" s="18" t="str">
        <f>IFERROR(INDEX(Personnel[Ogretmen],$K51),"")</f>
        <v>Tyulina Natalya</v>
      </c>
      <c r="F51" s="17" t="str">
        <f>IFERROR(INDEX(Personnel[[Sinav ]],$K51),"")</f>
        <v>05.05.2026 Sineva gitti gecdi</v>
      </c>
      <c r="G51" s="17" t="str">
        <f>IFERROR(INDEX(Personnel[Egtim durumu],$K51),"")</f>
        <v>Dil egitimi tamamlandi sinavdan gecti</v>
      </c>
      <c r="H51" s="17" t="str">
        <f>IFERROR(INDEX(Personnel[Shohruh Not],$K51),"")</f>
        <v>-</v>
      </c>
      <c r="I51" s="22">
        <f ca="1">IFERROR(INDEX(Personnel[Дней в РФ],$K51),"")</f>
        <v>200</v>
      </c>
      <c r="K51" s="23">
        <f t="array" ref="K51">IFERROR(_xlfn.AGGREGATE(15,6,(ROW(Personnel[Egtim durumu])-MIN(ROW(Personnel[Egtim durumu]))+1)/((Personnel[Egtim durumu]="Dil egitimi tamamlandi sinavdan gecti")),ROWS($K$7:K51)),"")</f>
        <v>59</v>
      </c>
    </row>
    <row r="52" spans="1:11" x14ac:dyDescent="0.25">
      <c r="A52" s="40">
        <f>IFERROR(INDEX(Personnel[Sicil],$K52),"")</f>
        <v>540156</v>
      </c>
      <c r="B52" s="41" t="str">
        <f>IFERROR(INDEX(Personnel[Adi Soyadi],$K52),"")</f>
        <v>Ахмедов Обиджон Нематжонович</v>
      </c>
      <c r="C52" s="40" t="str">
        <f>IFERROR(INDEX(Personnel[Vatandaslik],$K52),"")</f>
        <v>УЗБЕКИСТАН</v>
      </c>
      <c r="D52" s="40" t="str">
        <f>IFERROR(INDEX(Personnel[Santiye],$K52),"")</f>
        <v>GPP Proje</v>
      </c>
      <c r="E52" s="40" t="str">
        <f>IFERROR(INDEX(Personnel[Ogretmen],$K52),"")</f>
        <v>-</v>
      </c>
      <c r="F52" s="41" t="str">
        <f>IFERROR(INDEX(Personnel[[Sinav ]],$K52),"")</f>
        <v>30.04.2026 Sineva gitti gecdi</v>
      </c>
      <c r="G52" s="41" t="str">
        <f>IFERROR(INDEX(Personnel[Egtim durumu],$K52),"")</f>
        <v>Dil egitimi tamamlandi sinavdan gecti</v>
      </c>
      <c r="H52" s="41" t="str">
        <f>IFERROR(INDEX(Personnel[Shohruh Not],$K52),"")</f>
        <v>-</v>
      </c>
      <c r="I52" s="42">
        <f ca="1">IFERROR(INDEX(Personnel[Дней в РФ],$K52),"")</f>
        <v>453</v>
      </c>
      <c r="K52" s="23">
        <f t="array" ref="K52">IFERROR(_xlfn.AGGREGATE(15,6,(ROW(Personnel[Egtim durumu])-MIN(ROW(Personnel[Egtim durumu]))+1)/((Personnel[Egtim durumu]="Dil egitimi tamamlandi sinavdan gecti")),ROWS($K$7:K52)),"")</f>
        <v>60</v>
      </c>
    </row>
    <row r="53" spans="1:11" x14ac:dyDescent="0.25">
      <c r="A53" s="18">
        <f>IFERROR(INDEX(Personnel[Sicil],$K53),"")</f>
        <v>498568</v>
      </c>
      <c r="B53" s="17" t="str">
        <f>IFERROR(INDEX(Personnel[Adi Soyadi],$K53),"")</f>
        <v>Туваков Сердар Аразбердиевич</v>
      </c>
      <c r="C53" s="18" t="str">
        <f>IFERROR(INDEX(Personnel[Vatandaslik],$K53),"")</f>
        <v>УЗБЕКИСТАН</v>
      </c>
      <c r="D53" s="18" t="str">
        <f>IFERROR(INDEX(Personnel[Santiye],$K53),"")</f>
        <v>GPP Proje (TSF)</v>
      </c>
      <c r="E53" s="18" t="str">
        <f>IFERROR(INDEX(Personnel[Ogretmen],$K53),"")</f>
        <v>Tyulina Natalya</v>
      </c>
      <c r="F53" s="17" t="str">
        <f>IFERROR(INDEX(Personnel[[Sinav ]],$K53),"")</f>
        <v>05.05.2026 Sineva gitti gecdi</v>
      </c>
      <c r="G53" s="17" t="str">
        <f>IFERROR(INDEX(Personnel[Egtim durumu],$K53),"")</f>
        <v>Dil egitimi tamamlandi sinavdan gecti</v>
      </c>
      <c r="H53" s="17" t="str">
        <f>IFERROR(INDEX(Personnel[Shohruh Not],$K53),"")</f>
        <v>-</v>
      </c>
      <c r="I53" s="22">
        <f ca="1">IFERROR(INDEX(Personnel[Дней в РФ],$K53),"")</f>
        <v>827</v>
      </c>
      <c r="K53" s="23">
        <f t="array" ref="K53">IFERROR(_xlfn.AGGREGATE(15,6,(ROW(Personnel[Egtim durumu])-MIN(ROW(Personnel[Egtim durumu]))+1)/((Personnel[Egtim durumu]="Dil egitimi tamamlandi sinavdan gecti")),ROWS($K$7:K53)),"")</f>
        <v>61</v>
      </c>
    </row>
    <row r="54" spans="1:11" x14ac:dyDescent="0.25">
      <c r="A54" s="40">
        <f>IFERROR(INDEX(Personnel[Sicil],$K54),"")</f>
        <v>633520</v>
      </c>
      <c r="B54" s="41" t="str">
        <f>IFERROR(INDEX(Personnel[Adi Soyadi],$K54),"")</f>
        <v>Турдиев Салим Урол Угли</v>
      </c>
      <c r="C54" s="40" t="str">
        <f>IFERROR(INDEX(Personnel[Vatandaslik],$K54),"")</f>
        <v>УЗБЕКИСТАН</v>
      </c>
      <c r="D54" s="40" t="str">
        <f>IFERROR(INDEX(Personnel[Santiye],$K54),"")</f>
        <v>GPP Proje</v>
      </c>
      <c r="E54" s="40" t="str">
        <f>IFERROR(INDEX(Personnel[Ogretmen],$K54),"")</f>
        <v>Tyulina Natalya</v>
      </c>
      <c r="F54" s="41" t="str">
        <f>IFERROR(INDEX(Personnel[[Sinav ]],$K54),"")</f>
        <v>05.05.2026 Sineva gitti gecdi</v>
      </c>
      <c r="G54" s="41" t="str">
        <f>IFERROR(INDEX(Personnel[Egtim durumu],$K54),"")</f>
        <v>Dil egitimi tamamlandi sinavdan gecti</v>
      </c>
      <c r="H54" s="41" t="str">
        <f>IFERROR(INDEX(Personnel[Shohruh Not],$K54),"")</f>
        <v>-</v>
      </c>
      <c r="I54" s="42">
        <f ca="1">IFERROR(INDEX(Personnel[Дней в РФ],$K54),"")</f>
        <v>461</v>
      </c>
      <c r="K54" s="23">
        <f t="array" ref="K54">IFERROR(_xlfn.AGGREGATE(15,6,(ROW(Personnel[Egtim durumu])-MIN(ROW(Personnel[Egtim durumu]))+1)/((Personnel[Egtim durumu]="Dil egitimi tamamlandi sinavdan gecti")),ROWS($K$7:K54)),"")</f>
        <v>62</v>
      </c>
    </row>
    <row r="55" spans="1:11" x14ac:dyDescent="0.25">
      <c r="A55" s="18">
        <f>IFERROR(INDEX(Personnel[Sicil],$K55),"")</f>
        <v>633916</v>
      </c>
      <c r="B55" s="17" t="str">
        <f>IFERROR(INDEX(Personnel[Adi Soyadi],$K55),"")</f>
        <v>Эргашев Бахромжон Хасанбоевич</v>
      </c>
      <c r="C55" s="18" t="str">
        <f>IFERROR(INDEX(Personnel[Vatandaslik],$K55),"")</f>
        <v>УЗБЕКИСТАН</v>
      </c>
      <c r="D55" s="18" t="str">
        <f>IFERROR(INDEX(Personnel[Santiye],$K55),"")</f>
        <v>GPP Proje</v>
      </c>
      <c r="E55" s="18" t="str">
        <f>IFERROR(INDEX(Personnel[Ogretmen],$K55),"")</f>
        <v xml:space="preserve">Ziazetdinov Arslan </v>
      </c>
      <c r="F55" s="17" t="str">
        <f>IFERROR(INDEX(Personnel[[Sinav ]],$K55),"")</f>
        <v>05.05.2026 Sineva gitti gecdi</v>
      </c>
      <c r="G55" s="17" t="str">
        <f>IFERROR(INDEX(Personnel[Egtim durumu],$K55),"")</f>
        <v>Dil egitimi tamamlandi sinavdan gecti</v>
      </c>
      <c r="H55" s="17" t="str">
        <f>IFERROR(INDEX(Personnel[Shohruh Not],$K55),"")</f>
        <v>-</v>
      </c>
      <c r="I55" s="22">
        <f ca="1">IFERROR(INDEX(Personnel[Дней в РФ],$K55),"")</f>
        <v>162</v>
      </c>
      <c r="K55" s="23">
        <f t="array" ref="K55">IFERROR(_xlfn.AGGREGATE(15,6,(ROW(Personnel[Egtim durumu])-MIN(ROW(Personnel[Egtim durumu]))+1)/((Personnel[Egtim durumu]="Dil egitimi tamamlandi sinavdan gecti")),ROWS($K$7:K55)),"")</f>
        <v>63</v>
      </c>
    </row>
    <row r="56" spans="1:11" x14ac:dyDescent="0.25">
      <c r="A56" s="40">
        <f>IFERROR(INDEX(Personnel[Sicil],$K56),"")</f>
        <v>436944</v>
      </c>
      <c r="B56" s="41" t="str">
        <f>IFERROR(INDEX(Personnel[Adi Soyadi],$K56),"")</f>
        <v>Холиков Жахонгир Окбой Угли</v>
      </c>
      <c r="C56" s="40" t="str">
        <f>IFERROR(INDEX(Personnel[Vatandaslik],$K56),"")</f>
        <v>УЗБЕКИСТАН</v>
      </c>
      <c r="D56" s="40" t="str">
        <f>IFERROR(INDEX(Personnel[Santiye],$K56),"")</f>
        <v>GPP Proje</v>
      </c>
      <c r="E56" s="40" t="str">
        <f>IFERROR(INDEX(Personnel[Ogretmen],$K56),"")</f>
        <v>Tyulina Natalya</v>
      </c>
      <c r="F56" s="41" t="str">
        <f>IFERROR(INDEX(Personnel[[Sinav ]],$K56),"")</f>
        <v>05.05.2026 Sineva gitti gecdi</v>
      </c>
      <c r="G56" s="41" t="str">
        <f>IFERROR(INDEX(Personnel[Egtim durumu],$K56),"")</f>
        <v>Dil egitimi tamamlandi sinavdan gecti</v>
      </c>
      <c r="H56" s="41" t="str">
        <f>IFERROR(INDEX(Personnel[Shohruh Not],$K56),"")</f>
        <v>-</v>
      </c>
      <c r="I56" s="42">
        <f ca="1">IFERROR(INDEX(Personnel[Дней в РФ],$K56),"")</f>
        <v>469</v>
      </c>
      <c r="K56" s="23">
        <f t="array" ref="K56">IFERROR(_xlfn.AGGREGATE(15,6,(ROW(Personnel[Egtim durumu])-MIN(ROW(Personnel[Egtim durumu]))+1)/((Personnel[Egtim durumu]="Dil egitimi tamamlandi sinavdan gecti")),ROWS($K$7:K56)),"")</f>
        <v>64</v>
      </c>
    </row>
    <row r="57" spans="1:11" x14ac:dyDescent="0.25">
      <c r="A57" s="18">
        <f>IFERROR(INDEX(Personnel[Sicil],$K57),"")</f>
        <v>463622</v>
      </c>
      <c r="B57" s="17" t="str">
        <f>IFERROR(INDEX(Personnel[Adi Soyadi],$K57),"")</f>
        <v>Шаропов Мавлонбек Билолдин угли</v>
      </c>
      <c r="C57" s="18" t="str">
        <f>IFERROR(INDEX(Personnel[Vatandaslik],$K57),"")</f>
        <v>УЗБЕКИСТАН</v>
      </c>
      <c r="D57" s="18" t="str">
        <f>IFERROR(INDEX(Personnel[Santiye],$K57),"")</f>
        <v>GPP Proje</v>
      </c>
      <c r="E57" s="18" t="str">
        <f>IFERROR(INDEX(Personnel[Ogretmen],$K57),"")</f>
        <v>Tyulina Natalya</v>
      </c>
      <c r="F57" s="17" t="str">
        <f>IFERROR(INDEX(Personnel[[Sinav ]],$K57),"")</f>
        <v>05.05.2026 Sineva gitti gecdi</v>
      </c>
      <c r="G57" s="17" t="str">
        <f>IFERROR(INDEX(Personnel[Egtim durumu],$K57),"")</f>
        <v>Dil egitimi tamamlandi sinavdan gecti</v>
      </c>
      <c r="H57" s="17" t="str">
        <f>IFERROR(INDEX(Personnel[Shohruh Not],$K57),"")</f>
        <v>-</v>
      </c>
      <c r="I57" s="22">
        <f ca="1">IFERROR(INDEX(Personnel[Дней в РФ],$K57),"")</f>
        <v>461</v>
      </c>
      <c r="K57" s="23">
        <f t="array" ref="K57">IFERROR(_xlfn.AGGREGATE(15,6,(ROW(Personnel[Egtim durumu])-MIN(ROW(Personnel[Egtim durumu]))+1)/((Personnel[Egtim durumu]="Dil egitimi tamamlandi sinavdan gecti")),ROWS($K$7:K57)),"")</f>
        <v>65</v>
      </c>
    </row>
    <row r="58" spans="1:11" x14ac:dyDescent="0.25">
      <c r="A58" s="40">
        <f>IFERROR(INDEX(Personnel[Sicil],$K58),"")</f>
        <v>642726</v>
      </c>
      <c r="B58" s="41" t="str">
        <f>IFERROR(INDEX(Personnel[Adi Soyadi],$K58),"")</f>
        <v xml:space="preserve">Раматжанов Миржалол Зийнат Угли </v>
      </c>
      <c r="C58" s="40" t="str">
        <f>IFERROR(INDEX(Personnel[Vatandaslik],$K58),"")</f>
        <v>УЗБЕКИСТАН</v>
      </c>
      <c r="D58" s="40" t="str">
        <f>IFERROR(INDEX(Personnel[Santiye],$K58),"")</f>
        <v>GPP Proje</v>
      </c>
      <c r="E58" s="40" t="str">
        <f>IFERROR(INDEX(Personnel[Ogretmen],$K58),"")</f>
        <v xml:space="preserve">Ziazetdinov Arslan </v>
      </c>
      <c r="F58" s="41" t="str">
        <f>IFERROR(INDEX(Personnel[[Sinav ]],$K58),"")</f>
        <v>05.05.2026 Sineva gitti gecdi</v>
      </c>
      <c r="G58" s="41" t="str">
        <f>IFERROR(INDEX(Personnel[Egtim durumu],$K58),"")</f>
        <v>Dil egitimi tamamlandi sinavdan gecti</v>
      </c>
      <c r="H58" s="41" t="str">
        <f>IFERROR(INDEX(Personnel[Shohruh Not],$K58),"")</f>
        <v>-</v>
      </c>
      <c r="I58" s="42">
        <f ca="1">IFERROR(INDEX(Personnel[Дней в РФ],$K58),"")</f>
        <v>120</v>
      </c>
      <c r="K58" s="23">
        <f t="array" ref="K58">IFERROR(_xlfn.AGGREGATE(15,6,(ROW(Personnel[Egtim durumu])-MIN(ROW(Personnel[Egtim durumu]))+1)/((Personnel[Egtim durumu]="Dil egitimi tamamlandi sinavdan gecti")),ROWS($K$7:K58)),"")</f>
        <v>67</v>
      </c>
    </row>
    <row r="59" spans="1:11" x14ac:dyDescent="0.25">
      <c r="A59" s="18">
        <f>IFERROR(INDEX(Personnel[Sicil],$K59),"")</f>
        <v>466509</v>
      </c>
      <c r="B59" s="17" t="str">
        <f>IFERROR(INDEX(Personnel[Adi Soyadi],$K59),"")</f>
        <v>Чариев Абдумурат Абдимуминович</v>
      </c>
      <c r="C59" s="18" t="str">
        <f>IFERROR(INDEX(Personnel[Vatandaslik],$K59),"")</f>
        <v>УЗБЕКИСТАН</v>
      </c>
      <c r="D59" s="18" t="str">
        <f>IFERROR(INDEX(Personnel[Santiye],$K59),"")</f>
        <v>GPP Proje</v>
      </c>
      <c r="E59" s="18" t="str">
        <f>IFERROR(INDEX(Personnel[Ogretmen],$K59),"")</f>
        <v>Tyulina Natalya</v>
      </c>
      <c r="F59" s="17" t="str">
        <f>IFERROR(INDEX(Personnel[[Sinav ]],$K59),"")</f>
        <v>05.05.2026 Sineva gitti gecdi</v>
      </c>
      <c r="G59" s="17" t="str">
        <f>IFERROR(INDEX(Personnel[Egtim durumu],$K59),"")</f>
        <v>Dil egitimi tamamlandi sinavdan gecti</v>
      </c>
      <c r="H59" s="17" t="str">
        <f>IFERROR(INDEX(Personnel[Shohruh Not],$K59),"")</f>
        <v>-</v>
      </c>
      <c r="I59" s="22">
        <f ca="1">IFERROR(INDEX(Personnel[Дней в РФ],$K59),"")</f>
        <v>457</v>
      </c>
      <c r="K59" s="23">
        <f t="array" ref="K59">IFERROR(_xlfn.AGGREGATE(15,6,(ROW(Personnel[Egtim durumu])-MIN(ROW(Personnel[Egtim durumu]))+1)/((Personnel[Egtim durumu]="Dil egitimi tamamlandi sinavdan gecti")),ROWS($K$7:K59)),"")</f>
        <v>68</v>
      </c>
    </row>
    <row r="60" spans="1:11" x14ac:dyDescent="0.25">
      <c r="A60" s="40">
        <f>IFERROR(INDEX(Personnel[Sicil],$K60),"")</f>
        <v>409777</v>
      </c>
      <c r="B60" s="41" t="str">
        <f>IFERROR(INDEX(Personnel[Adi Soyadi],$K60),"")</f>
        <v>Рузметов Кувонч Собирович</v>
      </c>
      <c r="C60" s="40" t="str">
        <f>IFERROR(INDEX(Personnel[Vatandaslik],$K60),"")</f>
        <v>УЗБЕКИСТАН</v>
      </c>
      <c r="D60" s="40" t="str">
        <f>IFERROR(INDEX(Personnel[Santiye],$K60),"")</f>
        <v>GPP Proje</v>
      </c>
      <c r="E60" s="40" t="str">
        <f>IFERROR(INDEX(Personnel[Ogretmen],$K60),"")</f>
        <v>-</v>
      </c>
      <c r="F60" s="41" t="str">
        <f>IFERROR(INDEX(Personnel[[Sinav ]],$K60),"")</f>
        <v>30.04.2026 Sineva gitti gecdi</v>
      </c>
      <c r="G60" s="41" t="str">
        <f>IFERROR(INDEX(Personnel[Egtim durumu],$K60),"")</f>
        <v>Dil egitimi tamamlandi sinavdan gecti</v>
      </c>
      <c r="H60" s="41" t="str">
        <f>IFERROR(INDEX(Personnel[Shohruh Not],$K60),"")</f>
        <v>-</v>
      </c>
      <c r="I60" s="42">
        <f ca="1">IFERROR(INDEX(Personnel[Дней в РФ],$K60),"")</f>
        <v>453</v>
      </c>
      <c r="K60" s="23">
        <f t="array" ref="K60">IFERROR(_xlfn.AGGREGATE(15,6,(ROW(Personnel[Egtim durumu])-MIN(ROW(Personnel[Egtim durumu]))+1)/((Personnel[Egtim durumu]="Dil egitimi tamamlandi sinavdan gecti")),ROWS($K$7:K60)),"")</f>
        <v>69</v>
      </c>
    </row>
    <row r="61" spans="1:11" x14ac:dyDescent="0.25">
      <c r="A61" s="18">
        <f>IFERROR(INDEX(Personnel[Sicil],$K61),"")</f>
        <v>527728</v>
      </c>
      <c r="B61" s="17" t="str">
        <f>IFERROR(INDEX(Personnel[Adi Soyadi],$K61),"")</f>
        <v>Каримов Алишер Алимбаевич</v>
      </c>
      <c r="C61" s="18" t="str">
        <f>IFERROR(INDEX(Personnel[Vatandaslik],$K61),"")</f>
        <v>УЗБЕКИСТАН</v>
      </c>
      <c r="D61" s="18" t="str">
        <f>IFERROR(INDEX(Personnel[Santiye],$K61),"")</f>
        <v>GPP Proje</v>
      </c>
      <c r="E61" s="18" t="str">
        <f>IFERROR(INDEX(Personnel[Ogretmen],$K61),"")</f>
        <v>Tyulina Natalya</v>
      </c>
      <c r="F61" s="17" t="str">
        <f>IFERROR(INDEX(Personnel[[Sinav ]],$K61),"")</f>
        <v>05.05.2026 Sineva gitti gecdi</v>
      </c>
      <c r="G61" s="17" t="str">
        <f>IFERROR(INDEX(Personnel[Egtim durumu],$K61),"")</f>
        <v>Dil egitimi tamamlandi sinavdan gecti</v>
      </c>
      <c r="H61" s="17" t="str">
        <f>IFERROR(INDEX(Personnel[Shohruh Not],$K61),"")</f>
        <v>-</v>
      </c>
      <c r="I61" s="22">
        <f ca="1">IFERROR(INDEX(Personnel[Дней в РФ],$K61),"")</f>
        <v>465</v>
      </c>
      <c r="K61" s="23">
        <f t="array" ref="K61">IFERROR(_xlfn.AGGREGATE(15,6,(ROW(Personnel[Egtim durumu])-MIN(ROW(Personnel[Egtim durumu]))+1)/((Personnel[Egtim durumu]="Dil egitimi tamamlandi sinavdan gecti")),ROWS($K$7:K61)),"")</f>
        <v>71</v>
      </c>
    </row>
    <row r="62" spans="1:11" x14ac:dyDescent="0.25">
      <c r="A62" s="40">
        <f>IFERROR(INDEX(Personnel[Sicil],$K62),"")</f>
        <v>642810</v>
      </c>
      <c r="B62" s="41" t="str">
        <f>IFERROR(INDEX(Personnel[Adi Soyadi],$K62),"")</f>
        <v>Жураев Дониёрбек Дилшодбек Угли</v>
      </c>
      <c r="C62" s="40" t="str">
        <f>IFERROR(INDEX(Personnel[Vatandaslik],$K62),"")</f>
        <v>УЗБЕКИСТАН</v>
      </c>
      <c r="D62" s="40" t="str">
        <f>IFERROR(INDEX(Personnel[Santiye],$K62),"")</f>
        <v>GPP Proje</v>
      </c>
      <c r="E62" s="40" t="str">
        <f>IFERROR(INDEX(Personnel[Ogretmen],$K62),"")</f>
        <v xml:space="preserve">Ziazetdinov Arslan </v>
      </c>
      <c r="F62" s="41" t="str">
        <f>IFERROR(INDEX(Personnel[[Sinav ]],$K62),"")</f>
        <v>05.05.2026 Sineva gitti gecdi</v>
      </c>
      <c r="G62" s="41" t="str">
        <f>IFERROR(INDEX(Personnel[Egtim durumu],$K62),"")</f>
        <v>Dil egitimi tamamlandi sinavdan gecti</v>
      </c>
      <c r="H62" s="41" t="str">
        <f>IFERROR(INDEX(Personnel[Shohruh Not],$K62),"")</f>
        <v>-</v>
      </c>
      <c r="I62" s="42">
        <f ca="1">IFERROR(INDEX(Personnel[Дней в РФ],$K62),"")</f>
        <v>118</v>
      </c>
      <c r="K62" s="23">
        <f t="array" ref="K62">IFERROR(_xlfn.AGGREGATE(15,6,(ROW(Personnel[Egtim durumu])-MIN(ROW(Personnel[Egtim durumu]))+1)/((Personnel[Egtim durumu]="Dil egitimi tamamlandi sinavdan gecti")),ROWS($K$7:K62)),"")</f>
        <v>74</v>
      </c>
    </row>
    <row r="63" spans="1:11" ht="25.5" x14ac:dyDescent="0.25">
      <c r="A63" s="18">
        <f>IFERROR(INDEX(Personnel[Sicil],$K63),"")</f>
        <v>574516</v>
      </c>
      <c r="B63" s="17" t="str">
        <f>IFERROR(INDEX(Personnel[Adi Soyadi],$K63),"")</f>
        <v>Камбаров Шаробиддин Имомбердиевич</v>
      </c>
      <c r="C63" s="18" t="str">
        <f>IFERROR(INDEX(Personnel[Vatandaslik],$K63),"")</f>
        <v>УЗБЕКИСТАН</v>
      </c>
      <c r="D63" s="18" t="str">
        <f>IFERROR(INDEX(Personnel[Santiye],$K63),"")</f>
        <v>GPP Proje</v>
      </c>
      <c r="E63" s="18" t="str">
        <f>IFERROR(INDEX(Personnel[Ogretmen],$K63),"")</f>
        <v xml:space="preserve">Ziazetdinov Arslan </v>
      </c>
      <c r="F63" s="17" t="str">
        <f>IFERROR(INDEX(Personnel[[Sinav ]],$K63),"")</f>
        <v>05.05.2026 Sineva gitti gecdi</v>
      </c>
      <c r="G63" s="17" t="str">
        <f>IFERROR(INDEX(Personnel[Egtim durumu],$K63),"")</f>
        <v>Dil egitimi tamamlandi sinavdan gecti</v>
      </c>
      <c r="H63" s="17" t="str">
        <f>IFERROR(INDEX(Personnel[Shohruh Not],$K63),"")</f>
        <v>-</v>
      </c>
      <c r="I63" s="22">
        <f ca="1">IFERROR(INDEX(Personnel[Дней в РФ],$K63),"")</f>
        <v>478</v>
      </c>
      <c r="K63" s="23">
        <f t="array" ref="K63">IFERROR(_xlfn.AGGREGATE(15,6,(ROW(Personnel[Egtim durumu])-MIN(ROW(Personnel[Egtim durumu]))+1)/((Personnel[Egtim durumu]="Dil egitimi tamamlandi sinavdan gecti")),ROWS($K$7:K63)),"")</f>
        <v>75</v>
      </c>
    </row>
    <row r="64" spans="1:11" ht="25.5" x14ac:dyDescent="0.25">
      <c r="A64" s="40">
        <f>IFERROR(INDEX(Personnel[Sicil],$K64),"")</f>
        <v>370783</v>
      </c>
      <c r="B64" s="41" t="str">
        <f>IFERROR(INDEX(Personnel[Adi Soyadi],$K64),"")</f>
        <v>Курбанбаев Кахрамон Жуманазарович</v>
      </c>
      <c r="C64" s="40" t="str">
        <f>IFERROR(INDEX(Personnel[Vatandaslik],$K64),"")</f>
        <v>УЗБЕКИСТАН</v>
      </c>
      <c r="D64" s="40" t="str">
        <f>IFERROR(INDEX(Personnel[Santiye],$K64),"")</f>
        <v>GPP Proje</v>
      </c>
      <c r="E64" s="40" t="str">
        <f>IFERROR(INDEX(Personnel[Ogretmen],$K64),"")</f>
        <v>-</v>
      </c>
      <c r="F64" s="41" t="str">
        <f>IFERROR(INDEX(Personnel[[Sinav ]],$K64),"")</f>
        <v>05.05.2026 Sineva gitti gecdi</v>
      </c>
      <c r="G64" s="41" t="str">
        <f>IFERROR(INDEX(Personnel[Egtim durumu],$K64),"")</f>
        <v>Dil egitimi tamamlandi sinavdan gecti</v>
      </c>
      <c r="H64" s="41" t="str">
        <f>IFERROR(INDEX(Personnel[Shohruh Not],$K64),"")</f>
        <v>-</v>
      </c>
      <c r="I64" s="42">
        <f ca="1">IFERROR(INDEX(Personnel[Дней в РФ],$K64),"")</f>
        <v>183</v>
      </c>
      <c r="K64" s="23">
        <f t="array" ref="K64">IFERROR(_xlfn.AGGREGATE(15,6,(ROW(Personnel[Egtim durumu])-MIN(ROW(Personnel[Egtim durumu]))+1)/((Personnel[Egtim durumu]="Dil egitimi tamamlandi sinavdan gecti")),ROWS($K$7:K64)),"")</f>
        <v>76</v>
      </c>
    </row>
    <row r="65" spans="1:11" ht="25.5" x14ac:dyDescent="0.25">
      <c r="A65" s="18">
        <f>IFERROR(INDEX(Personnel[Sicil],$K65),"")</f>
        <v>611398</v>
      </c>
      <c r="B65" s="17" t="str">
        <f>IFERROR(INDEX(Personnel[Adi Soyadi],$K65),"")</f>
        <v>Турсунбоев Абдулкодир Илхомжон угли</v>
      </c>
      <c r="C65" s="18" t="str">
        <f>IFERROR(INDEX(Personnel[Vatandaslik],$K65),"")</f>
        <v>УЗБЕКИСТАН</v>
      </c>
      <c r="D65" s="18" t="str">
        <f>IFERROR(INDEX(Personnel[Santiye],$K65),"")</f>
        <v>GPP Proje</v>
      </c>
      <c r="E65" s="18" t="str">
        <f>IFERROR(INDEX(Personnel[Ogretmen],$K65),"")</f>
        <v xml:space="preserve">Ziazetdinov Arslan </v>
      </c>
      <c r="F65" s="17" t="str">
        <f>IFERROR(INDEX(Personnel[[Sinav ]],$K65),"")</f>
        <v>05.05.2026 Sineva gitti gecdi</v>
      </c>
      <c r="G65" s="17" t="str">
        <f>IFERROR(INDEX(Personnel[Egtim durumu],$K65),"")</f>
        <v>Dil egitimi tamamlandi sinavdan gecti</v>
      </c>
      <c r="H65" s="17" t="str">
        <f>IFERROR(INDEX(Personnel[Shohruh Not],$K65),"")</f>
        <v>-</v>
      </c>
      <c r="I65" s="22">
        <f ca="1">IFERROR(INDEX(Personnel[Дней в РФ],$K65),"")</f>
        <v>118</v>
      </c>
      <c r="K65" s="23">
        <f t="array" ref="K65">IFERROR(_xlfn.AGGREGATE(15,6,(ROW(Personnel[Egtim durumu])-MIN(ROW(Personnel[Egtim durumu]))+1)/((Personnel[Egtim durumu]="Dil egitimi tamamlandi sinavdan gecti")),ROWS($K$7:K65)),"")</f>
        <v>77</v>
      </c>
    </row>
    <row r="66" spans="1:11" ht="25.5" x14ac:dyDescent="0.25">
      <c r="A66" s="40">
        <f>IFERROR(INDEX(Personnel[Sicil],$K66),"")</f>
        <v>578661</v>
      </c>
      <c r="B66" s="41" t="str">
        <f>IFERROR(INDEX(Personnel[Adi Soyadi],$K66),"")</f>
        <v>Хайдаров Равшанбек Рахмонали Угли</v>
      </c>
      <c r="C66" s="40" t="str">
        <f>IFERROR(INDEX(Personnel[Vatandaslik],$K66),"")</f>
        <v>УЗБЕКИСТАН</v>
      </c>
      <c r="D66" s="40" t="str">
        <f>IFERROR(INDEX(Personnel[Santiye],$K66),"")</f>
        <v>GPP Proje</v>
      </c>
      <c r="E66" s="40" t="str">
        <f>IFERROR(INDEX(Personnel[Ogretmen],$K66),"")</f>
        <v xml:space="preserve">Ziazetdinov Arslan </v>
      </c>
      <c r="F66" s="41" t="str">
        <f>IFERROR(INDEX(Personnel[[Sinav ]],$K66),"")</f>
        <v>05.05.2026 Sineva gitti gecdi</v>
      </c>
      <c r="G66" s="41" t="str">
        <f>IFERROR(INDEX(Personnel[Egtim durumu],$K66),"")</f>
        <v>Dil egitimi tamamlandi sinavdan gecti</v>
      </c>
      <c r="H66" s="41" t="str">
        <f>IFERROR(INDEX(Personnel[Shohruh Not],$K66),"")</f>
        <v>-</v>
      </c>
      <c r="I66" s="42">
        <f ca="1">IFERROR(INDEX(Personnel[Дней в РФ],$K66),"")</f>
        <v>118</v>
      </c>
      <c r="K66" s="23">
        <f t="array" ref="K66">IFERROR(_xlfn.AGGREGATE(15,6,(ROW(Personnel[Egtim durumu])-MIN(ROW(Personnel[Egtim durumu]))+1)/((Personnel[Egtim durumu]="Dil egitimi tamamlandi sinavdan gecti")),ROWS($K$7:K66)),"")</f>
        <v>78</v>
      </c>
    </row>
    <row r="67" spans="1:11" x14ac:dyDescent="0.25">
      <c r="A67" s="18">
        <f>IFERROR(INDEX(Personnel[Sicil],$K67),"")</f>
        <v>557132</v>
      </c>
      <c r="B67" s="17" t="str">
        <f>IFERROR(INDEX(Personnel[Adi Soyadi],$K67),"")</f>
        <v>Холиков Низомжон Хасанович</v>
      </c>
      <c r="C67" s="18" t="str">
        <f>IFERROR(INDEX(Personnel[Vatandaslik],$K67),"")</f>
        <v>УЗБЕКИСТАН</v>
      </c>
      <c r="D67" s="18" t="str">
        <f>IFERROR(INDEX(Personnel[Santiye],$K67),"")</f>
        <v>GPP Proje (TSF)</v>
      </c>
      <c r="E67" s="18" t="str">
        <f>IFERROR(INDEX(Personnel[Ogretmen],$K67),"")</f>
        <v xml:space="preserve">Ziazetdinov Arslan </v>
      </c>
      <c r="F67" s="17" t="str">
        <f>IFERROR(INDEX(Personnel[[Sinav ]],$K67),"")</f>
        <v>14.05.2026 Sineva gitti gecdi</v>
      </c>
      <c r="G67" s="17" t="str">
        <f>IFERROR(INDEX(Personnel[Egtim durumu],$K67),"")</f>
        <v>Dil egitimi tamamlandi sinavdan gecti</v>
      </c>
      <c r="H67" s="17" t="str">
        <f>IFERROR(INDEX(Personnel[Shohruh Not],$K67),"")</f>
        <v>-</v>
      </c>
      <c r="I67" s="22">
        <f ca="1">IFERROR(INDEX(Personnel[Дней в РФ],$K67),"")</f>
        <v>815</v>
      </c>
      <c r="K67" s="23">
        <f t="array" ref="K67">IFERROR(_xlfn.AGGREGATE(15,6,(ROW(Personnel[Egtim durumu])-MIN(ROW(Personnel[Egtim durumu]))+1)/((Personnel[Egtim durumu]="Dil egitimi tamamlandi sinavdan gecti")),ROWS($K$7:K67)),"")</f>
        <v>79</v>
      </c>
    </row>
    <row r="68" spans="1:11" x14ac:dyDescent="0.25">
      <c r="A68" s="40">
        <f>IFERROR(INDEX(Personnel[Sicil],$K68),"")</f>
        <v>602380</v>
      </c>
      <c r="B68" s="41" t="str">
        <f>IFERROR(INDEX(Personnel[Adi Soyadi],$K68),"")</f>
        <v>Алламуратов Мекан Магсатович</v>
      </c>
      <c r="C68" s="40" t="str">
        <f>IFERROR(INDEX(Personnel[Vatandaslik],$K68),"")</f>
        <v>УЗБЕКИСТАН</v>
      </c>
      <c r="D68" s="40" t="str">
        <f>IFERROR(INDEX(Personnel[Santiye],$K68),"")</f>
        <v>GPP Proje</v>
      </c>
      <c r="E68" s="40" t="str">
        <f>IFERROR(INDEX(Personnel[Ogretmen],$K68),"")</f>
        <v xml:space="preserve">Ziazetdinov Arslan </v>
      </c>
      <c r="F68" s="41" t="str">
        <f>IFERROR(INDEX(Personnel[[Sinav ]],$K68),"")</f>
        <v>05.05.2026 Sineva gitti gecdi</v>
      </c>
      <c r="G68" s="41" t="str">
        <f>IFERROR(INDEX(Personnel[Egtim durumu],$K68),"")</f>
        <v>Dil egitimi tamamlandi sinavdan gecti</v>
      </c>
      <c r="H68" s="41" t="str">
        <f>IFERROR(INDEX(Personnel[Shohruh Not],$K68),"")</f>
        <v>-</v>
      </c>
      <c r="I68" s="42">
        <f ca="1">IFERROR(INDEX(Personnel[Дней в РФ],$K68),"")</f>
        <v>117</v>
      </c>
      <c r="K68" s="23">
        <f t="array" ref="K68">IFERROR(_xlfn.AGGREGATE(15,6,(ROW(Personnel[Egtim durumu])-MIN(ROW(Personnel[Egtim durumu]))+1)/((Personnel[Egtim durumu]="Dil egitimi tamamlandi sinavdan gecti")),ROWS($K$7:K68)),"")</f>
        <v>81</v>
      </c>
    </row>
    <row r="69" spans="1:11" x14ac:dyDescent="0.25">
      <c r="A69" s="18">
        <f>IFERROR(INDEX(Personnel[Sicil],$K69),"")</f>
        <v>567878</v>
      </c>
      <c r="B69" s="17" t="str">
        <f>IFERROR(INDEX(Personnel[Adi Soyadi],$K69),"")</f>
        <v>Нормуродов Отамурод Абрий Угли</v>
      </c>
      <c r="C69" s="18" t="str">
        <f>IFERROR(INDEX(Personnel[Vatandaslik],$K69),"")</f>
        <v>УЗБЕКИСТАН</v>
      </c>
      <c r="D69" s="18" t="str">
        <f>IFERROR(INDEX(Personnel[Santiye],$K69),"")</f>
        <v>GPP Proje</v>
      </c>
      <c r="E69" s="18" t="str">
        <f>IFERROR(INDEX(Personnel[Ogretmen],$K69),"")</f>
        <v xml:space="preserve">Ziazetdinov Arslan </v>
      </c>
      <c r="F69" s="17" t="str">
        <f>IFERROR(INDEX(Personnel[[Sinav ]],$K69),"")</f>
        <v>05.05.2026 Sineva gitti gecdi</v>
      </c>
      <c r="G69" s="17" t="str">
        <f>IFERROR(INDEX(Personnel[Egtim durumu],$K69),"")</f>
        <v>Dil egitimi tamamlandi sinavdan gecti</v>
      </c>
      <c r="H69" s="17" t="str">
        <f>IFERROR(INDEX(Personnel[Shohruh Not],$K69),"")</f>
        <v>-</v>
      </c>
      <c r="I69" s="22">
        <f ca="1">IFERROR(INDEX(Personnel[Дней в РФ],$K69),"")</f>
        <v>117</v>
      </c>
      <c r="K69" s="23">
        <f t="array" ref="K69">IFERROR(_xlfn.AGGREGATE(15,6,(ROW(Personnel[Egtim durumu])-MIN(ROW(Personnel[Egtim durumu]))+1)/((Personnel[Egtim durumu]="Dil egitimi tamamlandi sinavdan gecti")),ROWS($K$7:K69)),"")</f>
        <v>83</v>
      </c>
    </row>
    <row r="70" spans="1:11" x14ac:dyDescent="0.25">
      <c r="A70" s="40">
        <f>IFERROR(INDEX(Personnel[Sicil],$K70),"")</f>
        <v>577375</v>
      </c>
      <c r="B70" s="41" t="str">
        <f>IFERROR(INDEX(Personnel[Adi Soyadi],$K70),"")</f>
        <v>Нурмаматов Эргашбек Хасан угли</v>
      </c>
      <c r="C70" s="40" t="str">
        <f>IFERROR(INDEX(Personnel[Vatandaslik],$K70),"")</f>
        <v>УЗБЕКИСТАН</v>
      </c>
      <c r="D70" s="40" t="str">
        <f>IFERROR(INDEX(Personnel[Santiye],$K70),"")</f>
        <v>GPP Proje</v>
      </c>
      <c r="E70" s="40" t="str">
        <f>IFERROR(INDEX(Personnel[Ogretmen],$K70),"")</f>
        <v xml:space="preserve">Ziazetdinov Arslan </v>
      </c>
      <c r="F70" s="41" t="str">
        <f>IFERROR(INDEX(Personnel[[Sinav ]],$K70),"")</f>
        <v>05.05.2026 Sineva gitti gecdi</v>
      </c>
      <c r="G70" s="41" t="str">
        <f>IFERROR(INDEX(Personnel[Egtim durumu],$K70),"")</f>
        <v>Dil egitimi tamamlandi sinavdan gecti</v>
      </c>
      <c r="H70" s="41" t="str">
        <f>IFERROR(INDEX(Personnel[Shohruh Not],$K70),"")</f>
        <v>-</v>
      </c>
      <c r="I70" s="42">
        <f ca="1">IFERROR(INDEX(Personnel[Дней в РФ],$K70),"")</f>
        <v>117</v>
      </c>
      <c r="K70" s="23">
        <f t="array" ref="K70">IFERROR(_xlfn.AGGREGATE(15,6,(ROW(Personnel[Egtim durumu])-MIN(ROW(Personnel[Egtim durumu]))+1)/((Personnel[Egtim durumu]="Dil egitimi tamamlandi sinavdan gecti")),ROWS($K$7:K70)),"")</f>
        <v>84</v>
      </c>
    </row>
    <row r="71" spans="1:11" x14ac:dyDescent="0.25">
      <c r="A71" s="18">
        <f>IFERROR(INDEX(Personnel[Sicil],$K71),"")</f>
        <v>642868</v>
      </c>
      <c r="B71" s="17" t="str">
        <f>IFERROR(INDEX(Personnel[Adi Soyadi],$K71),"")</f>
        <v>Эргашев Эркин Хуррамович</v>
      </c>
      <c r="C71" s="18" t="str">
        <f>IFERROR(INDEX(Personnel[Vatandaslik],$K71),"")</f>
        <v>ТАДЖИКИСТАН</v>
      </c>
      <c r="D71" s="18" t="str">
        <f>IFERROR(INDEX(Personnel[Santiye],$K71),"")</f>
        <v>GPP Proje</v>
      </c>
      <c r="E71" s="18" t="str">
        <f>IFERROR(INDEX(Personnel[Ogretmen],$K71),"")</f>
        <v xml:space="preserve">Ziazetdinov Arslan </v>
      </c>
      <c r="F71" s="17" t="str">
        <f>IFERROR(INDEX(Personnel[[Sinav ]],$K71),"")</f>
        <v>07.05.2026 Sineva gitti gecdi</v>
      </c>
      <c r="G71" s="17" t="str">
        <f>IFERROR(INDEX(Personnel[Egtim durumu],$K71),"")</f>
        <v>Dil egitimi tamamlandi sinavdan gecti</v>
      </c>
      <c r="H71" s="17" t="str">
        <f>IFERROR(INDEX(Personnel[Shohruh Not],$K71),"")</f>
        <v>-</v>
      </c>
      <c r="I71" s="22">
        <f ca="1">IFERROR(INDEX(Personnel[Дней в РФ],$K71),"")</f>
        <v>117</v>
      </c>
      <c r="K71" s="23">
        <f t="array" ref="K71">IFERROR(_xlfn.AGGREGATE(15,6,(ROW(Personnel[Egtim durumu])-MIN(ROW(Personnel[Egtim durumu]))+1)/((Personnel[Egtim durumu]="Dil egitimi tamamlandi sinavdan gecti")),ROWS($K$7:K71)),"")</f>
        <v>87</v>
      </c>
    </row>
    <row r="72" spans="1:11" x14ac:dyDescent="0.25">
      <c r="A72" s="40">
        <f>IFERROR(INDEX(Personnel[Sicil],$K72),"")</f>
        <v>642881</v>
      </c>
      <c r="B72" s="41" t="str">
        <f>IFERROR(INDEX(Personnel[Adi Soyadi],$K72),"")</f>
        <v>Юнусова Гулназ Исламбаевна</v>
      </c>
      <c r="C72" s="40" t="str">
        <f>IFERROR(INDEX(Personnel[Vatandaslik],$K72),"")</f>
        <v>УЗБЕКИСТАН</v>
      </c>
      <c r="D72" s="40" t="str">
        <f>IFERROR(INDEX(Personnel[Santiye],$K72),"")</f>
        <v>GPP Proje</v>
      </c>
      <c r="E72" s="40" t="str">
        <f>IFERROR(INDEX(Personnel[Ogretmen],$K72),"")</f>
        <v xml:space="preserve">Ziazetdinov Arslan </v>
      </c>
      <c r="F72" s="41" t="str">
        <f>IFERROR(INDEX(Personnel[[Sinav ]],$K72),"")</f>
        <v>05.05.2026 Sineva gitti gecdi</v>
      </c>
      <c r="G72" s="41" t="str">
        <f>IFERROR(INDEX(Personnel[Egtim durumu],$K72),"")</f>
        <v>Dil egitimi tamamlandi sinavdan gecti</v>
      </c>
      <c r="H72" s="41" t="str">
        <f>IFERROR(INDEX(Personnel[Shohruh Not],$K72),"")</f>
        <v>-</v>
      </c>
      <c r="I72" s="42">
        <f ca="1">IFERROR(INDEX(Personnel[Дней в РФ],$K72),"")</f>
        <v>117</v>
      </c>
      <c r="K72" s="23">
        <f t="array" ref="K72">IFERROR(_xlfn.AGGREGATE(15,6,(ROW(Personnel[Egtim durumu])-MIN(ROW(Personnel[Egtim durumu]))+1)/((Personnel[Egtim durumu]="Dil egitimi tamamlandi sinavdan gecti")),ROWS($K$7:K72)),"")</f>
        <v>89</v>
      </c>
    </row>
    <row r="73" spans="1:11" ht="25.5" x14ac:dyDescent="0.25">
      <c r="A73" s="18">
        <f>IFERROR(INDEX(Personnel[Sicil],$K73),"")</f>
        <v>642955</v>
      </c>
      <c r="B73" s="17" t="str">
        <f>IFERROR(INDEX(Personnel[Adi Soyadi],$K73),"")</f>
        <v>Дехконов Мавлуджон Кодиржон Угли</v>
      </c>
      <c r="C73" s="18" t="str">
        <f>IFERROR(INDEX(Personnel[Vatandaslik],$K73),"")</f>
        <v>УЗБЕКИСТАН</v>
      </c>
      <c r="D73" s="18" t="str">
        <f>IFERROR(INDEX(Personnel[Santiye],$K73),"")</f>
        <v>GPP Proje</v>
      </c>
      <c r="E73" s="18" t="str">
        <f>IFERROR(INDEX(Personnel[Ogretmen],$K73),"")</f>
        <v xml:space="preserve">Ziazetdinov Arslan </v>
      </c>
      <c r="F73" s="17" t="str">
        <f>IFERROR(INDEX(Personnel[[Sinav ]],$K73),"")</f>
        <v>14.05.2026 Sineva gitti gecdi</v>
      </c>
      <c r="G73" s="17" t="str">
        <f>IFERROR(INDEX(Personnel[Egtim durumu],$K73),"")</f>
        <v>Dil egitimi tamamlandi sinavdan gecti</v>
      </c>
      <c r="H73" s="17" t="str">
        <f>IFERROR(INDEX(Personnel[Shohruh Not],$K73),"")</f>
        <v>-</v>
      </c>
      <c r="I73" s="22">
        <f ca="1">IFERROR(INDEX(Personnel[Дней в РФ],$K73),"")</f>
        <v>116</v>
      </c>
      <c r="K73" s="23">
        <f t="array" ref="K73">IFERROR(_xlfn.AGGREGATE(15,6,(ROW(Personnel[Egtim durumu])-MIN(ROW(Personnel[Egtim durumu]))+1)/((Personnel[Egtim durumu]="Dil egitimi tamamlandi sinavdan gecti")),ROWS($K$7:K73)),"")</f>
        <v>90</v>
      </c>
    </row>
    <row r="74" spans="1:11" x14ac:dyDescent="0.25">
      <c r="A74" s="40">
        <f>IFERROR(INDEX(Personnel[Sicil],$K74),"")</f>
        <v>642950</v>
      </c>
      <c r="B74" s="41" t="str">
        <f>IFERROR(INDEX(Personnel[Adi Soyadi],$K74),"")</f>
        <v xml:space="preserve">Каримов Шохрухбек Мавлонбек Угли </v>
      </c>
      <c r="C74" s="40" t="str">
        <f>IFERROR(INDEX(Personnel[Vatandaslik],$K74),"")</f>
        <v>УЗБЕКИСТАН</v>
      </c>
      <c r="D74" s="40" t="str">
        <f>IFERROR(INDEX(Personnel[Santiye],$K74),"")</f>
        <v>GPP Proje</v>
      </c>
      <c r="E74" s="40" t="str">
        <f>IFERROR(INDEX(Personnel[Ogretmen],$K74),"")</f>
        <v xml:space="preserve">Ziazetdinov Arslan </v>
      </c>
      <c r="F74" s="41" t="str">
        <f>IFERROR(INDEX(Personnel[[Sinav ]],$K74),"")</f>
        <v>14.05.2026 Sineva gitti gecdi</v>
      </c>
      <c r="G74" s="41" t="str">
        <f>IFERROR(INDEX(Personnel[Egtim durumu],$K74),"")</f>
        <v>Dil egitimi tamamlandi sinavdan gecti</v>
      </c>
      <c r="H74" s="41" t="str">
        <f>IFERROR(INDEX(Personnel[Shohruh Not],$K74),"")</f>
        <v>-</v>
      </c>
      <c r="I74" s="42">
        <f ca="1">IFERROR(INDEX(Personnel[Дней в РФ],$K74),"")</f>
        <v>116</v>
      </c>
      <c r="K74" s="23">
        <f t="array" ref="K74">IFERROR(_xlfn.AGGREGATE(15,6,(ROW(Personnel[Egtim durumu])-MIN(ROW(Personnel[Egtim durumu]))+1)/((Personnel[Egtim durumu]="Dil egitimi tamamlandi sinavdan gecti")),ROWS($K$7:K74)),"")</f>
        <v>91</v>
      </c>
    </row>
    <row r="75" spans="1:11" x14ac:dyDescent="0.25">
      <c r="A75" s="18">
        <f>IFERROR(INDEX(Personnel[Sicil],$K75),"")</f>
        <v>627845</v>
      </c>
      <c r="B75" s="17" t="str">
        <f>IFERROR(INDEX(Personnel[Adi Soyadi],$K75),"")</f>
        <v>Матякубов Дилшад Азатович</v>
      </c>
      <c r="C75" s="18" t="str">
        <f>IFERROR(INDEX(Personnel[Vatandaslik],$K75),"")</f>
        <v>УЗБЕКИСТАН</v>
      </c>
      <c r="D75" s="18" t="str">
        <f>IFERROR(INDEX(Personnel[Santiye],$K75),"")</f>
        <v>GPP Proje</v>
      </c>
      <c r="E75" s="18" t="str">
        <f>IFERROR(INDEX(Personnel[Ogretmen],$K75),"")</f>
        <v xml:space="preserve">Ziazetdinov Arslan </v>
      </c>
      <c r="F75" s="17" t="str">
        <f>IFERROR(INDEX(Personnel[[Sinav ]],$K75),"")</f>
        <v>14.05.2026 Sineva gitti gecdi</v>
      </c>
      <c r="G75" s="17" t="str">
        <f>IFERROR(INDEX(Personnel[Egtim durumu],$K75),"")</f>
        <v>Dil egitimi tamamlandi sinavdan gecti</v>
      </c>
      <c r="H75" s="17" t="str">
        <f>IFERROR(INDEX(Personnel[Shohruh Not],$K75),"")</f>
        <v>-</v>
      </c>
      <c r="I75" s="22">
        <f ca="1">IFERROR(INDEX(Personnel[Дней в РФ],$K75),"")</f>
        <v>116</v>
      </c>
      <c r="K75" s="23">
        <f t="array" ref="K75">IFERROR(_xlfn.AGGREGATE(15,6,(ROW(Personnel[Egtim durumu])-MIN(ROW(Personnel[Egtim durumu]))+1)/((Personnel[Egtim durumu]="Dil egitimi tamamlandi sinavdan gecti")),ROWS($K$7:K75)),"")</f>
        <v>92</v>
      </c>
    </row>
    <row r="76" spans="1:11" x14ac:dyDescent="0.25">
      <c r="A76" s="40">
        <f>IFERROR(INDEX(Personnel[Sicil],$K76),"")</f>
        <v>642969</v>
      </c>
      <c r="B76" s="41" t="str">
        <f>IFERROR(INDEX(Personnel[Adi Soyadi],$K76),"")</f>
        <v>Олимов Саиджон Хасанбой Угли</v>
      </c>
      <c r="C76" s="40" t="str">
        <f>IFERROR(INDEX(Personnel[Vatandaslik],$K76),"")</f>
        <v>УЗБЕКИСТАН</v>
      </c>
      <c r="D76" s="40" t="str">
        <f>IFERROR(INDEX(Personnel[Santiye],$K76),"")</f>
        <v>GPP Proje</v>
      </c>
      <c r="E76" s="40" t="str">
        <f>IFERROR(INDEX(Personnel[Ogretmen],$K76),"")</f>
        <v xml:space="preserve">Ziazetdinov Arslan </v>
      </c>
      <c r="F76" s="41" t="str">
        <f>IFERROR(INDEX(Personnel[[Sinav ]],$K76),"")</f>
        <v>14.05.2026 Sineva gitti gecdi</v>
      </c>
      <c r="G76" s="41" t="str">
        <f>IFERROR(INDEX(Personnel[Egtim durumu],$K76),"")</f>
        <v>Dil egitimi tamamlandi sinavdan gecti</v>
      </c>
      <c r="H76" s="41" t="str">
        <f>IFERROR(INDEX(Personnel[Shohruh Not],$K76),"")</f>
        <v>-</v>
      </c>
      <c r="I76" s="42">
        <f ca="1">IFERROR(INDEX(Personnel[Дней в РФ],$K76),"")</f>
        <v>116</v>
      </c>
      <c r="K76" s="23">
        <f t="array" ref="K76">IFERROR(_xlfn.AGGREGATE(15,6,(ROW(Personnel[Egtim durumu])-MIN(ROW(Personnel[Egtim durumu]))+1)/((Personnel[Egtim durumu]="Dil egitimi tamamlandi sinavdan gecti")),ROWS($K$7:K76)),"")</f>
        <v>94</v>
      </c>
    </row>
    <row r="77" spans="1:11" x14ac:dyDescent="0.25">
      <c r="A77" s="18">
        <f>IFERROR(INDEX(Personnel[Sicil],$K77),"")</f>
        <v>642961</v>
      </c>
      <c r="B77" s="17" t="str">
        <f>IFERROR(INDEX(Personnel[Adi Soyadi],$K77),"")</f>
        <v xml:space="preserve">Хайитов Сухроб Камол Угли </v>
      </c>
      <c r="C77" s="18" t="str">
        <f>IFERROR(INDEX(Personnel[Vatandaslik],$K77),"")</f>
        <v>УЗБЕКИСТАН</v>
      </c>
      <c r="D77" s="18" t="str">
        <f>IFERROR(INDEX(Personnel[Santiye],$K77),"")</f>
        <v>GPP Proje</v>
      </c>
      <c r="E77" s="18" t="str">
        <f>IFERROR(INDEX(Personnel[Ogretmen],$K77),"")</f>
        <v xml:space="preserve">Ziazetdinov Arslan </v>
      </c>
      <c r="F77" s="17" t="str">
        <f>IFERROR(INDEX(Personnel[[Sinav ]],$K77),"")</f>
        <v>14.05.2026 Sineva gitti gecdi</v>
      </c>
      <c r="G77" s="17" t="str">
        <f>IFERROR(INDEX(Personnel[Egtim durumu],$K77),"")</f>
        <v>Dil egitimi tamamlandi sinavdan gecti</v>
      </c>
      <c r="H77" s="17" t="str">
        <f>IFERROR(INDEX(Personnel[Shohruh Not],$K77),"")</f>
        <v>-</v>
      </c>
      <c r="I77" s="22">
        <f ca="1">IFERROR(INDEX(Personnel[Дней в РФ],$K77),"")</f>
        <v>117</v>
      </c>
      <c r="K77" s="23">
        <f t="array" ref="K77">IFERROR(_xlfn.AGGREGATE(15,6,(ROW(Personnel[Egtim durumu])-MIN(ROW(Personnel[Egtim durumu]))+1)/((Personnel[Egtim durumu]="Dil egitimi tamamlandi sinavdan gecti")),ROWS($K$7:K77)),"")</f>
        <v>97</v>
      </c>
    </row>
    <row r="78" spans="1:11" x14ac:dyDescent="0.25">
      <c r="A78" s="40">
        <f>IFERROR(INDEX(Personnel[Sicil],$K78),"")</f>
        <v>642993</v>
      </c>
      <c r="B78" s="41" t="str">
        <f>IFERROR(INDEX(Personnel[Adi Soyadi],$K78),"")</f>
        <v>Абдувалиев Асадбек Салимжон Угли</v>
      </c>
      <c r="C78" s="40" t="str">
        <f>IFERROR(INDEX(Personnel[Vatandaslik],$K78),"")</f>
        <v>УЗБЕКИСТАН</v>
      </c>
      <c r="D78" s="40" t="str">
        <f>IFERROR(INDEX(Personnel[Santiye],$K78),"")</f>
        <v>GPP Proje</v>
      </c>
      <c r="E78" s="40" t="str">
        <f>IFERROR(INDEX(Personnel[Ogretmen],$K78),"")</f>
        <v xml:space="preserve">Ziazetdinov Arslan </v>
      </c>
      <c r="F78" s="41" t="str">
        <f>IFERROR(INDEX(Personnel[[Sinav ]],$K78),"")</f>
        <v>20.05.2026 Sineva gitti gecdi</v>
      </c>
      <c r="G78" s="41" t="str">
        <f>IFERROR(INDEX(Personnel[Egtim durumu],$K78),"")</f>
        <v>Dil egitimi tamamlandi sinavdan gecti</v>
      </c>
      <c r="H78" s="41" t="str">
        <f>IFERROR(INDEX(Personnel[Shohruh Not],$K78),"")</f>
        <v>-</v>
      </c>
      <c r="I78" s="42">
        <f ca="1">IFERROR(INDEX(Personnel[Дней в РФ],$K78),"")</f>
        <v>114</v>
      </c>
      <c r="K78" s="23">
        <f t="array" ref="K78">IFERROR(_xlfn.AGGREGATE(15,6,(ROW(Personnel[Egtim durumu])-MIN(ROW(Personnel[Egtim durumu]))+1)/((Personnel[Egtim durumu]="Dil egitimi tamamlandi sinavdan gecti")),ROWS($K$7:K78)),"")</f>
        <v>98</v>
      </c>
    </row>
    <row r="79" spans="1:11" x14ac:dyDescent="0.25">
      <c r="A79" s="18">
        <f>IFERROR(INDEX(Personnel[Sicil],$K79),"")</f>
        <v>643013</v>
      </c>
      <c r="B79" s="17" t="str">
        <f>IFERROR(INDEX(Personnel[Adi Soyadi],$K79),"")</f>
        <v>Болтаев Умрзок Киличевич</v>
      </c>
      <c r="C79" s="18" t="str">
        <f>IFERROR(INDEX(Personnel[Vatandaslik],$K79),"")</f>
        <v>УЗБЕКИСТАН</v>
      </c>
      <c r="D79" s="18" t="str">
        <f>IFERROR(INDEX(Personnel[Santiye],$K79),"")</f>
        <v>GPP Proje</v>
      </c>
      <c r="E79" s="18" t="str">
        <f>IFERROR(INDEX(Personnel[Ogretmen],$K79),"")</f>
        <v xml:space="preserve">Ziazetdinov Arslan </v>
      </c>
      <c r="F79" s="17" t="str">
        <f>IFERROR(INDEX(Personnel[[Sinav ]],$K79),"")</f>
        <v>14.05.2026 Sineva gitti gecdi</v>
      </c>
      <c r="G79" s="17" t="str">
        <f>IFERROR(INDEX(Personnel[Egtim durumu],$K79),"")</f>
        <v>Dil egitimi tamamlandi sinavdan gecti</v>
      </c>
      <c r="H79" s="17" t="str">
        <f>IFERROR(INDEX(Personnel[Shohruh Not],$K79),"")</f>
        <v>-</v>
      </c>
      <c r="I79" s="22">
        <f ca="1">IFERROR(INDEX(Personnel[Дней в РФ],$K79),"")</f>
        <v>113</v>
      </c>
      <c r="K79" s="23">
        <f t="array" ref="K79">IFERROR(_xlfn.AGGREGATE(15,6,(ROW(Personnel[Egtim durumu])-MIN(ROW(Personnel[Egtim durumu]))+1)/((Personnel[Egtim durumu]="Dil egitimi tamamlandi sinavdan gecti")),ROWS($K$7:K79)),"")</f>
        <v>99</v>
      </c>
    </row>
    <row r="80" spans="1:11" ht="25.5" x14ac:dyDescent="0.25">
      <c r="A80" s="40">
        <f>IFERROR(INDEX(Personnel[Sicil],$K80),"")</f>
        <v>609949</v>
      </c>
      <c r="B80" s="41" t="str">
        <f>IFERROR(INDEX(Personnel[Adi Soyadi],$K80),"")</f>
        <v>Дилмурадов Истам Норбек Угли</v>
      </c>
      <c r="C80" s="40" t="str">
        <f>IFERROR(INDEX(Personnel[Vatandaslik],$K80),"")</f>
        <v>УЗБЕКИСТАН</v>
      </c>
      <c r="D80" s="40" t="str">
        <f>IFERROR(INDEX(Personnel[Santiye],$K80),"")</f>
        <v>GPP Proje</v>
      </c>
      <c r="E80" s="40" t="str">
        <f>IFERROR(INDEX(Personnel[Ogretmen],$K80),"")</f>
        <v xml:space="preserve">Ziazetdinov Arslan </v>
      </c>
      <c r="F80" s="41" t="str">
        <f>IFERROR(INDEX(Personnel[[Sinav ]],$K80),"")</f>
        <v>14.05.2026 Sineva gitti gecemedi /19.05.2026 Sineva gitti gecdi</v>
      </c>
      <c r="G80" s="41" t="str">
        <f>IFERROR(INDEX(Personnel[Egtim durumu],$K80),"")</f>
        <v>Dil egitimi tamamlandi sinavdan gecti</v>
      </c>
      <c r="H80" s="41" t="str">
        <f>IFERROR(INDEX(Personnel[Shohruh Not],$K80),"")</f>
        <v>-</v>
      </c>
      <c r="I80" s="42">
        <f ca="1">IFERROR(INDEX(Personnel[Дней в РФ],$K80),"")</f>
        <v>116</v>
      </c>
      <c r="K80" s="23">
        <f t="array" ref="K80">IFERROR(_xlfn.AGGREGATE(15,6,(ROW(Personnel[Egtim durumu])-MIN(ROW(Personnel[Egtim durumu]))+1)/((Personnel[Egtim durumu]="Dil egitimi tamamlandi sinavdan gecti")),ROWS($K$7:K80)),"")</f>
        <v>100</v>
      </c>
    </row>
    <row r="81" spans="1:11" x14ac:dyDescent="0.25">
      <c r="A81" s="18">
        <f>IFERROR(INDEX(Personnel[Sicil],$K81),"")</f>
        <v>642988</v>
      </c>
      <c r="B81" s="17" t="str">
        <f>IFERROR(INDEX(Personnel[Adi Soyadi],$K81),"")</f>
        <v>Дусбеков Темур Кахраманович</v>
      </c>
      <c r="C81" s="18" t="str">
        <f>IFERROR(INDEX(Personnel[Vatandaslik],$K81),"")</f>
        <v>УЗБЕКИСТАН</v>
      </c>
      <c r="D81" s="18" t="str">
        <f>IFERROR(INDEX(Personnel[Santiye],$K81),"")</f>
        <v>GPP Proje</v>
      </c>
      <c r="E81" s="18" t="str">
        <f>IFERROR(INDEX(Personnel[Ogretmen],$K81),"")</f>
        <v xml:space="preserve">Ziazetdinov Arslan </v>
      </c>
      <c r="F81" s="17" t="str">
        <f>IFERROR(INDEX(Personnel[[Sinav ]],$K81),"")</f>
        <v>15.05.2026 Sineva gitti gecdi</v>
      </c>
      <c r="G81" s="17" t="str">
        <f>IFERROR(INDEX(Personnel[Egtim durumu],$K81),"")</f>
        <v>Dil egitimi tamamlandi sinavdan gecti</v>
      </c>
      <c r="H81" s="17" t="str">
        <f>IFERROR(INDEX(Personnel[Shohruh Not],$K81),"")</f>
        <v>-</v>
      </c>
      <c r="I81" s="22">
        <f ca="1">IFERROR(INDEX(Personnel[Дней в РФ],$K81),"")</f>
        <v>114</v>
      </c>
      <c r="K81" s="23">
        <f t="array" ref="K81">IFERROR(_xlfn.AGGREGATE(15,6,(ROW(Personnel[Egtim durumu])-MIN(ROW(Personnel[Egtim durumu]))+1)/((Personnel[Egtim durumu]="Dil egitimi tamamlandi sinavdan gecti")),ROWS($K$7:K81)),"")</f>
        <v>101</v>
      </c>
    </row>
    <row r="82" spans="1:11" ht="25.5" x14ac:dyDescent="0.25">
      <c r="A82" s="40">
        <f>IFERROR(INDEX(Personnel[Sicil],$K82),"")</f>
        <v>642990</v>
      </c>
      <c r="B82" s="41" t="str">
        <f>IFERROR(INDEX(Personnel[Adi Soyadi],$K82),"")</f>
        <v>Душанов Жамолиддин Олимжан Угли</v>
      </c>
      <c r="C82" s="40" t="str">
        <f>IFERROR(INDEX(Personnel[Vatandaslik],$K82),"")</f>
        <v>УЗБЕКИСТАН</v>
      </c>
      <c r="D82" s="40" t="str">
        <f>IFERROR(INDEX(Personnel[Santiye],$K82),"")</f>
        <v>GPP Proje</v>
      </c>
      <c r="E82" s="40" t="str">
        <f>IFERROR(INDEX(Personnel[Ogretmen],$K82),"")</f>
        <v xml:space="preserve">Ziazetdinov Arslan </v>
      </c>
      <c r="F82" s="41" t="str">
        <f>IFERROR(INDEX(Personnel[[Sinav ]],$K82),"")</f>
        <v>15.05.2026 Sineva gitti gecdi</v>
      </c>
      <c r="G82" s="41" t="str">
        <f>IFERROR(INDEX(Personnel[Egtim durumu],$K82),"")</f>
        <v>Dil egitimi tamamlandi sinavdan gecti</v>
      </c>
      <c r="H82" s="41" t="str">
        <f>IFERROR(INDEX(Personnel[Shohruh Not],$K82),"")</f>
        <v>-</v>
      </c>
      <c r="I82" s="42">
        <f ca="1">IFERROR(INDEX(Personnel[Дней в РФ],$K82),"")</f>
        <v>114</v>
      </c>
      <c r="K82" s="23">
        <f t="array" ref="K82">IFERROR(_xlfn.AGGREGATE(15,6,(ROW(Personnel[Egtim durumu])-MIN(ROW(Personnel[Egtim durumu]))+1)/((Personnel[Egtim durumu]="Dil egitimi tamamlandi sinavdan gecti")),ROWS($K$7:K82)),"")</f>
        <v>102</v>
      </c>
    </row>
    <row r="83" spans="1:11" x14ac:dyDescent="0.25">
      <c r="A83" s="18">
        <f>IFERROR(INDEX(Personnel[Sicil],$K83),"")</f>
        <v>642998</v>
      </c>
      <c r="B83" s="17" t="str">
        <f>IFERROR(INDEX(Personnel[Adi Soyadi],$K83),"")</f>
        <v>Гоипов Шерали Тожалиевич</v>
      </c>
      <c r="C83" s="18" t="str">
        <f>IFERROR(INDEX(Personnel[Vatandaslik],$K83),"")</f>
        <v>УЗБЕКИСТАН</v>
      </c>
      <c r="D83" s="18" t="str">
        <f>IFERROR(INDEX(Personnel[Santiye],$K83),"")</f>
        <v>GPP Proje</v>
      </c>
      <c r="E83" s="18" t="str">
        <f>IFERROR(INDEX(Personnel[Ogretmen],$K83),"")</f>
        <v xml:space="preserve">Ziazetdinov Arslan </v>
      </c>
      <c r="F83" s="17" t="str">
        <f>IFERROR(INDEX(Personnel[[Sinav ]],$K83),"")</f>
        <v>14.05.2026 Sineva gitti gecdi</v>
      </c>
      <c r="G83" s="17" t="str">
        <f>IFERROR(INDEX(Personnel[Egtim durumu],$K83),"")</f>
        <v>Dil egitimi tamamlandi sinavdan gecti</v>
      </c>
      <c r="H83" s="17" t="str">
        <f>IFERROR(INDEX(Personnel[Shohruh Not],$K83),"")</f>
        <v>-</v>
      </c>
      <c r="I83" s="22">
        <f ca="1">IFERROR(INDEX(Personnel[Дней в РФ],$K83),"")</f>
        <v>116</v>
      </c>
      <c r="K83" s="23">
        <f t="array" ref="K83">IFERROR(_xlfn.AGGREGATE(15,6,(ROW(Personnel[Egtim durumu])-MIN(ROW(Personnel[Egtim durumu]))+1)/((Personnel[Egtim durumu]="Dil egitimi tamamlandi sinavdan gecti")),ROWS($K$7:K83)),"")</f>
        <v>104</v>
      </c>
    </row>
    <row r="84" spans="1:11" x14ac:dyDescent="0.25">
      <c r="A84" s="40">
        <f>IFERROR(INDEX(Personnel[Sicil],$K84),"")</f>
        <v>642980</v>
      </c>
      <c r="B84" s="41" t="str">
        <f>IFERROR(INDEX(Personnel[Adi Soyadi],$K84),"")</f>
        <v>Имамов Бобур Алим Угли</v>
      </c>
      <c r="C84" s="40" t="str">
        <f>IFERROR(INDEX(Personnel[Vatandaslik],$K84),"")</f>
        <v>УЗБЕКИСТАН</v>
      </c>
      <c r="D84" s="40" t="str">
        <f>IFERROR(INDEX(Personnel[Santiye],$K84),"")</f>
        <v>GPP Proje</v>
      </c>
      <c r="E84" s="40" t="str">
        <f>IFERROR(INDEX(Personnel[Ogretmen],$K84),"")</f>
        <v xml:space="preserve">Ziazetdinov Arslan </v>
      </c>
      <c r="F84" s="41" t="str">
        <f>IFERROR(INDEX(Personnel[[Sinav ]],$K84),"")</f>
        <v>14.05.2026 Sineva gitti gecdi</v>
      </c>
      <c r="G84" s="41" t="str">
        <f>IFERROR(INDEX(Personnel[Egtim durumu],$K84),"")</f>
        <v>Dil egitimi tamamlandi sinavdan gecti</v>
      </c>
      <c r="H84" s="41" t="str">
        <f>IFERROR(INDEX(Personnel[Shohruh Not],$K84),"")</f>
        <v>-</v>
      </c>
      <c r="I84" s="42">
        <f ca="1">IFERROR(INDEX(Personnel[Дней в РФ],$K84),"")</f>
        <v>114</v>
      </c>
      <c r="K84" s="23">
        <f t="array" ref="K84">IFERROR(_xlfn.AGGREGATE(15,6,(ROW(Personnel[Egtim durumu])-MIN(ROW(Personnel[Egtim durumu]))+1)/((Personnel[Egtim durumu]="Dil egitimi tamamlandi sinavdan gecti")),ROWS($K$7:K84)),"")</f>
        <v>105</v>
      </c>
    </row>
    <row r="85" spans="1:11" x14ac:dyDescent="0.25">
      <c r="A85" s="18">
        <f>IFERROR(INDEX(Personnel[Sicil],$K85),"")</f>
        <v>642982</v>
      </c>
      <c r="B85" s="17" t="str">
        <f>IFERROR(INDEX(Personnel[Adi Soyadi],$K85),"")</f>
        <v>Келдиёров Журабек Фахриддин Угли</v>
      </c>
      <c r="C85" s="18" t="str">
        <f>IFERROR(INDEX(Personnel[Vatandaslik],$K85),"")</f>
        <v>УЗБЕКИСТАН</v>
      </c>
      <c r="D85" s="18" t="str">
        <f>IFERROR(INDEX(Personnel[Santiye],$K85),"")</f>
        <v>GPP Proje</v>
      </c>
      <c r="E85" s="18" t="str">
        <f>IFERROR(INDEX(Personnel[Ogretmen],$K85),"")</f>
        <v xml:space="preserve">Ziazetdinov Arslan </v>
      </c>
      <c r="F85" s="17" t="str">
        <f>IFERROR(INDEX(Personnel[[Sinav ]],$K85),"")</f>
        <v>15.05.2026 Sineva gitti gecdi</v>
      </c>
      <c r="G85" s="17" t="str">
        <f>IFERROR(INDEX(Personnel[Egtim durumu],$K85),"")</f>
        <v>Dil egitimi tamamlandi sinavdan gecti</v>
      </c>
      <c r="H85" s="17" t="str">
        <f>IFERROR(INDEX(Personnel[Shohruh Not],$K85),"")</f>
        <v>-</v>
      </c>
      <c r="I85" s="22">
        <f ca="1">IFERROR(INDEX(Personnel[Дней в РФ],$K85),"")</f>
        <v>114</v>
      </c>
      <c r="K85" s="23">
        <f t="array" ref="K85">IFERROR(_xlfn.AGGREGATE(15,6,(ROW(Personnel[Egtim durumu])-MIN(ROW(Personnel[Egtim durumu]))+1)/((Personnel[Egtim durumu]="Dil egitimi tamamlandi sinavdan gecti")),ROWS($K$7:K85)),"")</f>
        <v>106</v>
      </c>
    </row>
    <row r="86" spans="1:11" x14ac:dyDescent="0.25">
      <c r="A86" s="40">
        <f>IFERROR(INDEX(Personnel[Sicil],$K86),"")</f>
        <v>642994</v>
      </c>
      <c r="B86" s="41" t="str">
        <f>IFERROR(INDEX(Personnel[Adi Soyadi],$K86),"")</f>
        <v>Хамроев Маруф Хусан Угли</v>
      </c>
      <c r="C86" s="40" t="str">
        <f>IFERROR(INDEX(Personnel[Vatandaslik],$K86),"")</f>
        <v>УЗБЕКИСТАН</v>
      </c>
      <c r="D86" s="40" t="str">
        <f>IFERROR(INDEX(Personnel[Santiye],$K86),"")</f>
        <v>GPP Proje</v>
      </c>
      <c r="E86" s="40" t="str">
        <f>IFERROR(INDEX(Personnel[Ogretmen],$K86),"")</f>
        <v xml:space="preserve">Ziazetdinov Arslan </v>
      </c>
      <c r="F86" s="41" t="str">
        <f>IFERROR(INDEX(Personnel[[Sinav ]],$K86),"")</f>
        <v>20.05.2026 Sineva gitti gecdi</v>
      </c>
      <c r="G86" s="41" t="str">
        <f>IFERROR(INDEX(Personnel[Egtim durumu],$K86),"")</f>
        <v>Dil egitimi tamamlandi sinavdan gecti</v>
      </c>
      <c r="H86" s="41" t="str">
        <f>IFERROR(INDEX(Personnel[Shohruh Not],$K86),"")</f>
        <v>-</v>
      </c>
      <c r="I86" s="42">
        <f ca="1">IFERROR(INDEX(Personnel[Дней в РФ],$K86),"")</f>
        <v>114</v>
      </c>
      <c r="K86" s="23">
        <f t="array" ref="K86">IFERROR(_xlfn.AGGREGATE(15,6,(ROW(Personnel[Egtim durumu])-MIN(ROW(Personnel[Egtim durumu]))+1)/((Personnel[Egtim durumu]="Dil egitimi tamamlandi sinavdan gecti")),ROWS($K$7:K86)),"")</f>
        <v>107</v>
      </c>
    </row>
    <row r="87" spans="1:11" ht="25.5" x14ac:dyDescent="0.25">
      <c r="A87" s="18">
        <f>IFERROR(INDEX(Personnel[Sicil],$K87),"")</f>
        <v>640866</v>
      </c>
      <c r="B87" s="17" t="str">
        <f>IFERROR(INDEX(Personnel[Adi Soyadi],$K87),"")</f>
        <v>Хурсанов Аббосбек Хасан Угли</v>
      </c>
      <c r="C87" s="18" t="str">
        <f>IFERROR(INDEX(Personnel[Vatandaslik],$K87),"")</f>
        <v>УЗБЕКИСТАН</v>
      </c>
      <c r="D87" s="18" t="str">
        <f>IFERROR(INDEX(Personnel[Santiye],$K87),"")</f>
        <v>GPP Proje</v>
      </c>
      <c r="E87" s="18" t="str">
        <f>IFERROR(INDEX(Personnel[Ogretmen],$K87),"")</f>
        <v xml:space="preserve">Ziazetdinov Arslan </v>
      </c>
      <c r="F87" s="17" t="str">
        <f>IFERROR(INDEX(Personnel[[Sinav ]],$K87),"")</f>
        <v>14.05.2026 Sineva gitti gecemedi /19.05.2026 Sineva gitti gecdi</v>
      </c>
      <c r="G87" s="17" t="str">
        <f>IFERROR(INDEX(Personnel[Egtim durumu],$K87),"")</f>
        <v>Dil egitimi tamamlandi sinavdan gecti</v>
      </c>
      <c r="H87" s="17" t="str">
        <f>IFERROR(INDEX(Personnel[Shohruh Not],$K87),"")</f>
        <v>-</v>
      </c>
      <c r="I87" s="22">
        <f ca="1">IFERROR(INDEX(Personnel[Дней в РФ],$K87),"")</f>
        <v>115</v>
      </c>
      <c r="K87" s="23">
        <f t="array" ref="K87">IFERROR(_xlfn.AGGREGATE(15,6,(ROW(Personnel[Egtim durumu])-MIN(ROW(Personnel[Egtim durumu]))+1)/((Personnel[Egtim durumu]="Dil egitimi tamamlandi sinavdan gecti")),ROWS($K$7:K87)),"")</f>
        <v>108</v>
      </c>
    </row>
    <row r="88" spans="1:11" x14ac:dyDescent="0.25">
      <c r="A88" s="40">
        <f>IFERROR(INDEX(Personnel[Sicil],$K88),"")</f>
        <v>643016</v>
      </c>
      <c r="B88" s="41" t="str">
        <f>IFERROR(INDEX(Personnel[Adi Soyadi],$K88),"")</f>
        <v>Ковалчук Вячеслав Журакулович</v>
      </c>
      <c r="C88" s="40" t="str">
        <f>IFERROR(INDEX(Personnel[Vatandaslik],$K88),"")</f>
        <v>УЗБЕКИСТАН</v>
      </c>
      <c r="D88" s="40" t="str">
        <f>IFERROR(INDEX(Personnel[Santiye],$K88),"")</f>
        <v>GPP Proje</v>
      </c>
      <c r="E88" s="40" t="str">
        <f>IFERROR(INDEX(Personnel[Ogretmen],$K88),"")</f>
        <v>-</v>
      </c>
      <c r="F88" s="41" t="str">
        <f>IFERROR(INDEX(Personnel[[Sinav ]],$K88),"")</f>
        <v>19.05.2026 Sineva gitti gecdi</v>
      </c>
      <c r="G88" s="41" t="str">
        <f>IFERROR(INDEX(Personnel[Egtim durumu],$K88),"")</f>
        <v>Dil egitimi tamamlandi sinavdan gecti</v>
      </c>
      <c r="H88" s="41" t="str">
        <f>IFERROR(INDEX(Personnel[Shohruh Not],$K88),"")</f>
        <v>-</v>
      </c>
      <c r="I88" s="42">
        <f ca="1">IFERROR(INDEX(Personnel[Дней в РФ],$K88),"")</f>
        <v>113</v>
      </c>
      <c r="K88" s="23">
        <f t="array" ref="K88">IFERROR(_xlfn.AGGREGATE(15,6,(ROW(Personnel[Egtim durumu])-MIN(ROW(Personnel[Egtim durumu]))+1)/((Personnel[Egtim durumu]="Dil egitimi tamamlandi sinavdan gecti")),ROWS($K$7:K88)),"")</f>
        <v>109</v>
      </c>
    </row>
    <row r="89" spans="1:11" x14ac:dyDescent="0.25">
      <c r="A89" s="18">
        <f>IFERROR(INDEX(Personnel[Sicil],$K89),"")</f>
        <v>642991</v>
      </c>
      <c r="B89" s="17" t="str">
        <f>IFERROR(INDEX(Personnel[Adi Soyadi],$K89),"")</f>
        <v>Мингбоев Хайитали Муродиллоевич</v>
      </c>
      <c r="C89" s="18" t="str">
        <f>IFERROR(INDEX(Personnel[Vatandaslik],$K89),"")</f>
        <v>УЗБЕКИСТАН</v>
      </c>
      <c r="D89" s="18" t="str">
        <f>IFERROR(INDEX(Personnel[Santiye],$K89),"")</f>
        <v>GPP Proje</v>
      </c>
      <c r="E89" s="18" t="str">
        <f>IFERROR(INDEX(Personnel[Ogretmen],$K89),"")</f>
        <v>Tyulina Natalya</v>
      </c>
      <c r="F89" s="17" t="str">
        <f>IFERROR(INDEX(Personnel[[Sinav ]],$K89),"")</f>
        <v>20.05.2026 Sineva gitti gecdi</v>
      </c>
      <c r="G89" s="17" t="str">
        <f>IFERROR(INDEX(Personnel[Egtim durumu],$K89),"")</f>
        <v>Dil egitimi tamamlandi sinavdan gecti</v>
      </c>
      <c r="H89" s="17" t="str">
        <f>IFERROR(INDEX(Personnel[Shohruh Not],$K89),"")</f>
        <v>-</v>
      </c>
      <c r="I89" s="22">
        <f ca="1">IFERROR(INDEX(Personnel[Дней в РФ],$K89),"")</f>
        <v>114</v>
      </c>
      <c r="K89" s="23">
        <f t="array" ref="K89">IFERROR(_xlfn.AGGREGATE(15,6,(ROW(Personnel[Egtim durumu])-MIN(ROW(Personnel[Egtim durumu]))+1)/((Personnel[Egtim durumu]="Dil egitimi tamamlandi sinavdan gecti")),ROWS($K$7:K89)),"")</f>
        <v>110</v>
      </c>
    </row>
    <row r="90" spans="1:11" x14ac:dyDescent="0.25">
      <c r="A90" s="40">
        <f>IFERROR(INDEX(Personnel[Sicil],$K90),"")</f>
        <v>643008</v>
      </c>
      <c r="B90" s="41" t="str">
        <f>IFERROR(INDEX(Personnel[Adi Soyadi],$K90),"")</f>
        <v>Ражабов Ражоббой Хайитбаевич</v>
      </c>
      <c r="C90" s="40" t="str">
        <f>IFERROR(INDEX(Personnel[Vatandaslik],$K90),"")</f>
        <v>УЗБЕКИСТАН</v>
      </c>
      <c r="D90" s="40" t="str">
        <f>IFERROR(INDEX(Personnel[Santiye],$K90),"")</f>
        <v>GPP Proje</v>
      </c>
      <c r="E90" s="40" t="str">
        <f>IFERROR(INDEX(Personnel[Ogretmen],$K90),"")</f>
        <v>-</v>
      </c>
      <c r="F90" s="41" t="str">
        <f>IFERROR(INDEX(Personnel[[Sinav ]],$K90),"")</f>
        <v>13.05.2026 Sineva gitti gecdi</v>
      </c>
      <c r="G90" s="41" t="str">
        <f>IFERROR(INDEX(Personnel[Egtim durumu],$K90),"")</f>
        <v>Dil egitimi tamamlandi sinavdan gecti</v>
      </c>
      <c r="H90" s="41" t="str">
        <f>IFERROR(INDEX(Personnel[Shohruh Not],$K90),"")</f>
        <v>-</v>
      </c>
      <c r="I90" s="42">
        <f ca="1">IFERROR(INDEX(Personnel[Дней в РФ],$K90),"")</f>
        <v>113</v>
      </c>
      <c r="K90" s="23">
        <f t="array" ref="K90">IFERROR(_xlfn.AGGREGATE(15,6,(ROW(Personnel[Egtim durumu])-MIN(ROW(Personnel[Egtim durumu]))+1)/((Personnel[Egtim durumu]="Dil egitimi tamamlandi sinavdan gecti")),ROWS($K$7:K90)),"")</f>
        <v>112</v>
      </c>
    </row>
    <row r="91" spans="1:11" x14ac:dyDescent="0.25">
      <c r="A91" s="18">
        <f>IFERROR(INDEX(Personnel[Sicil],$K91),"")</f>
        <v>643010</v>
      </c>
      <c r="B91" s="17" t="str">
        <f>IFERROR(INDEX(Personnel[Adi Soyadi],$K91),"")</f>
        <v>Ражабов Баходир Болтабой Угли</v>
      </c>
      <c r="C91" s="18" t="str">
        <f>IFERROR(INDEX(Personnel[Vatandaslik],$K91),"")</f>
        <v>УЗБЕКИСТАН</v>
      </c>
      <c r="D91" s="18" t="str">
        <f>IFERROR(INDEX(Personnel[Santiye],$K91),"")</f>
        <v>GPP Proje</v>
      </c>
      <c r="E91" s="18" t="str">
        <f>IFERROR(INDEX(Personnel[Ogretmen],$K91),"")</f>
        <v xml:space="preserve">Ziazetdinov Arslan </v>
      </c>
      <c r="F91" s="17" t="str">
        <f>IFERROR(INDEX(Personnel[[Sinav ]],$K91),"")</f>
        <v>15.05.2026 Sineva gitti gecdi</v>
      </c>
      <c r="G91" s="17" t="str">
        <f>IFERROR(INDEX(Personnel[Egtim durumu],$K91),"")</f>
        <v>Dil egitimi tamamlandi sinavdan gecti</v>
      </c>
      <c r="H91" s="17" t="str">
        <f>IFERROR(INDEX(Personnel[Shohruh Not],$K91),"")</f>
        <v>-</v>
      </c>
      <c r="I91" s="22">
        <f ca="1">IFERROR(INDEX(Personnel[Дней в РФ],$K91),"")</f>
        <v>113</v>
      </c>
      <c r="K91" s="23">
        <f t="array" ref="K91">IFERROR(_xlfn.AGGREGATE(15,6,(ROW(Personnel[Egtim durumu])-MIN(ROW(Personnel[Egtim durumu]))+1)/((Personnel[Egtim durumu]="Dil egitimi tamamlandi sinavdan gecti")),ROWS($K$7:K91)),"")</f>
        <v>113</v>
      </c>
    </row>
    <row r="92" spans="1:11" x14ac:dyDescent="0.25">
      <c r="A92" s="40">
        <f>IFERROR(INDEX(Personnel[Sicil],$K92),"")</f>
        <v>642984</v>
      </c>
      <c r="B92" s="41" t="str">
        <f>IFERROR(INDEX(Personnel[Adi Soyadi],$K92),"")</f>
        <v>Рахмонкулов Диёрбек Абдираимович</v>
      </c>
      <c r="C92" s="40" t="str">
        <f>IFERROR(INDEX(Personnel[Vatandaslik],$K92),"")</f>
        <v>УЗБЕКИСТАН</v>
      </c>
      <c r="D92" s="40" t="str">
        <f>IFERROR(INDEX(Personnel[Santiye],$K92),"")</f>
        <v>GPP Proje</v>
      </c>
      <c r="E92" s="40" t="str">
        <f>IFERROR(INDEX(Personnel[Ogretmen],$K92),"")</f>
        <v xml:space="preserve">Ziazetdinov Arslan </v>
      </c>
      <c r="F92" s="41" t="str">
        <f>IFERROR(INDEX(Personnel[[Sinav ]],$K92),"")</f>
        <v>15.05.2026 Sineva gitti gecdi</v>
      </c>
      <c r="G92" s="41" t="str">
        <f>IFERROR(INDEX(Personnel[Egtim durumu],$K92),"")</f>
        <v>Dil egitimi tamamlandi sinavdan gecti</v>
      </c>
      <c r="H92" s="41" t="str">
        <f>IFERROR(INDEX(Personnel[Shohruh Not],$K92),"")</f>
        <v>-</v>
      </c>
      <c r="I92" s="42">
        <f ca="1">IFERROR(INDEX(Personnel[Дней в РФ],$K92),"")</f>
        <v>114</v>
      </c>
      <c r="K92" s="23">
        <f t="array" ref="K92">IFERROR(_xlfn.AGGREGATE(15,6,(ROW(Personnel[Egtim durumu])-MIN(ROW(Personnel[Egtim durumu]))+1)/((Personnel[Egtim durumu]="Dil egitimi tamamlandi sinavdan gecti")),ROWS($K$7:K92)),"")</f>
        <v>114</v>
      </c>
    </row>
    <row r="93" spans="1:11" x14ac:dyDescent="0.25">
      <c r="A93" s="18">
        <f>IFERROR(INDEX(Personnel[Sicil],$K93),"")</f>
        <v>642995</v>
      </c>
      <c r="B93" s="17" t="str">
        <f>IFERROR(INDEX(Personnel[Adi Soyadi],$K93),"")</f>
        <v>Рузимуродов Шерзод Муртоза Угли</v>
      </c>
      <c r="C93" s="18" t="str">
        <f>IFERROR(INDEX(Personnel[Vatandaslik],$K93),"")</f>
        <v>УЗБЕКИСТАН</v>
      </c>
      <c r="D93" s="18" t="str">
        <f>IFERROR(INDEX(Personnel[Santiye],$K93),"")</f>
        <v>GPP Proje</v>
      </c>
      <c r="E93" s="18" t="str">
        <f>IFERROR(INDEX(Personnel[Ogretmen],$K93),"")</f>
        <v xml:space="preserve">Ziazetdinov Arslan </v>
      </c>
      <c r="F93" s="17" t="str">
        <f>IFERROR(INDEX(Personnel[[Sinav ]],$K93),"")</f>
        <v>14.05.2026 Sineva gitti gecdi</v>
      </c>
      <c r="G93" s="17" t="str">
        <f>IFERROR(INDEX(Personnel[Egtim durumu],$K93),"")</f>
        <v>Dil egitimi tamamlandi sinavdan gecti</v>
      </c>
      <c r="H93" s="17" t="str">
        <f>IFERROR(INDEX(Personnel[Shohruh Not],$K93),"")</f>
        <v>-</v>
      </c>
      <c r="I93" s="22">
        <f ca="1">IFERROR(INDEX(Personnel[Дней в РФ],$K93),"")</f>
        <v>115</v>
      </c>
      <c r="K93" s="23">
        <f t="array" ref="K93">IFERROR(_xlfn.AGGREGATE(15,6,(ROW(Personnel[Egtim durumu])-MIN(ROW(Personnel[Egtim durumu]))+1)/((Personnel[Egtim durumu]="Dil egitimi tamamlandi sinavdan gecti")),ROWS($K$7:K93)),"")</f>
        <v>115</v>
      </c>
    </row>
    <row r="94" spans="1:11" x14ac:dyDescent="0.25">
      <c r="A94" s="40">
        <f>IFERROR(INDEX(Personnel[Sicil],$K94),"")</f>
        <v>578653</v>
      </c>
      <c r="B94" s="41" t="str">
        <f>IFERROR(INDEX(Personnel[Adi Soyadi],$K94),"")</f>
        <v>Сатимов Анвар Нурмаметович</v>
      </c>
      <c r="C94" s="40" t="str">
        <f>IFERROR(INDEX(Personnel[Vatandaslik],$K94),"")</f>
        <v>УЗБЕКИСТАН</v>
      </c>
      <c r="D94" s="40" t="str">
        <f>IFERROR(INDEX(Personnel[Santiye],$K94),"")</f>
        <v>GPP Proje</v>
      </c>
      <c r="E94" s="40" t="str">
        <f>IFERROR(INDEX(Personnel[Ogretmen],$K94),"")</f>
        <v xml:space="preserve">Ziazetdinov Arslan </v>
      </c>
      <c r="F94" s="41" t="str">
        <f>IFERROR(INDEX(Personnel[[Sinav ]],$K94),"")</f>
        <v>14.05.2026 Sineva gitti gecdi</v>
      </c>
      <c r="G94" s="41" t="str">
        <f>IFERROR(INDEX(Personnel[Egtim durumu],$K94),"")</f>
        <v>Dil egitimi tamamlandi sinavdan gecti</v>
      </c>
      <c r="H94" s="41" t="str">
        <f>IFERROR(INDEX(Personnel[Shohruh Not],$K94),"")</f>
        <v>-</v>
      </c>
      <c r="I94" s="42">
        <f ca="1">IFERROR(INDEX(Personnel[Дней в РФ],$K94),"")</f>
        <v>113</v>
      </c>
      <c r="K94" s="23">
        <f t="array" ref="K94">IFERROR(_xlfn.AGGREGATE(15,6,(ROW(Personnel[Egtim durumu])-MIN(ROW(Personnel[Egtim durumu]))+1)/((Personnel[Egtim durumu]="Dil egitimi tamamlandi sinavdan gecti")),ROWS($K$7:K94)),"")</f>
        <v>116</v>
      </c>
    </row>
    <row r="95" spans="1:11" x14ac:dyDescent="0.25">
      <c r="A95" s="18">
        <f>IFERROR(INDEX(Personnel[Sicil],$K95),"")</f>
        <v>642983</v>
      </c>
      <c r="B95" s="17" t="str">
        <f>IFERROR(INDEX(Personnel[Adi Soyadi],$K95),"")</f>
        <v>Саттаров Хасан Буриевич</v>
      </c>
      <c r="C95" s="18" t="str">
        <f>IFERROR(INDEX(Personnel[Vatandaslik],$K95),"")</f>
        <v>УЗБЕКИСТАН</v>
      </c>
      <c r="D95" s="18" t="str">
        <f>IFERROR(INDEX(Personnel[Santiye],$K95),"")</f>
        <v>GPP Proje</v>
      </c>
      <c r="E95" s="18" t="str">
        <f>IFERROR(INDEX(Personnel[Ogretmen],$K95),"")</f>
        <v>Tyulina Natalya</v>
      </c>
      <c r="F95" s="17" t="str">
        <f>IFERROR(INDEX(Personnel[[Sinav ]],$K95),"")</f>
        <v>20.05.2026 Sineva gitti gecdi</v>
      </c>
      <c r="G95" s="17" t="str">
        <f>IFERROR(INDEX(Personnel[Egtim durumu],$K95),"")</f>
        <v>Dil egitimi tamamlandi sinavdan gecti</v>
      </c>
      <c r="H95" s="17" t="str">
        <f>IFERROR(INDEX(Personnel[Shohruh Not],$K95),"")</f>
        <v>-</v>
      </c>
      <c r="I95" s="22">
        <f ca="1">IFERROR(INDEX(Personnel[Дней в РФ],$K95),"")</f>
        <v>114</v>
      </c>
      <c r="K95" s="23">
        <f t="array" ref="K95">IFERROR(_xlfn.AGGREGATE(15,6,(ROW(Personnel[Egtim durumu])-MIN(ROW(Personnel[Egtim durumu]))+1)/((Personnel[Egtim durumu]="Dil egitimi tamamlandi sinavdan gecti")),ROWS($K$7:K95)),"")</f>
        <v>117</v>
      </c>
    </row>
    <row r="96" spans="1:11" ht="25.5" x14ac:dyDescent="0.25">
      <c r="A96" s="40">
        <f>IFERROR(INDEX(Personnel[Sicil],$K96),"")</f>
        <v>642987</v>
      </c>
      <c r="B96" s="41" t="str">
        <f>IFERROR(INDEX(Personnel[Adi Soyadi],$K96),"")</f>
        <v>Тошпулатов Диёрбек Турсинпулат Угли</v>
      </c>
      <c r="C96" s="40" t="str">
        <f>IFERROR(INDEX(Personnel[Vatandaslik],$K96),"")</f>
        <v>УЗБЕКИСТАН</v>
      </c>
      <c r="D96" s="40" t="str">
        <f>IFERROR(INDEX(Personnel[Santiye],$K96),"")</f>
        <v>GPP Proje</v>
      </c>
      <c r="E96" s="40" t="str">
        <f>IFERROR(INDEX(Personnel[Ogretmen],$K96),"")</f>
        <v xml:space="preserve">Ziazetdinov Arslan </v>
      </c>
      <c r="F96" s="41" t="str">
        <f>IFERROR(INDEX(Personnel[[Sinav ]],$K96),"")</f>
        <v>15.05.2026 Sineva gitti gecdi</v>
      </c>
      <c r="G96" s="41" t="str">
        <f>IFERROR(INDEX(Personnel[Egtim durumu],$K96),"")</f>
        <v>Dil egitimi tamamlandi sinavdan gecti</v>
      </c>
      <c r="H96" s="41" t="str">
        <f>IFERROR(INDEX(Personnel[Shohruh Not],$K96),"")</f>
        <v>-</v>
      </c>
      <c r="I96" s="42">
        <f ca="1">IFERROR(INDEX(Personnel[Дней в РФ],$K96),"")</f>
        <v>114</v>
      </c>
      <c r="K96" s="23">
        <f t="array" ref="K96">IFERROR(_xlfn.AGGREGATE(15,6,(ROW(Personnel[Egtim durumu])-MIN(ROW(Personnel[Egtim durumu]))+1)/((Personnel[Egtim durumu]="Dil egitimi tamamlandi sinavdan gecti")),ROWS($K$7:K96)),"")</f>
        <v>118</v>
      </c>
    </row>
    <row r="97" spans="1:11" x14ac:dyDescent="0.25">
      <c r="A97" s="18">
        <f>IFERROR(INDEX(Personnel[Sicil],$K97),"")</f>
        <v>616089</v>
      </c>
      <c r="B97" s="17" t="str">
        <f>IFERROR(INDEX(Personnel[Adi Soyadi],$K97),"")</f>
        <v>Турамуродов Зайниддин Акмал Угли</v>
      </c>
      <c r="C97" s="18" t="str">
        <f>IFERROR(INDEX(Personnel[Vatandaslik],$K97),"")</f>
        <v>УЗБЕКИСТАН</v>
      </c>
      <c r="D97" s="18" t="str">
        <f>IFERROR(INDEX(Personnel[Santiye],$K97),"")</f>
        <v>GPP Proje</v>
      </c>
      <c r="E97" s="18" t="str">
        <f>IFERROR(INDEX(Personnel[Ogretmen],$K97),"")</f>
        <v xml:space="preserve">Ziazetdinov Arslan </v>
      </c>
      <c r="F97" s="17" t="str">
        <f>IFERROR(INDEX(Personnel[[Sinav ]],$K97),"")</f>
        <v>20.05.2026 Sineva gitti gecdi</v>
      </c>
      <c r="G97" s="17" t="str">
        <f>IFERROR(INDEX(Personnel[Egtim durumu],$K97),"")</f>
        <v>Dil egitimi tamamlandi sinavdan gecti</v>
      </c>
      <c r="H97" s="17" t="str">
        <f>IFERROR(INDEX(Personnel[Shohruh Not],$K97),"")</f>
        <v>-</v>
      </c>
      <c r="I97" s="22">
        <f ca="1">IFERROR(INDEX(Personnel[Дней в РФ],$K97),"")</f>
        <v>114</v>
      </c>
      <c r="K97" s="23">
        <f t="array" ref="K97">IFERROR(_xlfn.AGGREGATE(15,6,(ROW(Personnel[Egtim durumu])-MIN(ROW(Personnel[Egtim durumu]))+1)/((Personnel[Egtim durumu]="Dil egitimi tamamlandi sinavdan gecti")),ROWS($K$7:K97)),"")</f>
        <v>119</v>
      </c>
    </row>
    <row r="98" spans="1:11" x14ac:dyDescent="0.25">
      <c r="A98" s="40">
        <f>IFERROR(INDEX(Personnel[Sicil],$K98),"")</f>
        <v>642981</v>
      </c>
      <c r="B98" s="41" t="str">
        <f>IFERROR(INDEX(Personnel[Adi Soyadi],$K98),"")</f>
        <v>Умедиллаев Далер Сойиб Угли</v>
      </c>
      <c r="C98" s="40" t="str">
        <f>IFERROR(INDEX(Personnel[Vatandaslik],$K98),"")</f>
        <v>УЗБЕКИСТАН</v>
      </c>
      <c r="D98" s="40" t="str">
        <f>IFERROR(INDEX(Personnel[Santiye],$K98),"")</f>
        <v>GPP Proje</v>
      </c>
      <c r="E98" s="40" t="str">
        <f>IFERROR(INDEX(Personnel[Ogretmen],$K98),"")</f>
        <v xml:space="preserve">Ziazetdinov Arslan </v>
      </c>
      <c r="F98" s="41" t="str">
        <f>IFERROR(INDEX(Personnel[[Sinav ]],$K98),"")</f>
        <v>14.05.2026 Sineva gitti gecdi</v>
      </c>
      <c r="G98" s="41" t="str">
        <f>IFERROR(INDEX(Personnel[Egtim durumu],$K98),"")</f>
        <v>Dil egitimi tamamlandi sinavdan gecti</v>
      </c>
      <c r="H98" s="41" t="str">
        <f>IFERROR(INDEX(Personnel[Shohruh Not],$K98),"")</f>
        <v>-</v>
      </c>
      <c r="I98" s="42">
        <f ca="1">IFERROR(INDEX(Personnel[Дней в РФ],$K98),"")</f>
        <v>114</v>
      </c>
      <c r="K98" s="23">
        <f t="array" ref="K98">IFERROR(_xlfn.AGGREGATE(15,6,(ROW(Personnel[Egtim durumu])-MIN(ROW(Personnel[Egtim durumu]))+1)/((Personnel[Egtim durumu]="Dil egitimi tamamlandi sinavdan gecti")),ROWS($K$7:K98)),"")</f>
        <v>120</v>
      </c>
    </row>
    <row r="99" spans="1:11" x14ac:dyDescent="0.25">
      <c r="A99" s="18">
        <f>IFERROR(INDEX(Personnel[Sicil],$K99),"")</f>
        <v>643000</v>
      </c>
      <c r="B99" s="17" t="str">
        <f>IFERROR(INDEX(Personnel[Adi Soyadi],$K99),"")</f>
        <v>Уразбаев Тайир Абатович</v>
      </c>
      <c r="C99" s="18" t="str">
        <f>IFERROR(INDEX(Personnel[Vatandaslik],$K99),"")</f>
        <v>УЗБЕКИСТАН</v>
      </c>
      <c r="D99" s="18" t="str">
        <f>IFERROR(INDEX(Personnel[Santiye],$K99),"")</f>
        <v>GPP Proje</v>
      </c>
      <c r="E99" s="18" t="str">
        <f>IFERROR(INDEX(Personnel[Ogretmen],$K99),"")</f>
        <v xml:space="preserve">Ziazetdinov Arslan </v>
      </c>
      <c r="F99" s="17" t="str">
        <f>IFERROR(INDEX(Personnel[[Sinav ]],$K99),"")</f>
        <v>14.05.2026 Sineva gitti gecdi</v>
      </c>
      <c r="G99" s="17" t="str">
        <f>IFERROR(INDEX(Personnel[Egtim durumu],$K99),"")</f>
        <v>Dil egitimi tamamlandi sinavdan gecti</v>
      </c>
      <c r="H99" s="17" t="str">
        <f>IFERROR(INDEX(Personnel[Shohruh Not],$K99),"")</f>
        <v>-</v>
      </c>
      <c r="I99" s="22">
        <f ca="1">IFERROR(INDEX(Personnel[Дней в РФ],$K99),"")</f>
        <v>115</v>
      </c>
      <c r="K99" s="23">
        <f t="array" ref="K99">IFERROR(_xlfn.AGGREGATE(15,6,(ROW(Personnel[Egtim durumu])-MIN(ROW(Personnel[Egtim durumu]))+1)/((Personnel[Egtim durumu]="Dil egitimi tamamlandi sinavdan gecti")),ROWS($K$7:K99)),"")</f>
        <v>121</v>
      </c>
    </row>
    <row r="100" spans="1:11" x14ac:dyDescent="0.25">
      <c r="A100" s="40">
        <f>IFERROR(INDEX(Personnel[Sicil],$K100),"")</f>
        <v>643005</v>
      </c>
      <c r="B100" s="41" t="str">
        <f>IFERROR(INDEX(Personnel[Adi Soyadi],$K100),"")</f>
        <v>Юсупов Улмасбек Асатович</v>
      </c>
      <c r="C100" s="40" t="str">
        <f>IFERROR(INDEX(Personnel[Vatandaslik],$K100),"")</f>
        <v>УЗБЕКИСТАН</v>
      </c>
      <c r="D100" s="40" t="str">
        <f>IFERROR(INDEX(Personnel[Santiye],$K100),"")</f>
        <v>GPP Proje</v>
      </c>
      <c r="E100" s="40" t="str">
        <f>IFERROR(INDEX(Personnel[Ogretmen],$K100),"")</f>
        <v xml:space="preserve">Ziazetdinov Arslan </v>
      </c>
      <c r="F100" s="41" t="str">
        <f>IFERROR(INDEX(Personnel[[Sinav ]],$K100),"")</f>
        <v>20.05.2026 Sineva gitti gecdi</v>
      </c>
      <c r="G100" s="41" t="str">
        <f>IFERROR(INDEX(Personnel[Egtim durumu],$K100),"")</f>
        <v>Dil egitimi tamamlandi sinavdan gecti</v>
      </c>
      <c r="H100" s="41" t="str">
        <f>IFERROR(INDEX(Personnel[Shohruh Not],$K100),"")</f>
        <v>-</v>
      </c>
      <c r="I100" s="42">
        <f ca="1">IFERROR(INDEX(Personnel[Дней в РФ],$K100),"")</f>
        <v>114</v>
      </c>
      <c r="K100" s="23">
        <f t="array" ref="K100">IFERROR(_xlfn.AGGREGATE(15,6,(ROW(Personnel[Egtim durumu])-MIN(ROW(Personnel[Egtim durumu]))+1)/((Personnel[Egtim durumu]="Dil egitimi tamamlandi sinavdan gecti")),ROWS($K$7:K100)),"")</f>
        <v>122</v>
      </c>
    </row>
    <row r="101" spans="1:11" x14ac:dyDescent="0.25">
      <c r="A101" s="18">
        <f>IFERROR(INDEX(Personnel[Sicil],$K101),"")</f>
        <v>617846</v>
      </c>
      <c r="B101" s="17" t="str">
        <f>IFERROR(INDEX(Personnel[Adi Soyadi],$K101),"")</f>
        <v>Зиятов Алишер Юлдош Угли</v>
      </c>
      <c r="C101" s="18" t="str">
        <f>IFERROR(INDEX(Personnel[Vatandaslik],$K101),"")</f>
        <v>УЗБЕКИСТАН</v>
      </c>
      <c r="D101" s="18" t="str">
        <f>IFERROR(INDEX(Personnel[Santiye],$K101),"")</f>
        <v>GPP Proje</v>
      </c>
      <c r="E101" s="18" t="str">
        <f>IFERROR(INDEX(Personnel[Ogretmen],$K101),"")</f>
        <v xml:space="preserve">Ziazetdinov Arslan </v>
      </c>
      <c r="F101" s="17" t="str">
        <f>IFERROR(INDEX(Personnel[[Sinav ]],$K101),"")</f>
        <v>14.05.2026 Sineva gitti gecdi</v>
      </c>
      <c r="G101" s="17" t="str">
        <f>IFERROR(INDEX(Personnel[Egtim durumu],$K101),"")</f>
        <v>Dil egitimi tamamlandi sinavdan gecti</v>
      </c>
      <c r="H101" s="17" t="str">
        <f>IFERROR(INDEX(Personnel[Shohruh Not],$K101),"")</f>
        <v>-</v>
      </c>
      <c r="I101" s="22">
        <f ca="1">IFERROR(INDEX(Personnel[Дней в РФ],$K101),"")</f>
        <v>116</v>
      </c>
      <c r="K101" s="23">
        <f t="array" ref="K101">IFERROR(_xlfn.AGGREGATE(15,6,(ROW(Personnel[Egtim durumu])-MIN(ROW(Personnel[Egtim durumu]))+1)/((Personnel[Egtim durumu]="Dil egitimi tamamlandi sinavdan gecti")),ROWS($K$7:K101)),"")</f>
        <v>123</v>
      </c>
    </row>
    <row r="102" spans="1:11" x14ac:dyDescent="0.25">
      <c r="A102" s="40">
        <f>IFERROR(INDEX(Personnel[Sicil],$K102),"")</f>
        <v>503055</v>
      </c>
      <c r="B102" s="41" t="str">
        <f>IFERROR(INDEX(Personnel[Adi Soyadi],$K102),"")</f>
        <v>Абдиманнонов Мансур Бурибоевич</v>
      </c>
      <c r="C102" s="40" t="str">
        <f>IFERROR(INDEX(Personnel[Vatandaslik],$K102),"")</f>
        <v>УЗБЕКИСТАН</v>
      </c>
      <c r="D102" s="40" t="str">
        <f>IFERROR(INDEX(Personnel[Santiye],$K102),"")</f>
        <v>GPP Proje</v>
      </c>
      <c r="E102" s="40" t="str">
        <f>IFERROR(INDEX(Personnel[Ogretmen],$K102),"")</f>
        <v xml:space="preserve">Ziazetdinov Arslan </v>
      </c>
      <c r="F102" s="41" t="str">
        <f>IFERROR(INDEX(Personnel[[Sinav ]],$K102),"")</f>
        <v>15.05.2026 Sineva gitti gecdi</v>
      </c>
      <c r="G102" s="41" t="str">
        <f>IFERROR(INDEX(Personnel[Egtim durumu],$K102),"")</f>
        <v>Dil egitimi tamamlandi sinavdan gecti</v>
      </c>
      <c r="H102" s="41" t="str">
        <f>IFERROR(INDEX(Personnel[Shohruh Not],$K102),"")</f>
        <v>-</v>
      </c>
      <c r="I102" s="42">
        <f ca="1">IFERROR(INDEX(Personnel[Дней в РФ],$K102),"")</f>
        <v>110</v>
      </c>
      <c r="K102" s="23">
        <f t="array" ref="K102">IFERROR(_xlfn.AGGREGATE(15,6,(ROW(Personnel[Egtim durumu])-MIN(ROW(Personnel[Egtim durumu]))+1)/((Personnel[Egtim durumu]="Dil egitimi tamamlandi sinavdan gecti")),ROWS($K$7:K102)),"")</f>
        <v>124</v>
      </c>
    </row>
    <row r="103" spans="1:11" x14ac:dyDescent="0.25">
      <c r="A103" s="18">
        <f>IFERROR(INDEX(Personnel[Sicil],$K103),"")</f>
        <v>643209</v>
      </c>
      <c r="B103" s="17" t="str">
        <f>IFERROR(INDEX(Personnel[Adi Soyadi],$K103),"")</f>
        <v>Абдумуродов Кодиржон Бахром Угли</v>
      </c>
      <c r="C103" s="18" t="str">
        <f>IFERROR(INDEX(Personnel[Vatandaslik],$K103),"")</f>
        <v>УЗБЕКИСТАН</v>
      </c>
      <c r="D103" s="18" t="str">
        <f>IFERROR(INDEX(Personnel[Santiye],$K103),"")</f>
        <v>GPP Proje</v>
      </c>
      <c r="E103" s="18" t="str">
        <f>IFERROR(INDEX(Personnel[Ogretmen],$K103),"")</f>
        <v>Tyulina Natalya</v>
      </c>
      <c r="F103" s="17" t="str">
        <f>IFERROR(INDEX(Personnel[[Sinav ]],$K103),"")</f>
        <v>20.05.2026 Sineva gitti gecdi</v>
      </c>
      <c r="G103" s="17" t="str">
        <f>IFERROR(INDEX(Personnel[Egtim durumu],$K103),"")</f>
        <v>Dil egitimi tamamlandi sinavdan gecti</v>
      </c>
      <c r="H103" s="17" t="str">
        <f>IFERROR(INDEX(Personnel[Shohruh Not],$K103),"")</f>
        <v>-</v>
      </c>
      <c r="I103" s="22">
        <f ca="1">IFERROR(INDEX(Personnel[Дней в РФ],$K103),"")</f>
        <v>109</v>
      </c>
      <c r="K103" s="23">
        <f t="array" ref="K103">IFERROR(_xlfn.AGGREGATE(15,6,(ROW(Personnel[Egtim durumu])-MIN(ROW(Personnel[Egtim durumu]))+1)/((Personnel[Egtim durumu]="Dil egitimi tamamlandi sinavdan gecti")),ROWS($K$7:K103)),"")</f>
        <v>126</v>
      </c>
    </row>
    <row r="104" spans="1:11" x14ac:dyDescent="0.25">
      <c r="A104" s="40">
        <f>IFERROR(INDEX(Personnel[Sicil],$K104),"")</f>
        <v>643196</v>
      </c>
      <c r="B104" s="41" t="str">
        <f>IFERROR(INDEX(Personnel[Adi Soyadi],$K104),"")</f>
        <v>Бозоров Махмуд Исмоил Угли</v>
      </c>
      <c r="C104" s="40" t="str">
        <f>IFERROR(INDEX(Personnel[Vatandaslik],$K104),"")</f>
        <v>УЗБЕКИСТАН</v>
      </c>
      <c r="D104" s="40" t="str">
        <f>IFERROR(INDEX(Personnel[Santiye],$K104),"")</f>
        <v>GPP Proje</v>
      </c>
      <c r="E104" s="40" t="str">
        <f>IFERROR(INDEX(Personnel[Ogretmen],$K104),"")</f>
        <v xml:space="preserve">Ziazetdinov Arslan </v>
      </c>
      <c r="F104" s="41" t="str">
        <f>IFERROR(INDEX(Personnel[[Sinav ]],$K104),"")</f>
        <v>15.05.2026 Sineva gitti gecdi</v>
      </c>
      <c r="G104" s="41" t="str">
        <f>IFERROR(INDEX(Personnel[Egtim durumu],$K104),"")</f>
        <v>Dil egitimi tamamlandi sinavdan gecti</v>
      </c>
      <c r="H104" s="41" t="str">
        <f>IFERROR(INDEX(Personnel[Shohruh Not],$K104),"")</f>
        <v>-</v>
      </c>
      <c r="I104" s="42">
        <f ca="1">IFERROR(INDEX(Personnel[Дней в РФ],$K104),"")</f>
        <v>111</v>
      </c>
      <c r="K104" s="23">
        <f t="array" ref="K104">IFERROR(_xlfn.AGGREGATE(15,6,(ROW(Personnel[Egtim durumu])-MIN(ROW(Personnel[Egtim durumu]))+1)/((Personnel[Egtim durumu]="Dil egitimi tamamlandi sinavdan gecti")),ROWS($K$7:K104)),"")</f>
        <v>127</v>
      </c>
    </row>
    <row r="105" spans="1:11" ht="25.5" x14ac:dyDescent="0.25">
      <c r="A105" s="18">
        <f>IFERROR(INDEX(Personnel[Sicil],$K105),"")</f>
        <v>464787</v>
      </c>
      <c r="B105" s="17" t="str">
        <f>IFERROR(INDEX(Personnel[Adi Soyadi],$K105),"")</f>
        <v>Джуманиязов Азимбай Базарбаевич</v>
      </c>
      <c r="C105" s="18" t="str">
        <f>IFERROR(INDEX(Personnel[Vatandaslik],$K105),"")</f>
        <v>УЗБЕКИСТАН</v>
      </c>
      <c r="D105" s="18" t="str">
        <f>IFERROR(INDEX(Personnel[Santiye],$K105),"")</f>
        <v>GPP Proje</v>
      </c>
      <c r="E105" s="18" t="str">
        <f>IFERROR(INDEX(Personnel[Ogretmen],$K105),"")</f>
        <v xml:space="preserve">Ziazetdinov Arslan </v>
      </c>
      <c r="F105" s="17" t="str">
        <f>IFERROR(INDEX(Personnel[[Sinav ]],$K105),"")</f>
        <v>15.05.2026 Sineva gitti gecemedi /19.05.2026 Sineva gitti gecdi</v>
      </c>
      <c r="G105" s="17" t="str">
        <f>IFERROR(INDEX(Personnel[Egtim durumu],$K105),"")</f>
        <v>Dil egitimi tamamlandi sinavdan gecti</v>
      </c>
      <c r="H105" s="17" t="str">
        <f>IFERROR(INDEX(Personnel[Shohruh Not],$K105),"")</f>
        <v>-</v>
      </c>
      <c r="I105" s="22">
        <f ca="1">IFERROR(INDEX(Personnel[Дней в РФ],$K105),"")</f>
        <v>112</v>
      </c>
      <c r="K105" s="23">
        <f t="array" ref="K105">IFERROR(_xlfn.AGGREGATE(15,6,(ROW(Personnel[Egtim durumu])-MIN(ROW(Personnel[Egtim durumu]))+1)/((Personnel[Egtim durumu]="Dil egitimi tamamlandi sinavdan gecti")),ROWS($K$7:K105)),"")</f>
        <v>129</v>
      </c>
    </row>
    <row r="106" spans="1:11" ht="25.5" x14ac:dyDescent="0.25">
      <c r="A106" s="40">
        <f>IFERROR(INDEX(Personnel[Sicil],$K106),"")</f>
        <v>643204</v>
      </c>
      <c r="B106" s="41" t="str">
        <f>IFERROR(INDEX(Personnel[Adi Soyadi],$K106),"")</f>
        <v>Жонузаков Мухаммадали Хуснидинович</v>
      </c>
      <c r="C106" s="40" t="str">
        <f>IFERROR(INDEX(Personnel[Vatandaslik],$K106),"")</f>
        <v>УЗБЕКИСТАН</v>
      </c>
      <c r="D106" s="40" t="str">
        <f>IFERROR(INDEX(Personnel[Santiye],$K106),"")</f>
        <v>GPP Proje</v>
      </c>
      <c r="E106" s="40" t="str">
        <f>IFERROR(INDEX(Personnel[Ogretmen],$K106),"")</f>
        <v>Tyulina Natalya</v>
      </c>
      <c r="F106" s="41" t="str">
        <f>IFERROR(INDEX(Personnel[[Sinav ]],$K106),"")</f>
        <v>20.05.2026 Sineva gitti gecdi</v>
      </c>
      <c r="G106" s="41" t="str">
        <f>IFERROR(INDEX(Personnel[Egtim durumu],$K106),"")</f>
        <v>Dil egitimi tamamlandi sinavdan gecti</v>
      </c>
      <c r="H106" s="41" t="str">
        <f>IFERROR(INDEX(Personnel[Shohruh Not],$K106),"")</f>
        <v>-</v>
      </c>
      <c r="I106" s="42">
        <f ca="1">IFERROR(INDEX(Personnel[Дней в РФ],$K106),"")</f>
        <v>109</v>
      </c>
      <c r="K106" s="23">
        <f t="array" ref="K106">IFERROR(_xlfn.AGGREGATE(15,6,(ROW(Personnel[Egtim durumu])-MIN(ROW(Personnel[Egtim durumu]))+1)/((Personnel[Egtim durumu]="Dil egitimi tamamlandi sinavdan gecti")),ROWS($K$7:K106)),"")</f>
        <v>130</v>
      </c>
    </row>
    <row r="107" spans="1:11" x14ac:dyDescent="0.25">
      <c r="A107" s="18">
        <f>IFERROR(INDEX(Personnel[Sicil],$K107),"")</f>
        <v>643252</v>
      </c>
      <c r="B107" s="17" t="str">
        <f>IFERROR(INDEX(Personnel[Adi Soyadi],$K107),"")</f>
        <v>Жумаев Жахонгир Чори Угли</v>
      </c>
      <c r="C107" s="18" t="str">
        <f>IFERROR(INDEX(Personnel[Vatandaslik],$K107),"")</f>
        <v>УЗБЕКИСТАН</v>
      </c>
      <c r="D107" s="18" t="str">
        <f>IFERROR(INDEX(Personnel[Santiye],$K107),"")</f>
        <v>GPP Proje</v>
      </c>
      <c r="E107" s="18" t="str">
        <f>IFERROR(INDEX(Personnel[Ogretmen],$K107),"")</f>
        <v>Tyulina Natalya</v>
      </c>
      <c r="F107" s="17" t="str">
        <f>IFERROR(INDEX(Personnel[[Sinav ]],$K107),"")</f>
        <v>20.05.2026 Sineva gitti gecdi</v>
      </c>
      <c r="G107" s="17" t="str">
        <f>IFERROR(INDEX(Personnel[Egtim durumu],$K107),"")</f>
        <v>Dil egitimi tamamlandi sinavdan gecti</v>
      </c>
      <c r="H107" s="17" t="str">
        <f>IFERROR(INDEX(Personnel[Shohruh Not],$K107),"")</f>
        <v>-</v>
      </c>
      <c r="I107" s="22">
        <f ca="1">IFERROR(INDEX(Personnel[Дней в РФ],$K107),"")</f>
        <v>109</v>
      </c>
      <c r="K107" s="23">
        <f t="array" ref="K107">IFERROR(_xlfn.AGGREGATE(15,6,(ROW(Personnel[Egtim durumu])-MIN(ROW(Personnel[Egtim durumu]))+1)/((Personnel[Egtim durumu]="Dil egitimi tamamlandi sinavdan gecti")),ROWS($K$7:K107)),"")</f>
        <v>131</v>
      </c>
    </row>
    <row r="108" spans="1:11" x14ac:dyDescent="0.25">
      <c r="A108" s="40">
        <f>IFERROR(INDEX(Personnel[Sicil],$K108),"")</f>
        <v>643062</v>
      </c>
      <c r="B108" s="41" t="str">
        <f>IFERROR(INDEX(Personnel[Adi Soyadi],$K108),"")</f>
        <v>Журакулов Темир Абдаким Угли</v>
      </c>
      <c r="C108" s="40" t="str">
        <f>IFERROR(INDEX(Personnel[Vatandaslik],$K108),"")</f>
        <v>УЗБЕКИСТАН</v>
      </c>
      <c r="D108" s="40" t="str">
        <f>IFERROR(INDEX(Personnel[Santiye],$K108),"")</f>
        <v>GPP Proje</v>
      </c>
      <c r="E108" s="40" t="str">
        <f>IFERROR(INDEX(Personnel[Ogretmen],$K108),"")</f>
        <v xml:space="preserve">Ziazetdinov Arslan </v>
      </c>
      <c r="F108" s="41" t="str">
        <f>IFERROR(INDEX(Personnel[[Sinav ]],$K108),"")</f>
        <v>15.05.2026 Sineva gitti gecdi</v>
      </c>
      <c r="G108" s="41" t="str">
        <f>IFERROR(INDEX(Personnel[Egtim durumu],$K108),"")</f>
        <v>Dil egitimi tamamlandi sinavdan gecti</v>
      </c>
      <c r="H108" s="41" t="str">
        <f>IFERROR(INDEX(Personnel[Shohruh Not],$K108),"")</f>
        <v>-</v>
      </c>
      <c r="I108" s="42">
        <f ca="1">IFERROR(INDEX(Personnel[Дней в РФ],$K108),"")</f>
        <v>112</v>
      </c>
      <c r="K108" s="23">
        <f t="array" ref="K108">IFERROR(_xlfn.AGGREGATE(15,6,(ROW(Personnel[Egtim durumu])-MIN(ROW(Personnel[Egtim durumu]))+1)/((Personnel[Egtim durumu]="Dil egitimi tamamlandi sinavdan gecti")),ROWS($K$7:K108)),"")</f>
        <v>132</v>
      </c>
    </row>
    <row r="109" spans="1:11" x14ac:dyDescent="0.25">
      <c r="A109" s="18">
        <f>IFERROR(INDEX(Personnel[Sicil],$K109),"")</f>
        <v>643203</v>
      </c>
      <c r="B109" s="17" t="str">
        <f>IFERROR(INDEX(Personnel[Adi Soyadi],$K109),"")</f>
        <v xml:space="preserve">Келдиёров Шерзод Фахриддин Угли </v>
      </c>
      <c r="C109" s="18" t="str">
        <f>IFERROR(INDEX(Personnel[Vatandaslik],$K109),"")</f>
        <v>УЗБЕКИСТАН</v>
      </c>
      <c r="D109" s="18" t="str">
        <f>IFERROR(INDEX(Personnel[Santiye],$K109),"")</f>
        <v>GPP Proje</v>
      </c>
      <c r="E109" s="18" t="str">
        <f>IFERROR(INDEX(Personnel[Ogretmen],$K109),"")</f>
        <v xml:space="preserve">Ziazetdinov Arslan </v>
      </c>
      <c r="F109" s="17" t="str">
        <f>IFERROR(INDEX(Personnel[[Sinav ]],$K109),"")</f>
        <v>20.05.2026 Sineva gitti gecdi</v>
      </c>
      <c r="G109" s="17" t="str">
        <f>IFERROR(INDEX(Personnel[Egtim durumu],$K109),"")</f>
        <v>Dil egitimi tamamlandi sinavdan gecti</v>
      </c>
      <c r="H109" s="17" t="str">
        <f>IFERROR(INDEX(Personnel[Shohruh Not],$K109),"")</f>
        <v>-</v>
      </c>
      <c r="I109" s="22">
        <f ca="1">IFERROR(INDEX(Personnel[Дней в РФ],$K109),"")</f>
        <v>110</v>
      </c>
      <c r="K109" s="23">
        <f t="array" ref="K109">IFERROR(_xlfn.AGGREGATE(15,6,(ROW(Personnel[Egtim durumu])-MIN(ROW(Personnel[Egtim durumu]))+1)/((Personnel[Egtim durumu]="Dil egitimi tamamlandi sinavdan gecti")),ROWS($K$7:K109)),"")</f>
        <v>133</v>
      </c>
    </row>
    <row r="110" spans="1:11" x14ac:dyDescent="0.25">
      <c r="A110" s="40">
        <f>IFERROR(INDEX(Personnel[Sicil],$K110),"")</f>
        <v>620542</v>
      </c>
      <c r="B110" s="41" t="str">
        <f>IFERROR(INDEX(Personnel[Adi Soyadi],$K110),"")</f>
        <v>Кодиров Хуршид Рашидович</v>
      </c>
      <c r="C110" s="40" t="str">
        <f>IFERROR(INDEX(Personnel[Vatandaslik],$K110),"")</f>
        <v>УЗБЕКИСТАН</v>
      </c>
      <c r="D110" s="40" t="str">
        <f>IFERROR(INDEX(Personnel[Santiye],$K110),"")</f>
        <v>GPP Proje</v>
      </c>
      <c r="E110" s="40" t="str">
        <f>IFERROR(INDEX(Personnel[Ogretmen],$K110),"")</f>
        <v>Tyulina Natalya</v>
      </c>
      <c r="F110" s="41" t="str">
        <f>IFERROR(INDEX(Personnel[[Sinav ]],$K110),"")</f>
        <v>20.05.2026 Sineva gitti gecdi</v>
      </c>
      <c r="G110" s="41" t="str">
        <f>IFERROR(INDEX(Personnel[Egtim durumu],$K110),"")</f>
        <v>Dil egitimi tamamlandi sinavdan gecti</v>
      </c>
      <c r="H110" s="41" t="str">
        <f>IFERROR(INDEX(Personnel[Shohruh Not],$K110),"")</f>
        <v>-</v>
      </c>
      <c r="I110" s="42">
        <f ca="1">IFERROR(INDEX(Personnel[Дней в РФ],$K110),"")</f>
        <v>110</v>
      </c>
      <c r="K110" s="23">
        <f t="array" ref="K110">IFERROR(_xlfn.AGGREGATE(15,6,(ROW(Personnel[Egtim durumu])-MIN(ROW(Personnel[Egtim durumu]))+1)/((Personnel[Egtim durumu]="Dil egitimi tamamlandi sinavdan gecti")),ROWS($K$7:K110)),"")</f>
        <v>134</v>
      </c>
    </row>
    <row r="111" spans="1:11" x14ac:dyDescent="0.25">
      <c r="A111" s="18">
        <f>IFERROR(INDEX(Personnel[Sicil],$K111),"")</f>
        <v>595991</v>
      </c>
      <c r="B111" s="17" t="str">
        <f>IFERROR(INDEX(Personnel[Adi Soyadi],$K111),"")</f>
        <v>Кулдошев Умиджон Тошмирзаевич</v>
      </c>
      <c r="C111" s="18" t="str">
        <f>IFERROR(INDEX(Personnel[Vatandaslik],$K111),"")</f>
        <v>УЗБЕКИСТАН</v>
      </c>
      <c r="D111" s="18" t="str">
        <f>IFERROR(INDEX(Personnel[Santiye],$K111),"")</f>
        <v>GPP Proje</v>
      </c>
      <c r="E111" s="18" t="str">
        <f>IFERROR(INDEX(Personnel[Ogretmen],$K111),"")</f>
        <v>Tyulina Natalya</v>
      </c>
      <c r="F111" s="17" t="str">
        <f>IFERROR(INDEX(Personnel[[Sinav ]],$K111),"")</f>
        <v>20.05.2026 Sineva gitti gecdi</v>
      </c>
      <c r="G111" s="17" t="str">
        <f>IFERROR(INDEX(Personnel[Egtim durumu],$K111),"")</f>
        <v>Dil egitimi tamamlandi sinavdan gecti</v>
      </c>
      <c r="H111" s="17" t="str">
        <f>IFERROR(INDEX(Personnel[Shohruh Not],$K111),"")</f>
        <v>-</v>
      </c>
      <c r="I111" s="22">
        <f ca="1">IFERROR(INDEX(Personnel[Дней в РФ],$K111),"")</f>
        <v>109</v>
      </c>
      <c r="K111" s="23">
        <f t="array" ref="K111">IFERROR(_xlfn.AGGREGATE(15,6,(ROW(Personnel[Egtim durumu])-MIN(ROW(Personnel[Egtim durumu]))+1)/((Personnel[Egtim durumu]="Dil egitimi tamamlandi sinavdan gecti")),ROWS($K$7:K111)),"")</f>
        <v>135</v>
      </c>
    </row>
    <row r="112" spans="1:11" x14ac:dyDescent="0.25">
      <c r="A112" s="40">
        <f>IFERROR(INDEX(Personnel[Sicil],$K112),"")</f>
        <v>643214</v>
      </c>
      <c r="B112" s="41" t="str">
        <f>IFERROR(INDEX(Personnel[Adi Soyadi],$K112),"")</f>
        <v>Култаев Аваз Нурбоевич</v>
      </c>
      <c r="C112" s="40" t="str">
        <f>IFERROR(INDEX(Personnel[Vatandaslik],$K112),"")</f>
        <v>УЗБЕКИСТАН</v>
      </c>
      <c r="D112" s="40" t="str">
        <f>IFERROR(INDEX(Personnel[Santiye],$K112),"")</f>
        <v>GPP Proje</v>
      </c>
      <c r="E112" s="40" t="str">
        <f>IFERROR(INDEX(Personnel[Ogretmen],$K112),"")</f>
        <v>Tyulina Natalya</v>
      </c>
      <c r="F112" s="41" t="str">
        <f>IFERROR(INDEX(Personnel[[Sinav ]],$K112),"")</f>
        <v>20.05.2026 Sineva gitti gecdi</v>
      </c>
      <c r="G112" s="41" t="str">
        <f>IFERROR(INDEX(Personnel[Egtim durumu],$K112),"")</f>
        <v>Dil egitimi tamamlandi sinavdan gecti</v>
      </c>
      <c r="H112" s="41" t="str">
        <f>IFERROR(INDEX(Personnel[Shohruh Not],$K112),"")</f>
        <v>-</v>
      </c>
      <c r="I112" s="42">
        <f ca="1">IFERROR(INDEX(Personnel[Дней в РФ],$K112),"")</f>
        <v>109</v>
      </c>
      <c r="K112" s="23">
        <f t="array" ref="K112">IFERROR(_xlfn.AGGREGATE(15,6,(ROW(Personnel[Egtim durumu])-MIN(ROW(Personnel[Egtim durumu]))+1)/((Personnel[Egtim durumu]="Dil egitimi tamamlandi sinavdan gecti")),ROWS($K$7:K112)),"")</f>
        <v>136</v>
      </c>
    </row>
    <row r="113" spans="1:11" x14ac:dyDescent="0.25">
      <c r="A113" s="18">
        <f>IFERROR(INDEX(Personnel[Sicil],$K113),"")</f>
        <v>643092</v>
      </c>
      <c r="B113" s="17" t="str">
        <f>IFERROR(INDEX(Personnel[Adi Soyadi],$K113),"")</f>
        <v>Лапасов Шавкат Хурсанович</v>
      </c>
      <c r="C113" s="18" t="str">
        <f>IFERROR(INDEX(Personnel[Vatandaslik],$K113),"")</f>
        <v>УЗБЕКИСТАН</v>
      </c>
      <c r="D113" s="18" t="str">
        <f>IFERROR(INDEX(Personnel[Santiye],$K113),"")</f>
        <v>GPP Proje</v>
      </c>
      <c r="E113" s="18" t="str">
        <f>IFERROR(INDEX(Personnel[Ogretmen],$K113),"")</f>
        <v xml:space="preserve">Ziazetdinov Arslan </v>
      </c>
      <c r="F113" s="17" t="str">
        <f>IFERROR(INDEX(Personnel[[Sinav ]],$K113),"")</f>
        <v>15.05.2026 Sineva gitti gecdi</v>
      </c>
      <c r="G113" s="17" t="str">
        <f>IFERROR(INDEX(Personnel[Egtim durumu],$K113),"")</f>
        <v>Dil egitimi tamamlandi sinavdan gecti</v>
      </c>
      <c r="H113" s="17" t="str">
        <f>IFERROR(INDEX(Personnel[Shohruh Not],$K113),"")</f>
        <v>-</v>
      </c>
      <c r="I113" s="22">
        <f ca="1">IFERROR(INDEX(Personnel[Дней в РФ],$K113),"")</f>
        <v>111</v>
      </c>
      <c r="K113" s="23">
        <f t="array" ref="K113">IFERROR(_xlfn.AGGREGATE(15,6,(ROW(Personnel[Egtim durumu])-MIN(ROW(Personnel[Egtim durumu]))+1)/((Personnel[Egtim durumu]="Dil egitimi tamamlandi sinavdan gecti")),ROWS($K$7:K113)),"")</f>
        <v>137</v>
      </c>
    </row>
    <row r="114" spans="1:11" x14ac:dyDescent="0.25">
      <c r="A114" s="40">
        <f>IFERROR(INDEX(Personnel[Sicil],$K114),"")</f>
        <v>643071</v>
      </c>
      <c r="B114" s="41" t="str">
        <f>IFERROR(INDEX(Personnel[Adi Soyadi],$K114),"")</f>
        <v>Мавлонов Акбар Жонтой-Аминович</v>
      </c>
      <c r="C114" s="40" t="str">
        <f>IFERROR(INDEX(Personnel[Vatandaslik],$K114),"")</f>
        <v>УЗБЕКИСТАН</v>
      </c>
      <c r="D114" s="40" t="str">
        <f>IFERROR(INDEX(Personnel[Santiye],$K114),"")</f>
        <v>GPP Proje</v>
      </c>
      <c r="E114" s="40" t="str">
        <f>IFERROR(INDEX(Personnel[Ogretmen],$K114),"")</f>
        <v xml:space="preserve">Ziazetdinov Arslan </v>
      </c>
      <c r="F114" s="41" t="str">
        <f>IFERROR(INDEX(Personnel[[Sinav ]],$K114),"")</f>
        <v>15.05.2026 Sineva gitti gecdi</v>
      </c>
      <c r="G114" s="41" t="str">
        <f>IFERROR(INDEX(Personnel[Egtim durumu],$K114),"")</f>
        <v>Dil egitimi tamamlandi sinavdan gecti</v>
      </c>
      <c r="H114" s="41" t="str">
        <f>IFERROR(INDEX(Personnel[Shohruh Not],$K114),"")</f>
        <v>-</v>
      </c>
      <c r="I114" s="42">
        <f ca="1">IFERROR(INDEX(Personnel[Дней в РФ],$K114),"")</f>
        <v>112</v>
      </c>
      <c r="K114" s="23">
        <f t="array" ref="K114">IFERROR(_xlfn.AGGREGATE(15,6,(ROW(Personnel[Egtim durumu])-MIN(ROW(Personnel[Egtim durumu]))+1)/((Personnel[Egtim durumu]="Dil egitimi tamamlandi sinavdan gecti")),ROWS($K$7:K114)),"")</f>
        <v>138</v>
      </c>
    </row>
    <row r="115" spans="1:11" x14ac:dyDescent="0.25">
      <c r="A115" s="18">
        <f>IFERROR(INDEX(Personnel[Sicil],$K115),"")</f>
        <v>643057</v>
      </c>
      <c r="B115" s="17" t="str">
        <f>IFERROR(INDEX(Personnel[Adi Soyadi],$K115),"")</f>
        <v>Муратов Нурали Улашович</v>
      </c>
      <c r="C115" s="18" t="str">
        <f>IFERROR(INDEX(Personnel[Vatandaslik],$K115),"")</f>
        <v>УЗБЕКИСТАН</v>
      </c>
      <c r="D115" s="18" t="str">
        <f>IFERROR(INDEX(Personnel[Santiye],$K115),"")</f>
        <v>GPP Proje</v>
      </c>
      <c r="E115" s="18" t="str">
        <f>IFERROR(INDEX(Personnel[Ogretmen],$K115),"")</f>
        <v xml:space="preserve">Ziazetdinov Arslan </v>
      </c>
      <c r="F115" s="17" t="str">
        <f>IFERROR(INDEX(Personnel[[Sinav ]],$K115),"")</f>
        <v>19.05.2026 Sineva gitti gecdi</v>
      </c>
      <c r="G115" s="17" t="str">
        <f>IFERROR(INDEX(Personnel[Egtim durumu],$K115),"")</f>
        <v>Dil egitimi tamamlandi sinavdan gecti</v>
      </c>
      <c r="H115" s="17" t="str">
        <f>IFERROR(INDEX(Personnel[Shohruh Not],$K115),"")</f>
        <v>-</v>
      </c>
      <c r="I115" s="22">
        <f ca="1">IFERROR(INDEX(Personnel[Дней в РФ],$K115),"")</f>
        <v>112</v>
      </c>
      <c r="K115" s="23">
        <f t="array" ref="K115">IFERROR(_xlfn.AGGREGATE(15,6,(ROW(Personnel[Egtim durumu])-MIN(ROW(Personnel[Egtim durumu]))+1)/((Personnel[Egtim durumu]="Dil egitimi tamamlandi sinavdan gecti")),ROWS($K$7:K115)),"")</f>
        <v>139</v>
      </c>
    </row>
    <row r="116" spans="1:11" x14ac:dyDescent="0.25">
      <c r="A116" s="40">
        <f>IFERROR(INDEX(Personnel[Sicil],$K116),"")</f>
        <v>643073</v>
      </c>
      <c r="B116" s="41" t="str">
        <f>IFERROR(INDEX(Personnel[Adi Soyadi],$K116),"")</f>
        <v>Назаров Закир Генжебаевич</v>
      </c>
      <c r="C116" s="40" t="str">
        <f>IFERROR(INDEX(Personnel[Vatandaslik],$K116),"")</f>
        <v>УЗБЕКИСТАН</v>
      </c>
      <c r="D116" s="40" t="str">
        <f>IFERROR(INDEX(Personnel[Santiye],$K116),"")</f>
        <v>GPP Proje</v>
      </c>
      <c r="E116" s="40" t="str">
        <f>IFERROR(INDEX(Personnel[Ogretmen],$K116),"")</f>
        <v xml:space="preserve">Ziazetdinov Arslan </v>
      </c>
      <c r="F116" s="41" t="str">
        <f>IFERROR(INDEX(Personnel[[Sinav ]],$K116),"")</f>
        <v>15.05.2026 Sineva gitti gecdi</v>
      </c>
      <c r="G116" s="41" t="str">
        <f>IFERROR(INDEX(Personnel[Egtim durumu],$K116),"")</f>
        <v>Dil egitimi tamamlandi sinavdan gecti</v>
      </c>
      <c r="H116" s="41" t="str">
        <f>IFERROR(INDEX(Personnel[Shohruh Not],$K116),"")</f>
        <v>-</v>
      </c>
      <c r="I116" s="42">
        <f ca="1">IFERROR(INDEX(Personnel[Дней в РФ],$K116),"")</f>
        <v>112</v>
      </c>
      <c r="K116" s="23">
        <f t="array" ref="K116">IFERROR(_xlfn.AGGREGATE(15,6,(ROW(Personnel[Egtim durumu])-MIN(ROW(Personnel[Egtim durumu]))+1)/((Personnel[Egtim durumu]="Dil egitimi tamamlandi sinavdan gecti")),ROWS($K$7:K116)),"")</f>
        <v>140</v>
      </c>
    </row>
    <row r="117" spans="1:11" x14ac:dyDescent="0.25">
      <c r="A117" s="18">
        <f>IFERROR(INDEX(Personnel[Sicil],$K117),"")</f>
        <v>431141</v>
      </c>
      <c r="B117" s="17" t="str">
        <f>IFERROR(INDEX(Personnel[Adi Soyadi],$K117),"")</f>
        <v>Одамов Нурбек Отахон угли</v>
      </c>
      <c r="C117" s="18" t="str">
        <f>IFERROR(INDEX(Personnel[Vatandaslik],$K117),"")</f>
        <v>УЗБЕКИСТАН</v>
      </c>
      <c r="D117" s="18" t="str">
        <f>IFERROR(INDEX(Personnel[Santiye],$K117),"")</f>
        <v>GPP Proje</v>
      </c>
      <c r="E117" s="18" t="str">
        <f>IFERROR(INDEX(Personnel[Ogretmen],$K117),"")</f>
        <v xml:space="preserve">Ziazetdinov Arslan </v>
      </c>
      <c r="F117" s="17" t="str">
        <f>IFERROR(INDEX(Personnel[[Sinav ]],$K117),"")</f>
        <v>15.05.2026 Sineva gitti gecdi</v>
      </c>
      <c r="G117" s="17" t="str">
        <f>IFERROR(INDEX(Personnel[Egtim durumu],$K117),"")</f>
        <v>Dil egitimi tamamlandi sinavdan gecti</v>
      </c>
      <c r="H117" s="17" t="str">
        <f>IFERROR(INDEX(Personnel[Shohruh Not],$K117),"")</f>
        <v>-</v>
      </c>
      <c r="I117" s="22">
        <f ca="1">IFERROR(INDEX(Personnel[Дней в РФ],$K117),"")</f>
        <v>112</v>
      </c>
      <c r="K117" s="23">
        <f t="array" ref="K117">IFERROR(_xlfn.AGGREGATE(15,6,(ROW(Personnel[Egtim durumu])-MIN(ROW(Personnel[Egtim durumu]))+1)/((Personnel[Egtim durumu]="Dil egitimi tamamlandi sinavdan gecti")),ROWS($K$7:K117)),"")</f>
        <v>141</v>
      </c>
    </row>
    <row r="118" spans="1:11" ht="25.5" x14ac:dyDescent="0.25">
      <c r="A118" s="40">
        <f>IFERROR(INDEX(Personnel[Sicil],$K118),"")</f>
        <v>643236</v>
      </c>
      <c r="B118" s="41" t="str">
        <f>IFERROR(INDEX(Personnel[Adi Soyadi],$K118),"")</f>
        <v>Паттаев Хаётбек Хамдамбекович</v>
      </c>
      <c r="C118" s="40" t="str">
        <f>IFERROR(INDEX(Personnel[Vatandaslik],$K118),"")</f>
        <v>УЗБЕКИСТАН</v>
      </c>
      <c r="D118" s="40" t="str">
        <f>IFERROR(INDEX(Personnel[Santiye],$K118),"")</f>
        <v>GPP Proje</v>
      </c>
      <c r="E118" s="40" t="str">
        <f>IFERROR(INDEX(Personnel[Ogretmen],$K118),"")</f>
        <v xml:space="preserve">Ziazetdinov Arslan </v>
      </c>
      <c r="F118" s="41" t="str">
        <f>IFERROR(INDEX(Personnel[[Sinav ]],$K118),"")</f>
        <v>26.05.2026 Sineva gitti gecemedi / 10.06.2026 Sineva gitti gecdi</v>
      </c>
      <c r="G118" s="41" t="str">
        <f>IFERROR(INDEX(Personnel[Egtim durumu],$K118),"")</f>
        <v>Dil egitimi tamamlandi sinavdan gecti</v>
      </c>
      <c r="H118" s="41" t="str">
        <f>IFERROR(INDEX(Personnel[Shohruh Not],$K118),"")</f>
        <v>Tekrar egitime alinacak 9313577863  grannissa getip geledi</v>
      </c>
      <c r="I118" s="42">
        <f ca="1">IFERROR(INDEX(Personnel[Дней в РФ],$K118),"")</f>
        <v>109</v>
      </c>
      <c r="K118" s="23">
        <f t="array" ref="K118">IFERROR(_xlfn.AGGREGATE(15,6,(ROW(Personnel[Egtim durumu])-MIN(ROW(Personnel[Egtim durumu]))+1)/((Personnel[Egtim durumu]="Dil egitimi tamamlandi sinavdan gecti")),ROWS($K$7:K118)),"")</f>
        <v>142</v>
      </c>
    </row>
    <row r="119" spans="1:11" x14ac:dyDescent="0.25">
      <c r="A119" s="18">
        <f>IFERROR(INDEX(Personnel[Sicil],$K119),"")</f>
        <v>487326</v>
      </c>
      <c r="B119" s="17" t="str">
        <f>IFERROR(INDEX(Personnel[Adi Soyadi],$K119),"")</f>
        <v>Ражапбоев Элёр Азатбаевич</v>
      </c>
      <c r="C119" s="18" t="str">
        <f>IFERROR(INDEX(Personnel[Vatandaslik],$K119),"")</f>
        <v>УЗБЕКИСТАН</v>
      </c>
      <c r="D119" s="18" t="str">
        <f>IFERROR(INDEX(Personnel[Santiye],$K119),"")</f>
        <v>GPP Proje</v>
      </c>
      <c r="E119" s="18" t="str">
        <f>IFERROR(INDEX(Personnel[Ogretmen],$K119),"")</f>
        <v>Tyulina Natalya</v>
      </c>
      <c r="F119" s="17" t="str">
        <f>IFERROR(INDEX(Personnel[[Sinav ]],$K119),"")</f>
        <v>20.05.2026 Sineva gitti gecdi</v>
      </c>
      <c r="G119" s="17" t="str">
        <f>IFERROR(INDEX(Personnel[Egtim durumu],$K119),"")</f>
        <v>Dil egitimi tamamlandi sinavdan gecti</v>
      </c>
      <c r="H119" s="17" t="str">
        <f>IFERROR(INDEX(Personnel[Shohruh Not],$K119),"")</f>
        <v>-</v>
      </c>
      <c r="I119" s="22">
        <f ca="1">IFERROR(INDEX(Personnel[Дней в РФ],$K119),"")</f>
        <v>109</v>
      </c>
      <c r="K119" s="23">
        <f t="array" ref="K119">IFERROR(_xlfn.AGGREGATE(15,6,(ROW(Personnel[Egtim durumu])-MIN(ROW(Personnel[Egtim durumu]))+1)/((Personnel[Egtim durumu]="Dil egitimi tamamlandi sinavdan gecti")),ROWS($K$7:K119)),"")</f>
        <v>143</v>
      </c>
    </row>
    <row r="120" spans="1:11" x14ac:dyDescent="0.25">
      <c r="A120" s="40">
        <f>IFERROR(INDEX(Personnel[Sicil],$K120),"")</f>
        <v>260042</v>
      </c>
      <c r="B120" s="41" t="str">
        <f>IFERROR(INDEX(Personnel[Adi Soyadi],$K120),"")</f>
        <v>Реимбаев Зафар Камилжанович</v>
      </c>
      <c r="C120" s="40" t="str">
        <f>IFERROR(INDEX(Personnel[Vatandaslik],$K120),"")</f>
        <v>УЗБЕКИСТАН</v>
      </c>
      <c r="D120" s="40" t="str">
        <f>IFERROR(INDEX(Personnel[Santiye],$K120),"")</f>
        <v>GPP Proje</v>
      </c>
      <c r="E120" s="40" t="str">
        <f>IFERROR(INDEX(Personnel[Ogretmen],$K120),"")</f>
        <v>Tyulina Natalya</v>
      </c>
      <c r="F120" s="41" t="str">
        <f>IFERROR(INDEX(Personnel[[Sinav ]],$K120),"")</f>
        <v>20.05.2026 Sineva gitti gecdi</v>
      </c>
      <c r="G120" s="41" t="str">
        <f>IFERROR(INDEX(Personnel[Egtim durumu],$K120),"")</f>
        <v>Dil egitimi tamamlandi sinavdan gecti</v>
      </c>
      <c r="H120" s="41" t="str">
        <f>IFERROR(INDEX(Personnel[Shohruh Not],$K120),"")</f>
        <v>-</v>
      </c>
      <c r="I120" s="42">
        <f ca="1">IFERROR(INDEX(Personnel[Дней в РФ],$K120),"")</f>
        <v>112</v>
      </c>
      <c r="K120" s="23">
        <f t="array" ref="K120">IFERROR(_xlfn.AGGREGATE(15,6,(ROW(Personnel[Egtim durumu])-MIN(ROW(Personnel[Egtim durumu]))+1)/((Personnel[Egtim durumu]="Dil egitimi tamamlandi sinavdan gecti")),ROWS($K$7:K120)),"")</f>
        <v>144</v>
      </c>
    </row>
    <row r="121" spans="1:11" x14ac:dyDescent="0.25">
      <c r="A121" s="18">
        <f>IFERROR(INDEX(Personnel[Sicil],$K121),"")</f>
        <v>643215</v>
      </c>
      <c r="B121" s="17" t="str">
        <f>IFERROR(INDEX(Personnel[Adi Soyadi],$K121),"")</f>
        <v>Салимов Мансур Рузимурот Угли</v>
      </c>
      <c r="C121" s="18" t="str">
        <f>IFERROR(INDEX(Personnel[Vatandaslik],$K121),"")</f>
        <v>УЗБЕКИСТАН</v>
      </c>
      <c r="D121" s="18" t="str">
        <f>IFERROR(INDEX(Personnel[Santiye],$K121),"")</f>
        <v>GPP Proje</v>
      </c>
      <c r="E121" s="18" t="str">
        <f>IFERROR(INDEX(Personnel[Ogretmen],$K121),"")</f>
        <v>Tyulina Natalya</v>
      </c>
      <c r="F121" s="17" t="str">
        <f>IFERROR(INDEX(Personnel[[Sinav ]],$K121),"")</f>
        <v>20.05.2026 Sineva gitti gecdi</v>
      </c>
      <c r="G121" s="17" t="str">
        <f>IFERROR(INDEX(Personnel[Egtim durumu],$K121),"")</f>
        <v>Dil egitimi tamamlandi sinavdan gecti</v>
      </c>
      <c r="H121" s="17" t="str">
        <f>IFERROR(INDEX(Personnel[Shohruh Not],$K121),"")</f>
        <v>-</v>
      </c>
      <c r="I121" s="22">
        <f ca="1">IFERROR(INDEX(Personnel[Дней в РФ],$K121),"")</f>
        <v>110</v>
      </c>
      <c r="K121" s="23">
        <f t="array" ref="K121">IFERROR(_xlfn.AGGREGATE(15,6,(ROW(Personnel[Egtim durumu])-MIN(ROW(Personnel[Egtim durumu]))+1)/((Personnel[Egtim durumu]="Dil egitimi tamamlandi sinavdan gecti")),ROWS($K$7:K121)),"")</f>
        <v>145</v>
      </c>
    </row>
    <row r="122" spans="1:11" x14ac:dyDescent="0.25">
      <c r="A122" s="40">
        <f>IFERROR(INDEX(Personnel[Sicil],$K122),"")</f>
        <v>643217</v>
      </c>
      <c r="B122" s="41" t="str">
        <f>IFERROR(INDEX(Personnel[Adi Soyadi],$K122),"")</f>
        <v>Саломов Элдор Носир Угли</v>
      </c>
      <c r="C122" s="40" t="str">
        <f>IFERROR(INDEX(Personnel[Vatandaslik],$K122),"")</f>
        <v>УЗБЕКИСТАН</v>
      </c>
      <c r="D122" s="40" t="str">
        <f>IFERROR(INDEX(Personnel[Santiye],$K122),"")</f>
        <v>GPP Proje</v>
      </c>
      <c r="E122" s="40" t="str">
        <f>IFERROR(INDEX(Personnel[Ogretmen],$K122),"")</f>
        <v>Tyulina Natalya</v>
      </c>
      <c r="F122" s="41" t="str">
        <f>IFERROR(INDEX(Personnel[[Sinav ]],$K122),"")</f>
        <v>20.05.2026 Sineva gitti gecdi</v>
      </c>
      <c r="G122" s="41" t="str">
        <f>IFERROR(INDEX(Personnel[Egtim durumu],$K122),"")</f>
        <v>Dil egitimi tamamlandi sinavdan gecti</v>
      </c>
      <c r="H122" s="41" t="str">
        <f>IFERROR(INDEX(Personnel[Shohruh Not],$K122),"")</f>
        <v>-</v>
      </c>
      <c r="I122" s="42">
        <f ca="1">IFERROR(INDEX(Personnel[Дней в РФ],$K122),"")</f>
        <v>110</v>
      </c>
      <c r="K122" s="23">
        <f t="array" ref="K122">IFERROR(_xlfn.AGGREGATE(15,6,(ROW(Personnel[Egtim durumu])-MIN(ROW(Personnel[Egtim durumu]))+1)/((Personnel[Egtim durumu]="Dil egitimi tamamlandi sinavdan gecti")),ROWS($K$7:K122)),"")</f>
        <v>146</v>
      </c>
    </row>
    <row r="123" spans="1:11" ht="25.5" x14ac:dyDescent="0.25">
      <c r="A123" s="18">
        <f>IFERROR(INDEX(Personnel[Sicil],$K123),"")</f>
        <v>607192</v>
      </c>
      <c r="B123" s="17" t="str">
        <f>IFERROR(INDEX(Personnel[Adi Soyadi],$K123),"")</f>
        <v>Тошпулатов Ахрорбек Хуршидбек Угли</v>
      </c>
      <c r="C123" s="18" t="str">
        <f>IFERROR(INDEX(Personnel[Vatandaslik],$K123),"")</f>
        <v>УЗБЕКИСТАН</v>
      </c>
      <c r="D123" s="18" t="str">
        <f>IFERROR(INDEX(Personnel[Santiye],$K123),"")</f>
        <v>GPP Proje</v>
      </c>
      <c r="E123" s="18" t="str">
        <f>IFERROR(INDEX(Personnel[Ogretmen],$K123),"")</f>
        <v>Tyulina Natalya</v>
      </c>
      <c r="F123" s="17" t="str">
        <f>IFERROR(INDEX(Personnel[[Sinav ]],$K123),"")</f>
        <v>20.05.2026 Sineva gitti gecdi</v>
      </c>
      <c r="G123" s="17" t="str">
        <f>IFERROR(INDEX(Personnel[Egtim durumu],$K123),"")</f>
        <v>Dil egitimi tamamlandi sinavdan gecti</v>
      </c>
      <c r="H123" s="17" t="str">
        <f>IFERROR(INDEX(Personnel[Shohruh Not],$K123),"")</f>
        <v>-</v>
      </c>
      <c r="I123" s="22">
        <f ca="1">IFERROR(INDEX(Personnel[Дней в РФ],$K123),"")</f>
        <v>109</v>
      </c>
      <c r="K123" s="23">
        <f t="array" ref="K123">IFERROR(_xlfn.AGGREGATE(15,6,(ROW(Personnel[Egtim durumu])-MIN(ROW(Personnel[Egtim durumu]))+1)/((Personnel[Egtim durumu]="Dil egitimi tamamlandi sinavdan gecti")),ROWS($K$7:K123)),"")</f>
        <v>147</v>
      </c>
    </row>
    <row r="124" spans="1:11" ht="25.5" x14ac:dyDescent="0.25">
      <c r="A124" s="40">
        <f>IFERROR(INDEX(Personnel[Sicil],$K124),"")</f>
        <v>643251</v>
      </c>
      <c r="B124" s="41" t="str">
        <f>IFERROR(INDEX(Personnel[Adi Soyadi],$K124),"")</f>
        <v>Тургунбоев Абдухалил Эшмумин Угли</v>
      </c>
      <c r="C124" s="40" t="str">
        <f>IFERROR(INDEX(Personnel[Vatandaslik],$K124),"")</f>
        <v>УЗБЕКИСТАН</v>
      </c>
      <c r="D124" s="40" t="str">
        <f>IFERROR(INDEX(Personnel[Santiye],$K124),"")</f>
        <v>GPP Proje</v>
      </c>
      <c r="E124" s="40" t="str">
        <f>IFERROR(INDEX(Personnel[Ogretmen],$K124),"")</f>
        <v>Tyulina Natalya</v>
      </c>
      <c r="F124" s="41" t="str">
        <f>IFERROR(INDEX(Personnel[[Sinav ]],$K124),"")</f>
        <v>20.05.2026 Sineva gitti gecdi</v>
      </c>
      <c r="G124" s="41" t="str">
        <f>IFERROR(INDEX(Personnel[Egtim durumu],$K124),"")</f>
        <v>Dil egitimi tamamlandi sinavdan gecti</v>
      </c>
      <c r="H124" s="41" t="str">
        <f>IFERROR(INDEX(Personnel[Shohruh Not],$K124),"")</f>
        <v>-</v>
      </c>
      <c r="I124" s="42">
        <f ca="1">IFERROR(INDEX(Personnel[Дней в РФ],$K124),"")</f>
        <v>109</v>
      </c>
      <c r="K124" s="23">
        <f t="array" ref="K124">IFERROR(_xlfn.AGGREGATE(15,6,(ROW(Personnel[Egtim durumu])-MIN(ROW(Personnel[Egtim durumu]))+1)/((Personnel[Egtim durumu]="Dil egitimi tamamlandi sinavdan gecti")),ROWS($K$7:K124)),"")</f>
        <v>148</v>
      </c>
    </row>
    <row r="125" spans="1:11" x14ac:dyDescent="0.25">
      <c r="A125" s="18">
        <f>IFERROR(INDEX(Personnel[Sicil],$K125),"")</f>
        <v>522644</v>
      </c>
      <c r="B125" s="17" t="str">
        <f>IFERROR(INDEX(Personnel[Adi Soyadi],$K125),"")</f>
        <v>Тургунов Обиджон Толибжон угли</v>
      </c>
      <c r="C125" s="18" t="str">
        <f>IFERROR(INDEX(Personnel[Vatandaslik],$K125),"")</f>
        <v>УЗБЕКИСТАН</v>
      </c>
      <c r="D125" s="18" t="str">
        <f>IFERROR(INDEX(Personnel[Santiye],$K125),"")</f>
        <v>GPP Proje</v>
      </c>
      <c r="E125" s="18" t="str">
        <f>IFERROR(INDEX(Personnel[Ogretmen],$K125),"")</f>
        <v>Ziazetdinov Arslan  / Tyulina Natalya</v>
      </c>
      <c r="F125" s="17" t="str">
        <f>IFERROR(INDEX(Personnel[[Sinav ]],$K125),"")</f>
        <v>22.05.2026 Sineva gitti gecdi</v>
      </c>
      <c r="G125" s="17" t="str">
        <f>IFERROR(INDEX(Personnel[Egtim durumu],$K125),"")</f>
        <v>Dil egitimi tamamlandi sinavdan gecti</v>
      </c>
      <c r="H125" s="17" t="str">
        <f>IFERROR(INDEX(Personnel[Shohruh Not],$K125),"")</f>
        <v>-</v>
      </c>
      <c r="I125" s="22">
        <f ca="1">IFERROR(INDEX(Personnel[Дней в РФ],$K125),"")</f>
        <v>109</v>
      </c>
      <c r="K125" s="23">
        <f t="array" ref="K125">IFERROR(_xlfn.AGGREGATE(15,6,(ROW(Personnel[Egtim durumu])-MIN(ROW(Personnel[Egtim durumu]))+1)/((Personnel[Egtim durumu]="Dil egitimi tamamlandi sinavdan gecti")),ROWS($K$7:K125)),"")</f>
        <v>149</v>
      </c>
    </row>
    <row r="126" spans="1:11" ht="25.5" x14ac:dyDescent="0.25">
      <c r="A126" s="40">
        <f>IFERROR(INDEX(Personnel[Sicil],$K126),"")</f>
        <v>618142</v>
      </c>
      <c r="B126" s="41" t="str">
        <f>IFERROR(INDEX(Personnel[Adi Soyadi],$K126),"")</f>
        <v>Умиров Бахтиёр Бахриддинович</v>
      </c>
      <c r="C126" s="40" t="str">
        <f>IFERROR(INDEX(Personnel[Vatandaslik],$K126),"")</f>
        <v>УЗБЕКИСТАН</v>
      </c>
      <c r="D126" s="40" t="str">
        <f>IFERROR(INDEX(Personnel[Santiye],$K126),"")</f>
        <v>GPP Proje</v>
      </c>
      <c r="E126" s="40" t="str">
        <f>IFERROR(INDEX(Personnel[Ogretmen],$K126),"")</f>
        <v xml:space="preserve">Ziazetdinov Arslan </v>
      </c>
      <c r="F126" s="41" t="str">
        <f>IFERROR(INDEX(Personnel[[Sinav ]],$K126),"")</f>
        <v>15.05.2026 Sineva gitti gecemedi /20.05.2026 Sineva gitti gecdi</v>
      </c>
      <c r="G126" s="41" t="str">
        <f>IFERROR(INDEX(Personnel[Egtim durumu],$K126),"")</f>
        <v>Dil egitimi tamamlandi sinavdan gecti</v>
      </c>
      <c r="H126" s="41" t="str">
        <f>IFERROR(INDEX(Personnel[Shohruh Not],$K126),"")</f>
        <v>-</v>
      </c>
      <c r="I126" s="42">
        <f ca="1">IFERROR(INDEX(Personnel[Дней в РФ],$K126),"")</f>
        <v>110</v>
      </c>
      <c r="K126" s="23">
        <f t="array" ref="K126">IFERROR(_xlfn.AGGREGATE(15,6,(ROW(Personnel[Egtim durumu])-MIN(ROW(Personnel[Egtim durumu]))+1)/((Personnel[Egtim durumu]="Dil egitimi tamamlandi sinavdan gecti")),ROWS($K$7:K126)),"")</f>
        <v>150</v>
      </c>
    </row>
    <row r="127" spans="1:11" x14ac:dyDescent="0.25">
      <c r="A127" s="18">
        <f>IFERROR(INDEX(Personnel[Sicil],$K127),"")</f>
        <v>584131</v>
      </c>
      <c r="B127" s="17" t="str">
        <f>IFERROR(INDEX(Personnel[Adi Soyadi],$K127),"")</f>
        <v>Хасанов Ойбек Бердимурод угли</v>
      </c>
      <c r="C127" s="18" t="str">
        <f>IFERROR(INDEX(Personnel[Vatandaslik],$K127),"")</f>
        <v>УЗБЕКИСТАН</v>
      </c>
      <c r="D127" s="18" t="str">
        <f>IFERROR(INDEX(Personnel[Santiye],$K127),"")</f>
        <v>GPP Proje</v>
      </c>
      <c r="E127" s="18" t="str">
        <f>IFERROR(INDEX(Personnel[Ogretmen],$K127),"")</f>
        <v>Tyulina Natalya</v>
      </c>
      <c r="F127" s="17" t="str">
        <f>IFERROR(INDEX(Personnel[[Sinav ]],$K127),"")</f>
        <v>20.05.2026 Sineva gitti gecdi</v>
      </c>
      <c r="G127" s="17" t="str">
        <f>IFERROR(INDEX(Personnel[Egtim durumu],$K127),"")</f>
        <v>Dil egitimi tamamlandi sinavdan gecti</v>
      </c>
      <c r="H127" s="17" t="str">
        <f>IFERROR(INDEX(Personnel[Shohruh Not],$K127),"")</f>
        <v>-</v>
      </c>
      <c r="I127" s="22">
        <f ca="1">IFERROR(INDEX(Personnel[Дней в РФ],$K127),"")</f>
        <v>112</v>
      </c>
      <c r="K127" s="23">
        <f t="array" ref="K127">IFERROR(_xlfn.AGGREGATE(15,6,(ROW(Personnel[Egtim durumu])-MIN(ROW(Personnel[Egtim durumu]))+1)/((Personnel[Egtim durumu]="Dil egitimi tamamlandi sinavdan gecti")),ROWS($K$7:K127)),"")</f>
        <v>153</v>
      </c>
    </row>
    <row r="128" spans="1:11" x14ac:dyDescent="0.25">
      <c r="A128" s="40">
        <f>IFERROR(INDEX(Personnel[Sicil],$K128),"")</f>
        <v>643193</v>
      </c>
      <c r="B128" s="41" t="str">
        <f>IFERROR(INDEX(Personnel[Adi Soyadi],$K128),"")</f>
        <v>Ходжаев Жасурбек Файзуллаевич</v>
      </c>
      <c r="C128" s="40" t="str">
        <f>IFERROR(INDEX(Personnel[Vatandaslik],$K128),"")</f>
        <v>УЗБЕКИСТАН</v>
      </c>
      <c r="D128" s="40" t="str">
        <f>IFERROR(INDEX(Personnel[Santiye],$K128),"")</f>
        <v>GPP Proje</v>
      </c>
      <c r="E128" s="40" t="str">
        <f>IFERROR(INDEX(Personnel[Ogretmen],$K128),"")</f>
        <v>Tyulina Natalya</v>
      </c>
      <c r="F128" s="41" t="str">
        <f>IFERROR(INDEX(Personnel[[Sinav ]],$K128),"")</f>
        <v>20.05.2026 Sineva gitti gecdi</v>
      </c>
      <c r="G128" s="41" t="str">
        <f>IFERROR(INDEX(Personnel[Egtim durumu],$K128),"")</f>
        <v>Dil egitimi tamamlandi sinavdan gecti</v>
      </c>
      <c r="H128" s="41" t="str">
        <f>IFERROR(INDEX(Personnel[Shohruh Not],$K128),"")</f>
        <v>-</v>
      </c>
      <c r="I128" s="42">
        <f ca="1">IFERROR(INDEX(Personnel[Дней в РФ],$K128),"")</f>
        <v>112</v>
      </c>
      <c r="K128" s="23">
        <f t="array" ref="K128">IFERROR(_xlfn.AGGREGATE(15,6,(ROW(Personnel[Egtim durumu])-MIN(ROW(Personnel[Egtim durumu]))+1)/((Personnel[Egtim durumu]="Dil egitimi tamamlandi sinavdan gecti")),ROWS($K$7:K128)),"")</f>
        <v>154</v>
      </c>
    </row>
    <row r="129" spans="1:11" x14ac:dyDescent="0.25">
      <c r="A129" s="18">
        <f>IFERROR(INDEX(Personnel[Sicil],$K129),"")</f>
        <v>643060</v>
      </c>
      <c r="B129" s="17" t="str">
        <f>IFERROR(INDEX(Personnel[Adi Soyadi],$K129),"")</f>
        <v>Холмуминов Жасур Хаким Угли</v>
      </c>
      <c r="C129" s="18" t="str">
        <f>IFERROR(INDEX(Personnel[Vatandaslik],$K129),"")</f>
        <v>УЗБЕКИСТАН</v>
      </c>
      <c r="D129" s="18" t="str">
        <f>IFERROR(INDEX(Personnel[Santiye],$K129),"")</f>
        <v>GPP Proje</v>
      </c>
      <c r="E129" s="18" t="str">
        <f>IFERROR(INDEX(Personnel[Ogretmen],$K129),"")</f>
        <v xml:space="preserve">Ziazetdinov Arslan </v>
      </c>
      <c r="F129" s="17" t="str">
        <f>IFERROR(INDEX(Personnel[[Sinav ]],$K129),"")</f>
        <v>19.05.2026 Sineva gitti gecdi</v>
      </c>
      <c r="G129" s="17" t="str">
        <f>IFERROR(INDEX(Personnel[Egtim durumu],$K129),"")</f>
        <v>Dil egitimi tamamlandi sinavdan gecti</v>
      </c>
      <c r="H129" s="17" t="str">
        <f>IFERROR(INDEX(Personnel[Shohruh Not],$K129),"")</f>
        <v>-</v>
      </c>
      <c r="I129" s="22">
        <f ca="1">IFERROR(INDEX(Personnel[Дней в РФ],$K129),"")</f>
        <v>112</v>
      </c>
      <c r="K129" s="23">
        <f t="array" ref="K129">IFERROR(_xlfn.AGGREGATE(15,6,(ROW(Personnel[Egtim durumu])-MIN(ROW(Personnel[Egtim durumu]))+1)/((Personnel[Egtim durumu]="Dil egitimi tamamlandi sinavdan gecti")),ROWS($K$7:K129)),"")</f>
        <v>155</v>
      </c>
    </row>
    <row r="130" spans="1:11" x14ac:dyDescent="0.25">
      <c r="A130" s="40">
        <f>IFERROR(INDEX(Personnel[Sicil],$K130),"")</f>
        <v>643216</v>
      </c>
      <c r="B130" s="41" t="str">
        <f>IFERROR(INDEX(Personnel[Adi Soyadi],$K130),"")</f>
        <v>Худойназаров Шерзод Рахматович</v>
      </c>
      <c r="C130" s="40" t="str">
        <f>IFERROR(INDEX(Personnel[Vatandaslik],$K130),"")</f>
        <v>УЗБЕКИСТАН</v>
      </c>
      <c r="D130" s="40" t="str">
        <f>IFERROR(INDEX(Personnel[Santiye],$K130),"")</f>
        <v>GPP Proje</v>
      </c>
      <c r="E130" s="40" t="str">
        <f>IFERROR(INDEX(Personnel[Ogretmen],$K130),"")</f>
        <v>Tyulina Natalya</v>
      </c>
      <c r="F130" s="41" t="str">
        <f>IFERROR(INDEX(Personnel[[Sinav ]],$K130),"")</f>
        <v>20.05.2026 Sineva gitti gecdi</v>
      </c>
      <c r="G130" s="41" t="str">
        <f>IFERROR(INDEX(Personnel[Egtim durumu],$K130),"")</f>
        <v>Dil egitimi tamamlandi sinavdan gecti</v>
      </c>
      <c r="H130" s="41" t="str">
        <f>IFERROR(INDEX(Personnel[Shohruh Not],$K130),"")</f>
        <v>-</v>
      </c>
      <c r="I130" s="42">
        <f ca="1">IFERROR(INDEX(Personnel[Дней в РФ],$K130),"")</f>
        <v>110</v>
      </c>
      <c r="K130" s="23">
        <f t="array" ref="K130">IFERROR(_xlfn.AGGREGATE(15,6,(ROW(Personnel[Egtim durumu])-MIN(ROW(Personnel[Egtim durumu]))+1)/((Personnel[Egtim durumu]="Dil egitimi tamamlandi sinavdan gecti")),ROWS($K$7:K130)),"")</f>
        <v>156</v>
      </c>
    </row>
    <row r="131" spans="1:11" x14ac:dyDescent="0.25">
      <c r="A131" s="18">
        <f>IFERROR(INDEX(Personnel[Sicil],$K131),"")</f>
        <v>634868</v>
      </c>
      <c r="B131" s="17" t="str">
        <f>IFERROR(INDEX(Personnel[Adi Soyadi],$K131),"")</f>
        <v>Менгалиев Юсуф Бахтиёр Угли</v>
      </c>
      <c r="C131" s="18" t="str">
        <f>IFERROR(INDEX(Personnel[Vatandaslik],$K131),"")</f>
        <v>УЗБЕКИСТАН</v>
      </c>
      <c r="D131" s="18" t="str">
        <f>IFERROR(INDEX(Personnel[Santiye],$K131),"")</f>
        <v>GPP Proje</v>
      </c>
      <c r="E131" s="18" t="str">
        <f>IFERROR(INDEX(Personnel[Ogretmen],$K131),"")</f>
        <v xml:space="preserve">Ziazetdinov Arslan </v>
      </c>
      <c r="F131" s="17" t="str">
        <f>IFERROR(INDEX(Personnel[[Sinav ]],$K131),"")</f>
        <v>14.05.2026 Sineva gitti gecdi</v>
      </c>
      <c r="G131" s="17" t="str">
        <f>IFERROR(INDEX(Personnel[Egtim durumu],$K131),"")</f>
        <v>Dil egitimi tamamlandi sinavdan gecti</v>
      </c>
      <c r="H131" s="17" t="str">
        <f>IFERROR(INDEX(Personnel[Shohruh Not],$K131),"")</f>
        <v>-</v>
      </c>
      <c r="I131" s="22">
        <f ca="1">IFERROR(INDEX(Personnel[Дней в РФ],$K131),"")</f>
        <v>118</v>
      </c>
      <c r="K131" s="23">
        <f t="array" ref="K131">IFERROR(_xlfn.AGGREGATE(15,6,(ROW(Personnel[Egtim durumu])-MIN(ROW(Personnel[Egtim durumu]))+1)/((Personnel[Egtim durumu]="Dil egitimi tamamlandi sinavdan gecti")),ROWS($K$7:K131)),"")</f>
        <v>157</v>
      </c>
    </row>
    <row r="132" spans="1:11" x14ac:dyDescent="0.25">
      <c r="A132" s="40">
        <f>IFERROR(INDEX(Personnel[Sicil],$K132),"")</f>
        <v>615445</v>
      </c>
      <c r="B132" s="41" t="str">
        <f>IFERROR(INDEX(Personnel[Adi Soyadi],$K132),"")</f>
        <v>Маммадзаде Эльвин Абулфаз Оглы</v>
      </c>
      <c r="C132" s="40" t="str">
        <f>IFERROR(INDEX(Personnel[Vatandaslik],$K132),"")</f>
        <v>АЗЕРБАЙДЖАН</v>
      </c>
      <c r="D132" s="40" t="str">
        <f>IFERROR(INDEX(Personnel[Santiye],$K132),"")</f>
        <v>GPP Proje</v>
      </c>
      <c r="E132" s="40" t="str">
        <f>IFERROR(INDEX(Personnel[Ogretmen],$K132),"")</f>
        <v xml:space="preserve">Ziazetdinov Arslan </v>
      </c>
      <c r="F132" s="41" t="str">
        <f>IFERROR(INDEX(Personnel[[Sinav ]],$K132),"")</f>
        <v>14.05.2026 Sineva gitti gecdi</v>
      </c>
      <c r="G132" s="41" t="str">
        <f>IFERROR(INDEX(Personnel[Egtim durumu],$K132),"")</f>
        <v>Dil egitimi tamamlandi sinavdan gecti</v>
      </c>
      <c r="H132" s="41" t="str">
        <f>IFERROR(INDEX(Personnel[Shohruh Not],$K132),"")</f>
        <v>-</v>
      </c>
      <c r="I132" s="40" t="str">
        <f ca="1">IFERROR(INDEX(Personnel[Дней в РФ],$K132),"")</f>
        <v>-</v>
      </c>
      <c r="K132" s="23">
        <f t="array" ref="K132">IFERROR(_xlfn.AGGREGATE(15,6,(ROW(Personnel[Egtim durumu])-MIN(ROW(Personnel[Egtim durumu]))+1)/((Personnel[Egtim durumu]="Dil egitimi tamamlandi sinavdan gecti")),ROWS($K$7:K132)),"")</f>
        <v>158</v>
      </c>
    </row>
    <row r="133" spans="1:11" x14ac:dyDescent="0.25">
      <c r="A133" s="18">
        <f>IFERROR(INDEX(Personnel[Sicil],$K133),"")</f>
        <v>643011</v>
      </c>
      <c r="B133" s="17" t="str">
        <f>IFERROR(INDEX(Personnel[Adi Soyadi],$K133),"")</f>
        <v>Хужамкулов Турдибек Нариманович</v>
      </c>
      <c r="C133" s="18" t="str">
        <f>IFERROR(INDEX(Personnel[Vatandaslik],$K133),"")</f>
        <v>УЗБЕКИСТАН</v>
      </c>
      <c r="D133" s="18" t="str">
        <f>IFERROR(INDEX(Personnel[Santiye],$K133),"")</f>
        <v>GPP Proje</v>
      </c>
      <c r="E133" s="18" t="str">
        <f>IFERROR(INDEX(Personnel[Ogretmen],$K133),"")</f>
        <v xml:space="preserve">Ziazetdinov Arslan </v>
      </c>
      <c r="F133" s="17" t="str">
        <f>IFERROR(INDEX(Personnel[[Sinav ]],$K133),"")</f>
        <v>19.05.2026 Sineva gitti gecdi</v>
      </c>
      <c r="G133" s="17" t="str">
        <f>IFERROR(INDEX(Personnel[Egtim durumu],$K133),"")</f>
        <v>Dil egitimi tamamlandi sinavdan gecti</v>
      </c>
      <c r="H133" s="17" t="str">
        <f>IFERROR(INDEX(Personnel[Shohruh Not],$K133),"")</f>
        <v>-</v>
      </c>
      <c r="I133" s="22">
        <f ca="1">IFERROR(INDEX(Personnel[Дней в РФ],$K133),"")</f>
        <v>113</v>
      </c>
      <c r="K133" s="23">
        <f t="array" ref="K133">IFERROR(_xlfn.AGGREGATE(15,6,(ROW(Personnel[Egtim durumu])-MIN(ROW(Personnel[Egtim durumu]))+1)/((Personnel[Egtim durumu]="Dil egitimi tamamlandi sinavdan gecti")),ROWS($K$7:K133)),"")</f>
        <v>159</v>
      </c>
    </row>
    <row r="134" spans="1:11" x14ac:dyDescent="0.25">
      <c r="A134" s="40">
        <f>IFERROR(INDEX(Personnel[Sicil],$K134),"")</f>
        <v>607587</v>
      </c>
      <c r="B134" s="41" t="str">
        <f>IFERROR(INDEX(Personnel[Adi Soyadi],$K134),"")</f>
        <v>Эрданов Сухроб Утаганович</v>
      </c>
      <c r="C134" s="40" t="str">
        <f>IFERROR(INDEX(Personnel[Vatandaslik],$K134),"")</f>
        <v>УЗБЕКИСТАН</v>
      </c>
      <c r="D134" s="40" t="str">
        <f>IFERROR(INDEX(Personnel[Santiye],$K134),"")</f>
        <v>GPP Proje</v>
      </c>
      <c r="E134" s="40" t="str">
        <f>IFERROR(INDEX(Personnel[Ogretmen],$K134),"")</f>
        <v xml:space="preserve">Ziazetdinov Arslan </v>
      </c>
      <c r="F134" s="41" t="str">
        <f>IFERROR(INDEX(Personnel[[Sinav ]],$K134),"")</f>
        <v>22.05.2026 Sineva gitti gecdi</v>
      </c>
      <c r="G134" s="41" t="str">
        <f>IFERROR(INDEX(Personnel[Egtim durumu],$K134),"")</f>
        <v>Dil egitimi tamamlandi sinavdan gecti</v>
      </c>
      <c r="H134" s="41" t="str">
        <f>IFERROR(INDEX(Personnel[Shohruh Not],$K134),"")</f>
        <v>-</v>
      </c>
      <c r="I134" s="42">
        <f ca="1">IFERROR(INDEX(Personnel[Дней в РФ],$K134),"")</f>
        <v>103</v>
      </c>
      <c r="K134" s="23">
        <f t="array" ref="K134">IFERROR(_xlfn.AGGREGATE(15,6,(ROW(Personnel[Egtim durumu])-MIN(ROW(Personnel[Egtim durumu]))+1)/((Personnel[Egtim durumu]="Dil egitimi tamamlandi sinavdan gecti")),ROWS($K$7:K134)),"")</f>
        <v>160</v>
      </c>
    </row>
    <row r="135" spans="1:11" ht="25.5" x14ac:dyDescent="0.25">
      <c r="A135" s="18">
        <f>IFERROR(INDEX(Personnel[Sicil],$K135),"")</f>
        <v>643465</v>
      </c>
      <c r="B135" s="17" t="str">
        <f>IFERROR(INDEX(Personnel[Adi Soyadi],$K135),"")</f>
        <v>Эшонкулов Сухроб Жаббор Угли</v>
      </c>
      <c r="C135" s="18" t="str">
        <f>IFERROR(INDEX(Personnel[Vatandaslik],$K135),"")</f>
        <v>УЗБЕКИСТАН</v>
      </c>
      <c r="D135" s="18" t="str">
        <f>IFERROR(INDEX(Personnel[Santiye],$K135),"")</f>
        <v>GPP Proje</v>
      </c>
      <c r="E135" s="18" t="str">
        <f>IFERROR(INDEX(Personnel[Ogretmen],$K135),"")</f>
        <v>Tyulina Natalya / Ziaztdinov Arslan</v>
      </c>
      <c r="F135" s="17" t="str">
        <f>IFERROR(INDEX(Personnel[[Sinav ]],$K135),"")</f>
        <v>29.05.2026 Sineva gitti gecemedi / 03.06.2026 sineva gitti gecdi</v>
      </c>
      <c r="G135" s="17" t="str">
        <f>IFERROR(INDEX(Personnel[Egtim durumu],$K135),"")</f>
        <v>Dil egitimi tamamlandi sinavdan gecti</v>
      </c>
      <c r="H135" s="17" t="str">
        <f>IFERROR(INDEX(Personnel[Shohruh Not],$K135),"")</f>
        <v>-</v>
      </c>
      <c r="I135" s="22">
        <f ca="1">IFERROR(INDEX(Personnel[Дней в РФ],$K135),"")</f>
        <v>105</v>
      </c>
      <c r="K135" s="23">
        <f t="array" ref="K135">IFERROR(_xlfn.AGGREGATE(15,6,(ROW(Personnel[Egtim durumu])-MIN(ROW(Personnel[Egtim durumu]))+1)/((Personnel[Egtim durumu]="Dil egitimi tamamlandi sinavdan gecti")),ROWS($K$7:K135)),"")</f>
        <v>161</v>
      </c>
    </row>
    <row r="136" spans="1:11" x14ac:dyDescent="0.25">
      <c r="A136" s="40">
        <f>IFERROR(INDEX(Personnel[Sicil],$K136),"")</f>
        <v>643509</v>
      </c>
      <c r="B136" s="41" t="str">
        <f>IFERROR(INDEX(Personnel[Adi Soyadi],$K136),"")</f>
        <v xml:space="preserve">Жуманиязов Дилшод Сапарбаевич </v>
      </c>
      <c r="C136" s="40" t="str">
        <f>IFERROR(INDEX(Personnel[Vatandaslik],$K136),"")</f>
        <v>УЗБЕКИСТАН</v>
      </c>
      <c r="D136" s="40" t="str">
        <f>IFERROR(INDEX(Personnel[Santiye],$K136),"")</f>
        <v>GPP Proje</v>
      </c>
      <c r="E136" s="40" t="str">
        <f>IFERROR(INDEX(Personnel[Ogretmen],$K136),"")</f>
        <v xml:space="preserve">Ziazetdinov Arslan </v>
      </c>
      <c r="F136" s="41" t="str">
        <f>IFERROR(INDEX(Personnel[[Sinav ]],$K136),"")</f>
        <v>26.05.2026 Sineva gitti gecdi</v>
      </c>
      <c r="G136" s="41" t="str">
        <f>IFERROR(INDEX(Personnel[Egtim durumu],$K136),"")</f>
        <v>Dil egitimi tamamlandi sinavdan gecti</v>
      </c>
      <c r="H136" s="41" t="str">
        <f>IFERROR(INDEX(Personnel[Shohruh Not],$K136),"")</f>
        <v>-</v>
      </c>
      <c r="I136" s="42">
        <f ca="1">IFERROR(INDEX(Personnel[Дней в РФ],$K136),"")</f>
        <v>103</v>
      </c>
      <c r="K136" s="23">
        <f t="array" ref="K136">IFERROR(_xlfn.AGGREGATE(15,6,(ROW(Personnel[Egtim durumu])-MIN(ROW(Personnel[Egtim durumu]))+1)/((Personnel[Egtim durumu]="Dil egitimi tamamlandi sinavdan gecti")),ROWS($K$7:K136)),"")</f>
        <v>162</v>
      </c>
    </row>
    <row r="137" spans="1:11" ht="25.5" x14ac:dyDescent="0.25">
      <c r="A137" s="18">
        <f>IFERROR(INDEX(Personnel[Sicil],$K137),"")</f>
        <v>643439</v>
      </c>
      <c r="B137" s="17" t="str">
        <f>IFERROR(INDEX(Personnel[Adi Soyadi],$K137),"")</f>
        <v>Каландаров Сулаймон Эгамберганович</v>
      </c>
      <c r="C137" s="18" t="str">
        <f>IFERROR(INDEX(Personnel[Vatandaslik],$K137),"")</f>
        <v>УЗБЕКИСТАН</v>
      </c>
      <c r="D137" s="18" t="str">
        <f>IFERROR(INDEX(Personnel[Santiye],$K137),"")</f>
        <v>GPP Proje</v>
      </c>
      <c r="E137" s="18" t="str">
        <f>IFERROR(INDEX(Personnel[Ogretmen],$K137),"")</f>
        <v xml:space="preserve">Ziazetdinov Arslan </v>
      </c>
      <c r="F137" s="17" t="str">
        <f>IFERROR(INDEX(Personnel[[Sinav ]],$K137),"")</f>
        <v>22.05.2026 Sineva gitti gecdi</v>
      </c>
      <c r="G137" s="17" t="str">
        <f>IFERROR(INDEX(Personnel[Egtim durumu],$K137),"")</f>
        <v>Dil egitimi tamamlandi sinavdan gecti</v>
      </c>
      <c r="H137" s="17" t="str">
        <f>IFERROR(INDEX(Personnel[Shohruh Not],$K137),"")</f>
        <v>-</v>
      </c>
      <c r="I137" s="22">
        <f ca="1">IFERROR(INDEX(Personnel[Дней в РФ],$K137),"")</f>
        <v>105</v>
      </c>
      <c r="K137" s="23">
        <f t="array" ref="K137">IFERROR(_xlfn.AGGREGATE(15,6,(ROW(Personnel[Egtim durumu])-MIN(ROW(Personnel[Egtim durumu]))+1)/((Personnel[Egtim durumu]="Dil egitimi tamamlandi sinavdan gecti")),ROWS($K$7:K137)),"")</f>
        <v>163</v>
      </c>
    </row>
    <row r="138" spans="1:11" x14ac:dyDescent="0.25">
      <c r="A138" s="40">
        <f>IFERROR(INDEX(Personnel[Sicil],$K138),"")</f>
        <v>643457</v>
      </c>
      <c r="B138" s="41" t="str">
        <f>IFERROR(INDEX(Personnel[Adi Soyadi],$K138),"")</f>
        <v>Караматов Жахонгир Илхом Угли</v>
      </c>
      <c r="C138" s="40" t="str">
        <f>IFERROR(INDEX(Personnel[Vatandaslik],$K138),"")</f>
        <v>УЗБЕКИСТАН</v>
      </c>
      <c r="D138" s="40" t="str">
        <f>IFERROR(INDEX(Personnel[Santiye],$K138),"")</f>
        <v>GPP Proje</v>
      </c>
      <c r="E138" s="40" t="str">
        <f>IFERROR(INDEX(Personnel[Ogretmen],$K138),"")</f>
        <v xml:space="preserve">Ziazetdinov Arslan </v>
      </c>
      <c r="F138" s="41" t="str">
        <f>IFERROR(INDEX(Personnel[[Sinav ]],$K138),"")</f>
        <v>26.05.2026 Sineva gitti gecdi</v>
      </c>
      <c r="G138" s="41" t="str">
        <f>IFERROR(INDEX(Personnel[Egtim durumu],$K138),"")</f>
        <v>Dil egitimi tamamlandi sinavdan gecti</v>
      </c>
      <c r="H138" s="41" t="str">
        <f>IFERROR(INDEX(Personnel[Shohruh Not],$K138),"")</f>
        <v>-</v>
      </c>
      <c r="I138" s="42">
        <f ca="1">IFERROR(INDEX(Personnel[Дней в РФ],$K138),"")</f>
        <v>105</v>
      </c>
      <c r="K138" s="23">
        <f t="array" ref="K138">IFERROR(_xlfn.AGGREGATE(15,6,(ROW(Personnel[Egtim durumu])-MIN(ROW(Personnel[Egtim durumu]))+1)/((Personnel[Egtim durumu]="Dil egitimi tamamlandi sinavdan gecti")),ROWS($K$7:K138)),"")</f>
        <v>164</v>
      </c>
    </row>
    <row r="139" spans="1:11" x14ac:dyDescent="0.25">
      <c r="A139" s="18">
        <f>IFERROR(INDEX(Personnel[Sicil],$K139),"")</f>
        <v>643394</v>
      </c>
      <c r="B139" s="17" t="str">
        <f>IFERROR(INDEX(Personnel[Adi Soyadi],$K139),"")</f>
        <v>Каршиев Баходир Одил Угли</v>
      </c>
      <c r="C139" s="18" t="str">
        <f>IFERROR(INDEX(Personnel[Vatandaslik],$K139),"")</f>
        <v>УЗБЕКИСТАН</v>
      </c>
      <c r="D139" s="18" t="str">
        <f>IFERROR(INDEX(Personnel[Santiye],$K139),"")</f>
        <v>GPP Proje</v>
      </c>
      <c r="E139" s="18" t="str">
        <f>IFERROR(INDEX(Personnel[Ogretmen],$K139),"")</f>
        <v xml:space="preserve">Ziazetdinov Arslan </v>
      </c>
      <c r="F139" s="17" t="str">
        <f>IFERROR(INDEX(Personnel[[Sinav ]],$K139),"")</f>
        <v>20.05.2026 Sineva gitti gecdi</v>
      </c>
      <c r="G139" s="17" t="str">
        <f>IFERROR(INDEX(Personnel[Egtim durumu],$K139),"")</f>
        <v>Dil egitimi tamamlandi sinavdan gecti</v>
      </c>
      <c r="H139" s="17" t="str">
        <f>IFERROR(INDEX(Personnel[Shohruh Not],$K139),"")</f>
        <v>-</v>
      </c>
      <c r="I139" s="22">
        <f ca="1">IFERROR(INDEX(Personnel[Дней в РФ],$K139),"")</f>
        <v>106</v>
      </c>
      <c r="K139" s="23">
        <f t="array" ref="K139">IFERROR(_xlfn.AGGREGATE(15,6,(ROW(Personnel[Egtim durumu])-MIN(ROW(Personnel[Egtim durumu]))+1)/((Personnel[Egtim durumu]="Dil egitimi tamamlandi sinavdan gecti")),ROWS($K$7:K139)),"")</f>
        <v>165</v>
      </c>
    </row>
    <row r="140" spans="1:11" x14ac:dyDescent="0.25">
      <c r="A140" s="40">
        <f>IFERROR(INDEX(Personnel[Sicil],$K140),"")</f>
        <v>643375</v>
      </c>
      <c r="B140" s="41" t="str">
        <f>IFERROR(INDEX(Personnel[Adi Soyadi],$K140),"")</f>
        <v>Каршиев Даврон Ибрагимович</v>
      </c>
      <c r="C140" s="40" t="str">
        <f>IFERROR(INDEX(Personnel[Vatandaslik],$K140),"")</f>
        <v>УЗБЕКИСТАН</v>
      </c>
      <c r="D140" s="40" t="str">
        <f>IFERROR(INDEX(Personnel[Santiye],$K140),"")</f>
        <v>GPP Proje</v>
      </c>
      <c r="E140" s="40" t="str">
        <f>IFERROR(INDEX(Personnel[Ogretmen],$K140),"")</f>
        <v xml:space="preserve">Ziazetdinov Arslan </v>
      </c>
      <c r="F140" s="41" t="str">
        <f>IFERROR(INDEX(Personnel[[Sinav ]],$K140),"")</f>
        <v>20.05.2026 Sineva gitti gecdi</v>
      </c>
      <c r="G140" s="41" t="str">
        <f>IFERROR(INDEX(Personnel[Egtim durumu],$K140),"")</f>
        <v>Dil egitimi tamamlandi sinavdan gecti</v>
      </c>
      <c r="H140" s="41" t="str">
        <f>IFERROR(INDEX(Personnel[Shohruh Not],$K140),"")</f>
        <v>-</v>
      </c>
      <c r="I140" s="42">
        <f ca="1">IFERROR(INDEX(Personnel[Дней в РФ],$K140),"")</f>
        <v>106</v>
      </c>
      <c r="K140" s="23">
        <f t="array" ref="K140">IFERROR(_xlfn.AGGREGATE(15,6,(ROW(Personnel[Egtim durumu])-MIN(ROW(Personnel[Egtim durumu]))+1)/((Personnel[Egtim durumu]="Dil egitimi tamamlandi sinavdan gecti")),ROWS($K$7:K140)),"")</f>
        <v>166</v>
      </c>
    </row>
    <row r="141" spans="1:11" ht="25.5" x14ac:dyDescent="0.25">
      <c r="A141" s="18">
        <f>IFERROR(INDEX(Personnel[Sicil],$K141),"")</f>
        <v>643462</v>
      </c>
      <c r="B141" s="17" t="str">
        <f>IFERROR(INDEX(Personnel[Adi Soyadi],$K141),"")</f>
        <v>Худойбердиев Сардорбек Нематжон Угли</v>
      </c>
      <c r="C141" s="18" t="str">
        <f>IFERROR(INDEX(Personnel[Vatandaslik],$K141),"")</f>
        <v>УЗБЕКИСТАН</v>
      </c>
      <c r="D141" s="18" t="str">
        <f>IFERROR(INDEX(Personnel[Santiye],$K141),"")</f>
        <v>GPP Proje</v>
      </c>
      <c r="E141" s="18" t="str">
        <f>IFERROR(INDEX(Personnel[Ogretmen],$K141),"")</f>
        <v>Tyulina Natalya / Ziaztdinov Arslan</v>
      </c>
      <c r="F141" s="17" t="str">
        <f>IFERROR(INDEX(Personnel[[Sinav ]],$K141),"")</f>
        <v>29.05.2026 Sineva gitti gecemedi / 03.06.2026 sineva gitti gecdi</v>
      </c>
      <c r="G141" s="17" t="str">
        <f>IFERROR(INDEX(Personnel[Egtim durumu],$K141),"")</f>
        <v>Dil egitimi tamamlandi sinavdan gecti</v>
      </c>
      <c r="H141" s="17" t="str">
        <f>IFERROR(INDEX(Personnel[Shohruh Not],$K141),"")</f>
        <v>-</v>
      </c>
      <c r="I141" s="22">
        <f ca="1">IFERROR(INDEX(Personnel[Дней в РФ],$K141),"")</f>
        <v>105</v>
      </c>
      <c r="K141" s="23">
        <f t="array" ref="K141">IFERROR(_xlfn.AGGREGATE(15,6,(ROW(Personnel[Egtim durumu])-MIN(ROW(Personnel[Egtim durumu]))+1)/((Personnel[Egtim durumu]="Dil egitimi tamamlandi sinavdan gecti")),ROWS($K$7:K141)),"")</f>
        <v>167</v>
      </c>
    </row>
    <row r="142" spans="1:11" x14ac:dyDescent="0.25">
      <c r="A142" s="40">
        <f>IFERROR(INDEX(Personnel[Sicil],$K142),"")</f>
        <v>643376</v>
      </c>
      <c r="B142" s="41" t="str">
        <f>IFERROR(INDEX(Personnel[Adi Soyadi],$K142),"")</f>
        <v>Хуррамов Санжар Эсанович</v>
      </c>
      <c r="C142" s="40" t="str">
        <f>IFERROR(INDEX(Personnel[Vatandaslik],$K142),"")</f>
        <v>УЗБЕКИСТАН</v>
      </c>
      <c r="D142" s="40" t="str">
        <f>IFERROR(INDEX(Personnel[Santiye],$K142),"")</f>
        <v>GPP Proje</v>
      </c>
      <c r="E142" s="40" t="str">
        <f>IFERROR(INDEX(Personnel[Ogretmen],$K142),"")</f>
        <v xml:space="preserve">Ziazetdinov Arslan </v>
      </c>
      <c r="F142" s="41" t="str">
        <f>IFERROR(INDEX(Personnel[[Sinav ]],$K142),"")</f>
        <v>26.05.2026 Sineva gitti gecdi</v>
      </c>
      <c r="G142" s="41" t="str">
        <f>IFERROR(INDEX(Personnel[Egtim durumu],$K142),"")</f>
        <v>Dil egitimi tamamlandi sinavdan gecti</v>
      </c>
      <c r="H142" s="41" t="str">
        <f>IFERROR(INDEX(Personnel[Shohruh Not],$K142),"")</f>
        <v>-</v>
      </c>
      <c r="I142" s="42">
        <f ca="1">IFERROR(INDEX(Personnel[Дней в РФ],$K142),"")</f>
        <v>106</v>
      </c>
      <c r="K142" s="23">
        <f t="array" ref="K142">IFERROR(_xlfn.AGGREGATE(15,6,(ROW(Personnel[Egtim durumu])-MIN(ROW(Personnel[Egtim durumu]))+1)/((Personnel[Egtim durumu]="Dil egitimi tamamlandi sinavdan gecti")),ROWS($K$7:K142)),"")</f>
        <v>168</v>
      </c>
    </row>
    <row r="143" spans="1:11" x14ac:dyDescent="0.25">
      <c r="A143" s="18">
        <f>IFERROR(INDEX(Personnel[Sicil],$K143),"")</f>
        <v>643373</v>
      </c>
      <c r="B143" s="17" t="str">
        <f>IFERROR(INDEX(Personnel[Adi Soyadi],$K143),"")</f>
        <v>Хурсанов Нуркомил Шодмон Угли</v>
      </c>
      <c r="C143" s="18" t="str">
        <f>IFERROR(INDEX(Personnel[Vatandaslik],$K143),"")</f>
        <v>УЗБЕКИСТАН</v>
      </c>
      <c r="D143" s="18" t="str">
        <f>IFERROR(INDEX(Personnel[Santiye],$K143),"")</f>
        <v>GPP Proje</v>
      </c>
      <c r="E143" s="18" t="str">
        <f>IFERROR(INDEX(Personnel[Ogretmen],$K143),"")</f>
        <v>Tyulina Natalya</v>
      </c>
      <c r="F143" s="17" t="str">
        <f>IFERROR(INDEX(Personnel[[Sinav ]],$K143),"")</f>
        <v>22.05.2026 Sineva gitti gecdi</v>
      </c>
      <c r="G143" s="17" t="str">
        <f>IFERROR(INDEX(Personnel[Egtim durumu],$K143),"")</f>
        <v>Dil egitimi tamamlandi sinavdan gecti</v>
      </c>
      <c r="H143" s="17" t="str">
        <f>IFERROR(INDEX(Personnel[Shohruh Not],$K143),"")</f>
        <v>-</v>
      </c>
      <c r="I143" s="22">
        <f ca="1">IFERROR(INDEX(Personnel[Дней в РФ],$K143),"")</f>
        <v>106</v>
      </c>
      <c r="K143" s="23">
        <f t="array" ref="K143">IFERROR(_xlfn.AGGREGATE(15,6,(ROW(Personnel[Egtim durumu])-MIN(ROW(Personnel[Egtim durumu]))+1)/((Personnel[Egtim durumu]="Dil egitimi tamamlandi sinavdan gecti")),ROWS($K$7:K143)),"")</f>
        <v>169</v>
      </c>
    </row>
    <row r="144" spans="1:11" x14ac:dyDescent="0.25">
      <c r="A144" s="40">
        <f>IFERROR(INDEX(Personnel[Sicil],$K144),"")</f>
        <v>643505</v>
      </c>
      <c r="B144" s="41" t="str">
        <f>IFERROR(INDEX(Personnel[Adi Soyadi],$K144),"")</f>
        <v xml:space="preserve">Хусанов Худойназар Шерали Угли </v>
      </c>
      <c r="C144" s="40" t="str">
        <f>IFERROR(INDEX(Personnel[Vatandaslik],$K144),"")</f>
        <v>УЗБЕКИСТАН</v>
      </c>
      <c r="D144" s="40" t="str">
        <f>IFERROR(INDEX(Personnel[Santiye],$K144),"")</f>
        <v>GPP Proje</v>
      </c>
      <c r="E144" s="40" t="str">
        <f>IFERROR(INDEX(Personnel[Ogretmen],$K144),"")</f>
        <v>Tyulina Natalya</v>
      </c>
      <c r="F144" s="41" t="str">
        <f>IFERROR(INDEX(Personnel[[Sinav ]],$K144),"")</f>
        <v>22.05.2026 Sineva gitti gecdi</v>
      </c>
      <c r="G144" s="41" t="str">
        <f>IFERROR(INDEX(Personnel[Egtim durumu],$K144),"")</f>
        <v>Dil egitimi tamamlandi sinavdan gecti</v>
      </c>
      <c r="H144" s="41" t="str">
        <f>IFERROR(INDEX(Personnel[Shohruh Not],$K144),"")</f>
        <v>-</v>
      </c>
      <c r="I144" s="42">
        <f ca="1">IFERROR(INDEX(Personnel[Дней в РФ],$K144),"")</f>
        <v>103</v>
      </c>
      <c r="K144" s="23">
        <f t="array" ref="K144">IFERROR(_xlfn.AGGREGATE(15,6,(ROW(Personnel[Egtim durumu])-MIN(ROW(Personnel[Egtim durumu]))+1)/((Personnel[Egtim durumu]="Dil egitimi tamamlandi sinavdan gecti")),ROWS($K$7:K144)),"")</f>
        <v>170</v>
      </c>
    </row>
    <row r="145" spans="1:11" x14ac:dyDescent="0.25">
      <c r="A145" s="18">
        <f>IFERROR(INDEX(Personnel[Sicil],$K145),"")</f>
        <v>643393</v>
      </c>
      <c r="B145" s="17" t="str">
        <f>IFERROR(INDEX(Personnel[Adi Soyadi],$K145),"")</f>
        <v>Махмудов Шодмон Хурсанович</v>
      </c>
      <c r="C145" s="18" t="str">
        <f>IFERROR(INDEX(Personnel[Vatandaslik],$K145),"")</f>
        <v>УЗБЕКИСТАН</v>
      </c>
      <c r="D145" s="18" t="str">
        <f>IFERROR(INDEX(Personnel[Santiye],$K145),"")</f>
        <v>GPP Proje</v>
      </c>
      <c r="E145" s="18" t="str">
        <f>IFERROR(INDEX(Personnel[Ogretmen],$K145),"")</f>
        <v xml:space="preserve">Ziazetdinov Arslan </v>
      </c>
      <c r="F145" s="17" t="str">
        <f>IFERROR(INDEX(Personnel[[Sinav ]],$K145),"")</f>
        <v>22.05.2026 Sineva gitti gecdi</v>
      </c>
      <c r="G145" s="17" t="str">
        <f>IFERROR(INDEX(Personnel[Egtim durumu],$K145),"")</f>
        <v>Dil egitimi tamamlandi sinavdan gecti</v>
      </c>
      <c r="H145" s="17" t="str">
        <f>IFERROR(INDEX(Personnel[Shohruh Not],$K145),"")</f>
        <v>-</v>
      </c>
      <c r="I145" s="22">
        <f ca="1">IFERROR(INDEX(Personnel[Дней в РФ],$K145),"")</f>
        <v>106</v>
      </c>
      <c r="K145" s="23">
        <f t="array" ref="K145">IFERROR(_xlfn.AGGREGATE(15,6,(ROW(Personnel[Egtim durumu])-MIN(ROW(Personnel[Egtim durumu]))+1)/((Personnel[Egtim durumu]="Dil egitimi tamamlandi sinavdan gecti")),ROWS($K$7:K145)),"")</f>
        <v>172</v>
      </c>
    </row>
    <row r="146" spans="1:11" x14ac:dyDescent="0.25">
      <c r="A146" s="40">
        <f>IFERROR(INDEX(Personnel[Sicil],$K146),"")</f>
        <v>643397</v>
      </c>
      <c r="B146" s="41" t="str">
        <f>IFERROR(INDEX(Personnel[Adi Soyadi],$K146),"")</f>
        <v>Маманазаров Бекзод Илхомович</v>
      </c>
      <c r="C146" s="40" t="str">
        <f>IFERROR(INDEX(Personnel[Vatandaslik],$K146),"")</f>
        <v>УЗБЕКИСТАН</v>
      </c>
      <c r="D146" s="40" t="str">
        <f>IFERROR(INDEX(Personnel[Santiye],$K146),"")</f>
        <v>GPP Proje</v>
      </c>
      <c r="E146" s="40" t="str">
        <f>IFERROR(INDEX(Personnel[Ogretmen],$K146),"")</f>
        <v>Tyulina Natalya</v>
      </c>
      <c r="F146" s="41" t="str">
        <f>IFERROR(INDEX(Personnel[[Sinav ]],$K146),"")</f>
        <v>21.05.2026 Sineva gitti gecdi</v>
      </c>
      <c r="G146" s="41" t="str">
        <f>IFERROR(INDEX(Personnel[Egtim durumu],$K146),"")</f>
        <v>Dil egitimi tamamlandi sinavdan gecti</v>
      </c>
      <c r="H146" s="41" t="str">
        <f>IFERROR(INDEX(Personnel[Shohruh Not],$K146),"")</f>
        <v>-</v>
      </c>
      <c r="I146" s="42">
        <f ca="1">IFERROR(INDEX(Personnel[Дней в РФ],$K146),"")</f>
        <v>106</v>
      </c>
      <c r="K146" s="23">
        <f t="array" ref="K146">IFERROR(_xlfn.AGGREGATE(15,6,(ROW(Personnel[Egtim durumu])-MIN(ROW(Personnel[Egtim durumu]))+1)/((Personnel[Egtim durumu]="Dil egitimi tamamlandi sinavdan gecti")),ROWS($K$7:K146)),"")</f>
        <v>173</v>
      </c>
    </row>
    <row r="147" spans="1:11" x14ac:dyDescent="0.25">
      <c r="A147" s="18">
        <f>IFERROR(INDEX(Personnel[Sicil],$K147),"")</f>
        <v>643501</v>
      </c>
      <c r="B147" s="17" t="str">
        <f>IFERROR(INDEX(Personnel[Adi Soyadi],$K147),"")</f>
        <v xml:space="preserve">Мейликулов Хусниддин Михли Угли </v>
      </c>
      <c r="C147" s="18" t="str">
        <f>IFERROR(INDEX(Personnel[Vatandaslik],$K147),"")</f>
        <v>УЗБЕКИСТАН</v>
      </c>
      <c r="D147" s="18" t="str">
        <f>IFERROR(INDEX(Personnel[Santiye],$K147),"")</f>
        <v>GPP Proje</v>
      </c>
      <c r="E147" s="18" t="str">
        <f>IFERROR(INDEX(Personnel[Ogretmen],$K147),"")</f>
        <v>Tyulina Natalya</v>
      </c>
      <c r="F147" s="17" t="str">
        <f>IFERROR(INDEX(Personnel[[Sinav ]],$K147),"")</f>
        <v>21.05.2026 Sineva gitti gecdi</v>
      </c>
      <c r="G147" s="17" t="str">
        <f>IFERROR(INDEX(Personnel[Egtim durumu],$K147),"")</f>
        <v>Dil egitimi tamamlandi sinavdan gecti</v>
      </c>
      <c r="H147" s="17" t="str">
        <f>IFERROR(INDEX(Personnel[Shohruh Not],$K147),"")</f>
        <v>-</v>
      </c>
      <c r="I147" s="22">
        <f ca="1">IFERROR(INDEX(Personnel[Дней в РФ],$K147),"")</f>
        <v>103</v>
      </c>
      <c r="K147" s="23">
        <f t="array" ref="K147">IFERROR(_xlfn.AGGREGATE(15,6,(ROW(Personnel[Egtim durumu])-MIN(ROW(Personnel[Egtim durumu]))+1)/((Personnel[Egtim durumu]="Dil egitimi tamamlandi sinavdan gecti")),ROWS($K$7:K147)),"")</f>
        <v>174</v>
      </c>
    </row>
    <row r="148" spans="1:11" x14ac:dyDescent="0.25">
      <c r="A148" s="40">
        <f>IFERROR(INDEX(Personnel[Sicil],$K148),"")</f>
        <v>643429</v>
      </c>
      <c r="B148" s="41" t="str">
        <f>IFERROR(INDEX(Personnel[Adi Soyadi],$K148),"")</f>
        <v>Муртазов Элбек Мухтарович</v>
      </c>
      <c r="C148" s="40" t="str">
        <f>IFERROR(INDEX(Personnel[Vatandaslik],$K148),"")</f>
        <v>УЗБЕКИСТАН</v>
      </c>
      <c r="D148" s="40" t="str">
        <f>IFERROR(INDEX(Personnel[Santiye],$K148),"")</f>
        <v>GPP Proje</v>
      </c>
      <c r="E148" s="40" t="str">
        <f>IFERROR(INDEX(Personnel[Ogretmen],$K148),"")</f>
        <v>Tyulina Natalya</v>
      </c>
      <c r="F148" s="41" t="str">
        <f>IFERROR(INDEX(Personnel[[Sinav ]],$K148),"")</f>
        <v>22.05.2026 Sineva gitti gecdi</v>
      </c>
      <c r="G148" s="41" t="str">
        <f>IFERROR(INDEX(Personnel[Egtim durumu],$K148),"")</f>
        <v>Dil egitimi tamamlandi sinavdan gecti</v>
      </c>
      <c r="H148" s="41" t="str">
        <f>IFERROR(INDEX(Personnel[Shohruh Not],$K148),"")</f>
        <v>-</v>
      </c>
      <c r="I148" s="42">
        <f ca="1">IFERROR(INDEX(Personnel[Дней в РФ],$K148),"")</f>
        <v>104</v>
      </c>
      <c r="K148" s="23">
        <f t="array" ref="K148">IFERROR(_xlfn.AGGREGATE(15,6,(ROW(Personnel[Egtim durumu])-MIN(ROW(Personnel[Egtim durumu]))+1)/((Personnel[Egtim durumu]="Dil egitimi tamamlandi sinavdan gecti")),ROWS($K$7:K148)),"")</f>
        <v>175</v>
      </c>
    </row>
    <row r="149" spans="1:11" x14ac:dyDescent="0.25">
      <c r="A149" s="18">
        <f>IFERROR(INDEX(Personnel[Sicil],$K149),"")</f>
        <v>643431</v>
      </c>
      <c r="B149" s="17" t="str">
        <f>IFERROR(INDEX(Personnel[Adi Soyadi],$K149),"")</f>
        <v>Муртазов Ойбек Мухторович</v>
      </c>
      <c r="C149" s="18" t="str">
        <f>IFERROR(INDEX(Personnel[Vatandaslik],$K149),"")</f>
        <v>УЗБЕКИСТАН</v>
      </c>
      <c r="D149" s="18" t="str">
        <f>IFERROR(INDEX(Personnel[Santiye],$K149),"")</f>
        <v>GPP Proje</v>
      </c>
      <c r="E149" s="18" t="str">
        <f>IFERROR(INDEX(Personnel[Ogretmen],$K149),"")</f>
        <v>Tyulina Natalya</v>
      </c>
      <c r="F149" s="17" t="str">
        <f>IFERROR(INDEX(Personnel[[Sinav ]],$K149),"")</f>
        <v>22.05.2026 Sineva gitti gecdi</v>
      </c>
      <c r="G149" s="17" t="str">
        <f>IFERROR(INDEX(Personnel[Egtim durumu],$K149),"")</f>
        <v>Dil egitimi tamamlandi sinavdan gecti</v>
      </c>
      <c r="H149" s="17" t="str">
        <f>IFERROR(INDEX(Personnel[Shohruh Not],$K149),"")</f>
        <v>-</v>
      </c>
      <c r="I149" s="22">
        <f ca="1">IFERROR(INDEX(Personnel[Дней в РФ],$K149),"")</f>
        <v>104</v>
      </c>
      <c r="K149" s="23">
        <f t="array" ref="K149">IFERROR(_xlfn.AGGREGATE(15,6,(ROW(Personnel[Egtim durumu])-MIN(ROW(Personnel[Egtim durumu]))+1)/((Personnel[Egtim durumu]="Dil egitimi tamamlandi sinavdan gecti")),ROWS($K$7:K149)),"")</f>
        <v>176</v>
      </c>
    </row>
    <row r="150" spans="1:11" ht="25.5" x14ac:dyDescent="0.25">
      <c r="A150" s="40">
        <f>IFERROR(INDEX(Personnel[Sicil],$K150),"")</f>
        <v>643381</v>
      </c>
      <c r="B150" s="41" t="str">
        <f>IFERROR(INDEX(Personnel[Adi Soyadi],$K150),"")</f>
        <v>Низомиддинов Шохрух Кутбиддин Угли</v>
      </c>
      <c r="C150" s="40" t="str">
        <f>IFERROR(INDEX(Personnel[Vatandaslik],$K150),"")</f>
        <v>УЗБЕКИСТАН</v>
      </c>
      <c r="D150" s="40" t="str">
        <f>IFERROR(INDEX(Personnel[Santiye],$K150),"")</f>
        <v>GPP Proje</v>
      </c>
      <c r="E150" s="40" t="str">
        <f>IFERROR(INDEX(Personnel[Ogretmen],$K150),"")</f>
        <v>Tyulina Natalya</v>
      </c>
      <c r="F150" s="41" t="str">
        <f>IFERROR(INDEX(Personnel[[Sinav ]],$K150),"")</f>
        <v>21.05.2026 Sineva gitti gecdi</v>
      </c>
      <c r="G150" s="41" t="str">
        <f>IFERROR(INDEX(Personnel[Egtim durumu],$K150),"")</f>
        <v>Dil egitimi tamamlandi sinavdan gecti</v>
      </c>
      <c r="H150" s="41" t="str">
        <f>IFERROR(INDEX(Personnel[Shohruh Not],$K150),"")</f>
        <v>-</v>
      </c>
      <c r="I150" s="42">
        <f ca="1">IFERROR(INDEX(Personnel[Дней в РФ],$K150),"")</f>
        <v>106</v>
      </c>
      <c r="K150" s="23">
        <f t="array" ref="K150">IFERROR(_xlfn.AGGREGATE(15,6,(ROW(Personnel[Egtim durumu])-MIN(ROW(Personnel[Egtim durumu]))+1)/((Personnel[Egtim durumu]="Dil egitimi tamamlandi sinavdan gecti")),ROWS($K$7:K150)),"")</f>
        <v>177</v>
      </c>
    </row>
    <row r="151" spans="1:11" x14ac:dyDescent="0.25">
      <c r="A151" s="18">
        <f>IFERROR(INDEX(Personnel[Sicil],$K151),"")</f>
        <v>643502</v>
      </c>
      <c r="B151" s="17" t="str">
        <f>IFERROR(INDEX(Personnel[Adi Soyadi],$K151),"")</f>
        <v xml:space="preserve">Норбутаев Орифжон Бахриддинович </v>
      </c>
      <c r="C151" s="18" t="str">
        <f>IFERROR(INDEX(Personnel[Vatandaslik],$K151),"")</f>
        <v>УЗБЕКИСТАН</v>
      </c>
      <c r="D151" s="18" t="str">
        <f>IFERROR(INDEX(Personnel[Santiye],$K151),"")</f>
        <v>GPP Proje</v>
      </c>
      <c r="E151" s="18" t="str">
        <f>IFERROR(INDEX(Personnel[Ogretmen],$K151),"")</f>
        <v>Tyulina Natalya</v>
      </c>
      <c r="F151" s="17" t="str">
        <f>IFERROR(INDEX(Personnel[[Sinav ]],$K151),"")</f>
        <v>22.05.2026 Sineva gitti gecdi</v>
      </c>
      <c r="G151" s="17" t="str">
        <f>IFERROR(INDEX(Personnel[Egtim durumu],$K151),"")</f>
        <v>Dil egitimi tamamlandi sinavdan gecti</v>
      </c>
      <c r="H151" s="17" t="str">
        <f>IFERROR(INDEX(Personnel[Shohruh Not],$K151),"")</f>
        <v>-</v>
      </c>
      <c r="I151" s="22">
        <f ca="1">IFERROR(INDEX(Personnel[Дней в РФ],$K151),"")</f>
        <v>103</v>
      </c>
      <c r="K151" s="23">
        <f t="array" ref="K151">IFERROR(_xlfn.AGGREGATE(15,6,(ROW(Personnel[Egtim durumu])-MIN(ROW(Personnel[Egtim durumu]))+1)/((Personnel[Egtim durumu]="Dil egitimi tamamlandi sinavdan gecti")),ROWS($K$7:K151)),"")</f>
        <v>178</v>
      </c>
    </row>
    <row r="152" spans="1:11" x14ac:dyDescent="0.25">
      <c r="A152" s="40">
        <f>IFERROR(INDEX(Personnel[Sicil],$K152),"")</f>
        <v>643390</v>
      </c>
      <c r="B152" s="41" t="str">
        <f>IFERROR(INDEX(Personnel[Adi Soyadi],$K152),"")</f>
        <v>Нормуродов Жалол Жамшид Угли</v>
      </c>
      <c r="C152" s="40" t="str">
        <f>IFERROR(INDEX(Personnel[Vatandaslik],$K152),"")</f>
        <v>УЗБЕКИСТАН</v>
      </c>
      <c r="D152" s="40" t="str">
        <f>IFERROR(INDEX(Personnel[Santiye],$K152),"")</f>
        <v>GPP Proje</v>
      </c>
      <c r="E152" s="40" t="str">
        <f>IFERROR(INDEX(Personnel[Ogretmen],$K152),"")</f>
        <v xml:space="preserve">Ziazetdinov Arslan </v>
      </c>
      <c r="F152" s="41" t="str">
        <f>IFERROR(INDEX(Personnel[[Sinav ]],$K152),"")</f>
        <v>20.05.2026 Sineva gitti gecdi</v>
      </c>
      <c r="G152" s="41" t="str">
        <f>IFERROR(INDEX(Personnel[Egtim durumu],$K152),"")</f>
        <v>Dil egitimi tamamlandi sinavdan gecti</v>
      </c>
      <c r="H152" s="41" t="str">
        <f>IFERROR(INDEX(Personnel[Shohruh Not],$K152),"")</f>
        <v>-</v>
      </c>
      <c r="I152" s="42">
        <f ca="1">IFERROR(INDEX(Personnel[Дней в РФ],$K152),"")</f>
        <v>106</v>
      </c>
      <c r="K152" s="23">
        <f t="array" ref="K152">IFERROR(_xlfn.AGGREGATE(15,6,(ROW(Personnel[Egtim durumu])-MIN(ROW(Personnel[Egtim durumu]))+1)/((Personnel[Egtim durumu]="Dil egitimi tamamlandi sinavdan gecti")),ROWS($K$7:K152)),"")</f>
        <v>179</v>
      </c>
    </row>
    <row r="153" spans="1:11" x14ac:dyDescent="0.25">
      <c r="A153" s="18">
        <f>IFERROR(INDEX(Personnel[Sicil],$K153),"")</f>
        <v>643463</v>
      </c>
      <c r="B153" s="17" t="str">
        <f>IFERROR(INDEX(Personnel[Adi Soyadi],$K153),"")</f>
        <v>Носиров Достон Нажмиддин Угли</v>
      </c>
      <c r="C153" s="18" t="str">
        <f>IFERROR(INDEX(Personnel[Vatandaslik],$K153),"")</f>
        <v>УЗБЕКИСТАН</v>
      </c>
      <c r="D153" s="18" t="str">
        <f>IFERROR(INDEX(Personnel[Santiye],$K153),"")</f>
        <v>GPP Proje</v>
      </c>
      <c r="E153" s="18" t="str">
        <f>IFERROR(INDEX(Personnel[Ogretmen],$K153),"")</f>
        <v xml:space="preserve">Ziazetdinov Arslan </v>
      </c>
      <c r="F153" s="17" t="str">
        <f>IFERROR(INDEX(Personnel[[Sinav ]],$K153),"")</f>
        <v>26.05.2026 Sineva gitti gecdi</v>
      </c>
      <c r="G153" s="17" t="str">
        <f>IFERROR(INDEX(Personnel[Egtim durumu],$K153),"")</f>
        <v>Dil egitimi tamamlandi sinavdan gecti</v>
      </c>
      <c r="H153" s="17" t="str">
        <f>IFERROR(INDEX(Personnel[Shohruh Not],$K153),"")</f>
        <v>-</v>
      </c>
      <c r="I153" s="22">
        <f ca="1">IFERROR(INDEX(Personnel[Дней в РФ],$K153),"")</f>
        <v>105</v>
      </c>
      <c r="K153" s="23">
        <f t="array" ref="K153">IFERROR(_xlfn.AGGREGATE(15,6,(ROW(Personnel[Egtim durumu])-MIN(ROW(Personnel[Egtim durumu]))+1)/((Personnel[Egtim durumu]="Dil egitimi tamamlandi sinavdan gecti")),ROWS($K$7:K153)),"")</f>
        <v>180</v>
      </c>
    </row>
    <row r="154" spans="1:11" ht="25.5" x14ac:dyDescent="0.25">
      <c r="A154" s="40">
        <f>IFERROR(INDEX(Personnel[Sicil],$K154),"")</f>
        <v>643500</v>
      </c>
      <c r="B154" s="41" t="str">
        <f>IFERROR(INDEX(Personnel[Adi Soyadi],$K154),"")</f>
        <v>Нуркобилов Файзулла Рахматулла Угли</v>
      </c>
      <c r="C154" s="40" t="str">
        <f>IFERROR(INDEX(Personnel[Vatandaslik],$K154),"")</f>
        <v>УЗБЕКИСТАН</v>
      </c>
      <c r="D154" s="40" t="str">
        <f>IFERROR(INDEX(Personnel[Santiye],$K154),"")</f>
        <v>GPP Proje</v>
      </c>
      <c r="E154" s="40" t="str">
        <f>IFERROR(INDEX(Personnel[Ogretmen],$K154),"")</f>
        <v xml:space="preserve">Ziazetdinov Arslan </v>
      </c>
      <c r="F154" s="41" t="str">
        <f>IFERROR(INDEX(Personnel[[Sinav ]],$K154),"")</f>
        <v>26.05.2026 Sineva gitti gecdi</v>
      </c>
      <c r="G154" s="41" t="str">
        <f>IFERROR(INDEX(Personnel[Egtim durumu],$K154),"")</f>
        <v>Dil egitimi tamamlandi sinavdan gecti</v>
      </c>
      <c r="H154" s="41" t="str">
        <f>IFERROR(INDEX(Personnel[Shohruh Not],$K154),"")</f>
        <v>-</v>
      </c>
      <c r="I154" s="42">
        <f ca="1">IFERROR(INDEX(Personnel[Дней в РФ],$K154),"")</f>
        <v>103</v>
      </c>
      <c r="K154" s="23">
        <f t="array" ref="K154">IFERROR(_xlfn.AGGREGATE(15,6,(ROW(Personnel[Egtim durumu])-MIN(ROW(Personnel[Egtim durumu]))+1)/((Personnel[Egtim durumu]="Dil egitimi tamamlandi sinavdan gecti")),ROWS($K$7:K154)),"")</f>
        <v>181</v>
      </c>
    </row>
    <row r="155" spans="1:11" x14ac:dyDescent="0.25">
      <c r="A155" s="18">
        <f>IFERROR(INDEX(Personnel[Sicil],$K155),"")</f>
        <v>643499</v>
      </c>
      <c r="B155" s="17" t="str">
        <f>IFERROR(INDEX(Personnel[Adi Soyadi],$K155),"")</f>
        <v xml:space="preserve">Омонкулов Хасан Мухиддин Угли </v>
      </c>
      <c r="C155" s="18" t="str">
        <f>IFERROR(INDEX(Personnel[Vatandaslik],$K155),"")</f>
        <v>УЗБЕКИСТАН</v>
      </c>
      <c r="D155" s="18" t="str">
        <f>IFERROR(INDEX(Personnel[Santiye],$K155),"")</f>
        <v>GPP Proje</v>
      </c>
      <c r="E155" s="18" t="str">
        <f>IFERROR(INDEX(Personnel[Ogretmen],$K155),"")</f>
        <v>Tyulina Natalya</v>
      </c>
      <c r="F155" s="17" t="str">
        <f>IFERROR(INDEX(Personnel[[Sinav ]],$K155),"")</f>
        <v>21.05.2026 Sineva gitti gecdi</v>
      </c>
      <c r="G155" s="17" t="str">
        <f>IFERROR(INDEX(Personnel[Egtim durumu],$K155),"")</f>
        <v>Dil egitimi tamamlandi sinavdan gecti</v>
      </c>
      <c r="H155" s="17" t="str">
        <f>IFERROR(INDEX(Personnel[Shohruh Not],$K155),"")</f>
        <v>-</v>
      </c>
      <c r="I155" s="22">
        <f ca="1">IFERROR(INDEX(Personnel[Дней в РФ],$K155),"")</f>
        <v>103</v>
      </c>
      <c r="K155" s="23">
        <f t="array" ref="K155">IFERROR(_xlfn.AGGREGATE(15,6,(ROW(Personnel[Egtim durumu])-MIN(ROW(Personnel[Egtim durumu]))+1)/((Personnel[Egtim durumu]="Dil egitimi tamamlandi sinavdan gecti")),ROWS($K$7:K155)),"")</f>
        <v>182</v>
      </c>
    </row>
    <row r="156" spans="1:11" x14ac:dyDescent="0.25">
      <c r="A156" s="40">
        <f>IFERROR(INDEX(Personnel[Sicil],$K156),"")</f>
        <v>412421</v>
      </c>
      <c r="B156" s="41" t="str">
        <f>IFERROR(INDEX(Personnel[Adi Soyadi],$K156),"")</f>
        <v>Палванов Хамидбек Одилбекович</v>
      </c>
      <c r="C156" s="40" t="str">
        <f>IFERROR(INDEX(Personnel[Vatandaslik],$K156),"")</f>
        <v>УЗБЕКИСТАН</v>
      </c>
      <c r="D156" s="40" t="str">
        <f>IFERROR(INDEX(Personnel[Santiye],$K156),"")</f>
        <v>GPP Proje</v>
      </c>
      <c r="E156" s="40" t="str">
        <f>IFERROR(INDEX(Personnel[Ogretmen],$K156),"")</f>
        <v xml:space="preserve">Ziazetdinov Arslan </v>
      </c>
      <c r="F156" s="41" t="str">
        <f>IFERROR(INDEX(Personnel[[Sinav ]],$K156),"")</f>
        <v>26.05.2026 Sineva gitti gecdi</v>
      </c>
      <c r="G156" s="41" t="str">
        <f>IFERROR(INDEX(Personnel[Egtim durumu],$K156),"")</f>
        <v>Dil egitimi tamamlandi sinavdan gecti</v>
      </c>
      <c r="H156" s="41" t="str">
        <f>IFERROR(INDEX(Personnel[Shohruh Not],$K156),"")</f>
        <v>-</v>
      </c>
      <c r="I156" s="42">
        <f ca="1">IFERROR(INDEX(Personnel[Дней в РФ],$K156),"")</f>
        <v>103</v>
      </c>
      <c r="K156" s="23">
        <f t="array" ref="K156">IFERROR(_xlfn.AGGREGATE(15,6,(ROW(Personnel[Egtim durumu])-MIN(ROW(Personnel[Egtim durumu]))+1)/((Personnel[Egtim durumu]="Dil egitimi tamamlandi sinavdan gecti")),ROWS($K$7:K156)),"")</f>
        <v>183</v>
      </c>
    </row>
    <row r="157" spans="1:11" x14ac:dyDescent="0.25">
      <c r="A157" s="18">
        <f>IFERROR(INDEX(Personnel[Sicil],$K157),"")</f>
        <v>643503</v>
      </c>
      <c r="B157" s="17" t="str">
        <f>IFERROR(INDEX(Personnel[Adi Soyadi],$K157),"")</f>
        <v xml:space="preserve">Рахимов Сардор Хусинович </v>
      </c>
      <c r="C157" s="18" t="str">
        <f>IFERROR(INDEX(Personnel[Vatandaslik],$K157),"")</f>
        <v>УЗБЕКИСТАН</v>
      </c>
      <c r="D157" s="18" t="str">
        <f>IFERROR(INDEX(Personnel[Santiye],$K157),"")</f>
        <v>GPP Proje</v>
      </c>
      <c r="E157" s="18" t="str">
        <f>IFERROR(INDEX(Personnel[Ogretmen],$K157),"")</f>
        <v xml:space="preserve">Ziazetdinov Arslan </v>
      </c>
      <c r="F157" s="17" t="str">
        <f>IFERROR(INDEX(Personnel[[Sinav ]],$K157),"")</f>
        <v>26.05.2026 Sineva gitti gecdi</v>
      </c>
      <c r="G157" s="17" t="str">
        <f>IFERROR(INDEX(Personnel[Egtim durumu],$K157),"")</f>
        <v>Dil egitimi tamamlandi sinavdan gecti</v>
      </c>
      <c r="H157" s="17" t="str">
        <f>IFERROR(INDEX(Personnel[Shohruh Not],$K157),"")</f>
        <v>-</v>
      </c>
      <c r="I157" s="22">
        <f ca="1">IFERROR(INDEX(Personnel[Дней в РФ],$K157),"")</f>
        <v>103</v>
      </c>
      <c r="K157" s="23">
        <f t="array" ref="K157">IFERROR(_xlfn.AGGREGATE(15,6,(ROW(Personnel[Egtim durumu])-MIN(ROW(Personnel[Egtim durumu]))+1)/((Personnel[Egtim durumu]="Dil egitimi tamamlandi sinavdan gecti")),ROWS($K$7:K157)),"")</f>
        <v>184</v>
      </c>
    </row>
    <row r="158" spans="1:11" x14ac:dyDescent="0.25">
      <c r="A158" s="40">
        <f>IFERROR(INDEX(Personnel[Sicil],$K158),"")</f>
        <v>643440</v>
      </c>
      <c r="B158" s="41" t="str">
        <f>IFERROR(INDEX(Personnel[Adi Soyadi],$K158),"")</f>
        <v>Садуллаев Хусан Баходир Угли</v>
      </c>
      <c r="C158" s="40" t="str">
        <f>IFERROR(INDEX(Personnel[Vatandaslik],$K158),"")</f>
        <v>УЗБЕКИСТАН</v>
      </c>
      <c r="D158" s="40" t="str">
        <f>IFERROR(INDEX(Personnel[Santiye],$K158),"")</f>
        <v>GPP Proje</v>
      </c>
      <c r="E158" s="40" t="str">
        <f>IFERROR(INDEX(Personnel[Ogretmen],$K158),"")</f>
        <v>Tyulina Natalya</v>
      </c>
      <c r="F158" s="41" t="str">
        <f>IFERROR(INDEX(Personnel[[Sinav ]],$K158),"")</f>
        <v>21.05.2026 Sineva gitti gecdi</v>
      </c>
      <c r="G158" s="41" t="str">
        <f>IFERROR(INDEX(Personnel[Egtim durumu],$K158),"")</f>
        <v>Dil egitimi tamamlandi sinavdan gecti</v>
      </c>
      <c r="H158" s="41" t="str">
        <f>IFERROR(INDEX(Personnel[Shohruh Not],$K158),"")</f>
        <v>-</v>
      </c>
      <c r="I158" s="42">
        <f ca="1">IFERROR(INDEX(Personnel[Дней в РФ],$K158),"")</f>
        <v>105</v>
      </c>
      <c r="K158" s="23">
        <f t="array" ref="K158">IFERROR(_xlfn.AGGREGATE(15,6,(ROW(Personnel[Egtim durumu])-MIN(ROW(Personnel[Egtim durumu]))+1)/((Personnel[Egtim durumu]="Dil egitimi tamamlandi sinavdan gecti")),ROWS($K$7:K158)),"")</f>
        <v>185</v>
      </c>
    </row>
    <row r="159" spans="1:11" ht="25.5" x14ac:dyDescent="0.25">
      <c r="A159" s="18">
        <f>IFERROR(INDEX(Personnel[Sicil],$K159),"")</f>
        <v>634129</v>
      </c>
      <c r="B159" s="17" t="str">
        <f>IFERROR(INDEX(Personnel[Adi Soyadi],$K159),"")</f>
        <v>Абилаев Гулом Дилмурод Угли</v>
      </c>
      <c r="C159" s="18" t="str">
        <f>IFERROR(INDEX(Personnel[Vatandaslik],$K159),"")</f>
        <v>УЗБЕКИСТАН</v>
      </c>
      <c r="D159" s="18" t="str">
        <f>IFERROR(INDEX(Personnel[Santiye],$K159),"")</f>
        <v>GPP Proje</v>
      </c>
      <c r="E159" s="18" t="str">
        <f>IFERROR(INDEX(Personnel[Ogretmen],$K159),"")</f>
        <v xml:space="preserve">Ziazetdinov Arslan </v>
      </c>
      <c r="F159" s="17" t="str">
        <f>IFERROR(INDEX(Personnel[[Sinav ]],$K159),"")</f>
        <v>10.06.2026 Sineva gitti gecdi /10.06.2026 Sineva gitti gecdi</v>
      </c>
      <c r="G159" s="17" t="str">
        <f>IFERROR(INDEX(Personnel[Egtim durumu],$K159),"")</f>
        <v>Dil egitimi tamamlandi sinavdan gecti</v>
      </c>
      <c r="H159" s="17" t="str">
        <f>IFERROR(INDEX(Personnel[Shohruh Not],$K159),"")</f>
        <v>-</v>
      </c>
      <c r="I159" s="22">
        <f ca="1">IFERROR(INDEX(Personnel[Дней в РФ],$K159),"")</f>
        <v>427</v>
      </c>
      <c r="K159" s="23">
        <f t="array" ref="K159">IFERROR(_xlfn.AGGREGATE(15,6,(ROW(Personnel[Egtim durumu])-MIN(ROW(Personnel[Egtim durumu]))+1)/((Personnel[Egtim durumu]="Dil egitimi tamamlandi sinavdan gecti")),ROWS($K$7:K159)),"")</f>
        <v>186</v>
      </c>
    </row>
    <row r="160" spans="1:11" x14ac:dyDescent="0.25">
      <c r="A160" s="40">
        <f>IFERROR(INDEX(Personnel[Sicil],$K160),"")</f>
        <v>643432</v>
      </c>
      <c r="B160" s="41" t="str">
        <f>IFERROR(INDEX(Personnel[Adi Soyadi],$K160),"")</f>
        <v>Саидмуродов Хусан Икромович</v>
      </c>
      <c r="C160" s="40" t="str">
        <f>IFERROR(INDEX(Personnel[Vatandaslik],$K160),"")</f>
        <v>УЗБЕКИСТАН</v>
      </c>
      <c r="D160" s="40" t="str">
        <f>IFERROR(INDEX(Personnel[Santiye],$K160),"")</f>
        <v>GPP Proje</v>
      </c>
      <c r="E160" s="40" t="str">
        <f>IFERROR(INDEX(Personnel[Ogretmen],$K160),"")</f>
        <v xml:space="preserve">Ziazetdinov Arslan </v>
      </c>
      <c r="F160" s="41" t="str">
        <f>IFERROR(INDEX(Personnel[[Sinav ]],$K160),"")</f>
        <v>22.05.2026 Sineva gitti gecdi</v>
      </c>
      <c r="G160" s="41" t="str">
        <f>IFERROR(INDEX(Personnel[Egtim durumu],$K160),"")</f>
        <v>Dil egitimi tamamlandi sinavdan gecti</v>
      </c>
      <c r="H160" s="41" t="str">
        <f>IFERROR(INDEX(Personnel[Shohruh Not],$K160),"")</f>
        <v>-</v>
      </c>
      <c r="I160" s="42">
        <f ca="1">IFERROR(INDEX(Personnel[Дней в РФ],$K160),"")</f>
        <v>104</v>
      </c>
      <c r="K160" s="23">
        <f t="array" ref="K160">IFERROR(_xlfn.AGGREGATE(15,6,(ROW(Personnel[Egtim durumu])-MIN(ROW(Personnel[Egtim durumu]))+1)/((Personnel[Egtim durumu]="Dil egitimi tamamlandi sinavdan gecti")),ROWS($K$7:K160)),"")</f>
        <v>187</v>
      </c>
    </row>
    <row r="161" spans="1:11" x14ac:dyDescent="0.25">
      <c r="A161" s="18">
        <f>IFERROR(INDEX(Personnel[Sicil],$K161),"")</f>
        <v>643507</v>
      </c>
      <c r="B161" s="17" t="str">
        <f>IFERROR(INDEX(Personnel[Adi Soyadi],$K161),"")</f>
        <v xml:space="preserve">Туратов Жумабой Журабой Угли </v>
      </c>
      <c r="C161" s="18" t="str">
        <f>IFERROR(INDEX(Personnel[Vatandaslik],$K161),"")</f>
        <v>УЗБЕКИСТАН</v>
      </c>
      <c r="D161" s="18" t="str">
        <f>IFERROR(INDEX(Personnel[Santiye],$K161),"")</f>
        <v>GPP Proje</v>
      </c>
      <c r="E161" s="18" t="str">
        <f>IFERROR(INDEX(Personnel[Ogretmen],$K161),"")</f>
        <v xml:space="preserve">Ziazetdinov Arslan </v>
      </c>
      <c r="F161" s="17" t="str">
        <f>IFERROR(INDEX(Personnel[[Sinav ]],$K161),"")</f>
        <v>22.05.2026 Sineva gitti gecdi</v>
      </c>
      <c r="G161" s="17" t="str">
        <f>IFERROR(INDEX(Personnel[Egtim durumu],$K161),"")</f>
        <v>Dil egitimi tamamlandi sinavdan gecti</v>
      </c>
      <c r="H161" s="17" t="str">
        <f>IFERROR(INDEX(Personnel[Shohruh Not],$K161),"")</f>
        <v>-</v>
      </c>
      <c r="I161" s="22">
        <f ca="1">IFERROR(INDEX(Personnel[Дней в РФ],$K161),"")</f>
        <v>103</v>
      </c>
      <c r="K161" s="23">
        <f t="array" ref="K161">IFERROR(_xlfn.AGGREGATE(15,6,(ROW(Personnel[Egtim durumu])-MIN(ROW(Personnel[Egtim durumu]))+1)/((Personnel[Egtim durumu]="Dil egitimi tamamlandi sinavdan gecti")),ROWS($K$7:K161)),"")</f>
        <v>188</v>
      </c>
    </row>
    <row r="162" spans="1:11" x14ac:dyDescent="0.25">
      <c r="A162" s="40">
        <f>IFERROR(INDEX(Personnel[Sicil],$K162),"")</f>
        <v>643423</v>
      </c>
      <c r="B162" s="41" t="str">
        <f>IFERROR(INDEX(Personnel[Adi Soyadi],$K162),"")</f>
        <v>Турдиалиев Жахонгир Бахтиёр Угли</v>
      </c>
      <c r="C162" s="40" t="str">
        <f>IFERROR(INDEX(Personnel[Vatandaslik],$K162),"")</f>
        <v>УЗБЕКИСТАН</v>
      </c>
      <c r="D162" s="40" t="str">
        <f>IFERROR(INDEX(Personnel[Santiye],$K162),"")</f>
        <v>GPP Proje</v>
      </c>
      <c r="E162" s="40" t="str">
        <f>IFERROR(INDEX(Personnel[Ogretmen],$K162),"")</f>
        <v xml:space="preserve">Ziazetdinov Arslan </v>
      </c>
      <c r="F162" s="41" t="str">
        <f>IFERROR(INDEX(Personnel[[Sinav ]],$K162),"")</f>
        <v>22.05.2026 Sineva gitti gecdi</v>
      </c>
      <c r="G162" s="41" t="str">
        <f>IFERROR(INDEX(Personnel[Egtim durumu],$K162),"")</f>
        <v>Dil egitimi tamamlandi sinavdan gecti</v>
      </c>
      <c r="H162" s="41" t="str">
        <f>IFERROR(INDEX(Personnel[Shohruh Not],$K162),"")</f>
        <v>-</v>
      </c>
      <c r="I162" s="42">
        <f ca="1">IFERROR(INDEX(Personnel[Дней в РФ],$K162),"")</f>
        <v>105</v>
      </c>
      <c r="K162" s="23">
        <f t="array" ref="K162">IFERROR(_xlfn.AGGREGATE(15,6,(ROW(Personnel[Egtim durumu])-MIN(ROW(Personnel[Egtim durumu]))+1)/((Personnel[Egtim durumu]="Dil egitimi tamamlandi sinavdan gecti")),ROWS($K$7:K162)),"")</f>
        <v>189</v>
      </c>
    </row>
    <row r="163" spans="1:11" x14ac:dyDescent="0.25">
      <c r="A163" s="18">
        <f>IFERROR(INDEX(Personnel[Sicil],$K163),"")</f>
        <v>643504</v>
      </c>
      <c r="B163" s="17" t="str">
        <f>IFERROR(INDEX(Personnel[Adi Soyadi],$K163),"")</f>
        <v xml:space="preserve">Турдиев Шахзод Дилшод Угли </v>
      </c>
      <c r="C163" s="18" t="str">
        <f>IFERROR(INDEX(Personnel[Vatandaslik],$K163),"")</f>
        <v>УЗБЕКИСТАН</v>
      </c>
      <c r="D163" s="18" t="str">
        <f>IFERROR(INDEX(Personnel[Santiye],$K163),"")</f>
        <v>GPP Proje</v>
      </c>
      <c r="E163" s="18" t="str">
        <f>IFERROR(INDEX(Personnel[Ogretmen],$K163),"")</f>
        <v xml:space="preserve">Ziazetdinov Arslan </v>
      </c>
      <c r="F163" s="17" t="str">
        <f>IFERROR(INDEX(Personnel[[Sinav ]],$K163),"")</f>
        <v>22.05.2026 Sineva gitti gecdi</v>
      </c>
      <c r="G163" s="17" t="str">
        <f>IFERROR(INDEX(Personnel[Egtim durumu],$K163),"")</f>
        <v>Dil egitimi tamamlandi sinavdan gecti</v>
      </c>
      <c r="H163" s="17" t="str">
        <f>IFERROR(INDEX(Personnel[Shohruh Not],$K163),"")</f>
        <v>-</v>
      </c>
      <c r="I163" s="22">
        <f ca="1">IFERROR(INDEX(Personnel[Дней в РФ],$K163),"")</f>
        <v>103</v>
      </c>
      <c r="K163" s="23">
        <f t="array" ref="K163">IFERROR(_xlfn.AGGREGATE(15,6,(ROW(Personnel[Egtim durumu])-MIN(ROW(Personnel[Egtim durumu]))+1)/((Personnel[Egtim durumu]="Dil egitimi tamamlandi sinavdan gecti")),ROWS($K$7:K163)),"")</f>
        <v>190</v>
      </c>
    </row>
    <row r="164" spans="1:11" ht="25.5" x14ac:dyDescent="0.25">
      <c r="A164" s="40">
        <f>IFERROR(INDEX(Personnel[Sicil],$K164),"")</f>
        <v>643461</v>
      </c>
      <c r="B164" s="41" t="str">
        <f>IFERROR(INDEX(Personnel[Adi Soyadi],$K164),"")</f>
        <v>Юлдашев Навруз Эшмахаматович</v>
      </c>
      <c r="C164" s="40" t="str">
        <f>IFERROR(INDEX(Personnel[Vatandaslik],$K164),"")</f>
        <v>УЗБЕКИСТАН</v>
      </c>
      <c r="D164" s="40" t="str">
        <f>IFERROR(INDEX(Personnel[Santiye],$K164),"")</f>
        <v>GPP Proje</v>
      </c>
      <c r="E164" s="40" t="str">
        <f>IFERROR(INDEX(Personnel[Ogretmen],$K164),"")</f>
        <v>Tyulina Natalya / Ziaztdinov Arslan</v>
      </c>
      <c r="F164" s="41" t="str">
        <f>IFERROR(INDEX(Personnel[[Sinav ]],$K164),"")</f>
        <v>22.05.2026 Sineva gitti gecemedi /26.05.2026 Sineva gitti gecdi</v>
      </c>
      <c r="G164" s="41" t="str">
        <f>IFERROR(INDEX(Personnel[Egtim durumu],$K164),"")</f>
        <v>Dil egitimi tamamlandi sinavdan gecti</v>
      </c>
      <c r="H164" s="41" t="str">
        <f>IFERROR(INDEX(Personnel[Shohruh Not],$K164),"")</f>
        <v>-</v>
      </c>
      <c r="I164" s="42">
        <f ca="1">IFERROR(INDEX(Personnel[Дней в РФ],$K164),"")</f>
        <v>105</v>
      </c>
      <c r="K164" s="23">
        <f t="array" ref="K164">IFERROR(_xlfn.AGGREGATE(15,6,(ROW(Personnel[Egtim durumu])-MIN(ROW(Personnel[Egtim durumu]))+1)/((Personnel[Egtim durumu]="Dil egitimi tamamlandi sinavdan gecti")),ROWS($K$7:K164)),"")</f>
        <v>191</v>
      </c>
    </row>
    <row r="165" spans="1:11" x14ac:dyDescent="0.25">
      <c r="A165" s="18">
        <f>IFERROR(INDEX(Personnel[Sicil],$K165),"")</f>
        <v>643377</v>
      </c>
      <c r="B165" s="17" t="str">
        <f>IFERROR(INDEX(Personnel[Adi Soyadi],$K165),"")</f>
        <v>Зиятов Бахром Бахтиёр Угли</v>
      </c>
      <c r="C165" s="18" t="str">
        <f>IFERROR(INDEX(Personnel[Vatandaslik],$K165),"")</f>
        <v>УЗБЕКИСТАН</v>
      </c>
      <c r="D165" s="18" t="str">
        <f>IFERROR(INDEX(Personnel[Santiye],$K165),"")</f>
        <v>GPP Proje</v>
      </c>
      <c r="E165" s="18" t="str">
        <f>IFERROR(INDEX(Personnel[Ogretmen],$K165),"")</f>
        <v xml:space="preserve">Ziazetdinov Arslan </v>
      </c>
      <c r="F165" s="17" t="str">
        <f>IFERROR(INDEX(Personnel[[Sinav ]],$K165),"")</f>
        <v>20.05.2026 Sineva gitti gecdi</v>
      </c>
      <c r="G165" s="17" t="str">
        <f>IFERROR(INDEX(Personnel[Egtim durumu],$K165),"")</f>
        <v>Dil egitimi tamamlandi sinavdan gecti</v>
      </c>
      <c r="H165" s="17" t="str">
        <f>IFERROR(INDEX(Personnel[Shohruh Not],$K165),"")</f>
        <v>-</v>
      </c>
      <c r="I165" s="22">
        <f ca="1">IFERROR(INDEX(Personnel[Дней в РФ],$K165),"")</f>
        <v>106</v>
      </c>
      <c r="K165" s="23">
        <f t="array" ref="K165">IFERROR(_xlfn.AGGREGATE(15,6,(ROW(Personnel[Egtim durumu])-MIN(ROW(Personnel[Egtim durumu]))+1)/((Personnel[Egtim durumu]="Dil egitimi tamamlandi sinavdan gecti")),ROWS($K$7:K165)),"")</f>
        <v>192</v>
      </c>
    </row>
    <row r="166" spans="1:11" x14ac:dyDescent="0.25">
      <c r="A166" s="40">
        <f>IFERROR(INDEX(Personnel[Sicil],$K166),"")</f>
        <v>609996</v>
      </c>
      <c r="B166" s="41" t="str">
        <f>IFERROR(INDEX(Personnel[Adi Soyadi],$K166),"")</f>
        <v>Абаев Мекан Уринбай Угли</v>
      </c>
      <c r="C166" s="40" t="str">
        <f>IFERROR(INDEX(Personnel[Vatandaslik],$K166),"")</f>
        <v>УЗБЕКИСТАН</v>
      </c>
      <c r="D166" s="40" t="str">
        <f>IFERROR(INDEX(Personnel[Santiye],$K166),"")</f>
        <v>GPP Proje</v>
      </c>
      <c r="E166" s="40" t="str">
        <f>IFERROR(INDEX(Personnel[Ogretmen],$K166),"")</f>
        <v xml:space="preserve">Ziazetdinov Arslan </v>
      </c>
      <c r="F166" s="41" t="str">
        <f>IFERROR(INDEX(Personnel[[Sinav ]],$K166),"")</f>
        <v>22.05.2026 Sineva gitti gecdi</v>
      </c>
      <c r="G166" s="41" t="str">
        <f>IFERROR(INDEX(Personnel[Egtim durumu],$K166),"")</f>
        <v>Dil egitimi tamamlandi sinavdan gecti</v>
      </c>
      <c r="H166" s="41" t="str">
        <f>IFERROR(INDEX(Personnel[Shohruh Not],$K166),"")</f>
        <v>-</v>
      </c>
      <c r="I166" s="42">
        <f ca="1">IFERROR(INDEX(Personnel[Дней в РФ],$K166),"")</f>
        <v>105</v>
      </c>
      <c r="K166" s="23">
        <f t="array" ref="K166">IFERROR(_xlfn.AGGREGATE(15,6,(ROW(Personnel[Egtim durumu])-MIN(ROW(Personnel[Egtim durumu]))+1)/((Personnel[Egtim durumu]="Dil egitimi tamamlandi sinavdan gecti")),ROWS($K$7:K166)),"")</f>
        <v>193</v>
      </c>
    </row>
    <row r="167" spans="1:11" x14ac:dyDescent="0.25">
      <c r="A167" s="18">
        <f>IFERROR(INDEX(Personnel[Sicil],$K167),"")</f>
        <v>643456</v>
      </c>
      <c r="B167" s="17" t="str">
        <f>IFERROR(INDEX(Personnel[Adi Soyadi],$K167),"")</f>
        <v>Ахраров Олимжон Ахматович</v>
      </c>
      <c r="C167" s="18" t="str">
        <f>IFERROR(INDEX(Personnel[Vatandaslik],$K167),"")</f>
        <v>УЗБЕКИСТАН</v>
      </c>
      <c r="D167" s="18" t="str">
        <f>IFERROR(INDEX(Personnel[Santiye],$K167),"")</f>
        <v>GPP Proje</v>
      </c>
      <c r="E167" s="18" t="str">
        <f>IFERROR(INDEX(Personnel[Ogretmen],$K167),"")</f>
        <v xml:space="preserve">Ziazetdinov Arslan </v>
      </c>
      <c r="F167" s="17" t="str">
        <f>IFERROR(INDEX(Personnel[[Sinav ]],$K167),"")</f>
        <v>20.05.2026 Sineva gitti gecdi</v>
      </c>
      <c r="G167" s="17" t="str">
        <f>IFERROR(INDEX(Personnel[Egtim durumu],$K167),"")</f>
        <v>Dil egitimi tamamlandi sinavdan gecti</v>
      </c>
      <c r="H167" s="17" t="str">
        <f>IFERROR(INDEX(Personnel[Shohruh Not],$K167),"")</f>
        <v>-</v>
      </c>
      <c r="I167" s="22">
        <f ca="1">IFERROR(INDEX(Personnel[Дней в РФ],$K167),"")</f>
        <v>105</v>
      </c>
      <c r="K167" s="23">
        <f t="array" ref="K167">IFERROR(_xlfn.AGGREGATE(15,6,(ROW(Personnel[Egtim durumu])-MIN(ROW(Personnel[Egtim durumu]))+1)/((Personnel[Egtim durumu]="Dil egitimi tamamlandi sinavdan gecti")),ROWS($K$7:K167)),"")</f>
        <v>194</v>
      </c>
    </row>
    <row r="168" spans="1:11" ht="25.5" x14ac:dyDescent="0.25">
      <c r="A168" s="40">
        <f>IFERROR(INDEX(Personnel[Sicil],$K168),"")</f>
        <v>617012</v>
      </c>
      <c r="B168" s="41" t="str">
        <f>IFERROR(INDEX(Personnel[Adi Soyadi],$K168),"")</f>
        <v>Аликулов Жавохир Нурмухаммадович</v>
      </c>
      <c r="C168" s="40" t="str">
        <f>IFERROR(INDEX(Personnel[Vatandaslik],$K168),"")</f>
        <v>УЗБЕКИСТАН</v>
      </c>
      <c r="D168" s="40" t="str">
        <f>IFERROR(INDEX(Personnel[Santiye],$K168),"")</f>
        <v>GPP Proje</v>
      </c>
      <c r="E168" s="40" t="str">
        <f>IFERROR(INDEX(Personnel[Ogretmen],$K168),"")</f>
        <v>Ziazetdinov Arslan / Ziazetdinov Arslan</v>
      </c>
      <c r="F168" s="41" t="str">
        <f>IFERROR(INDEX(Personnel[[Sinav ]],$K168),"")</f>
        <v>26.05.2026 Sineva gitti gecemedi / 03.06.2026 sineva gitti gecdi</v>
      </c>
      <c r="G168" s="41" t="str">
        <f>IFERROR(INDEX(Personnel[Egtim durumu],$K168),"")</f>
        <v>Dil egitimi tamamlandi sinavdan gecti</v>
      </c>
      <c r="H168" s="41" t="str">
        <f>IFERROR(INDEX(Personnel[Shohruh Not],$K168),"")</f>
        <v>-</v>
      </c>
      <c r="I168" s="42">
        <f ca="1">IFERROR(INDEX(Personnel[Дней в РФ],$K168),"")</f>
        <v>470</v>
      </c>
      <c r="K168" s="23">
        <f t="array" ref="K168">IFERROR(_xlfn.AGGREGATE(15,6,(ROW(Personnel[Egtim durumu])-MIN(ROW(Personnel[Egtim durumu]))+1)/((Personnel[Egtim durumu]="Dil egitimi tamamlandi sinavdan gecti")),ROWS($K$7:K168)),"")</f>
        <v>195</v>
      </c>
    </row>
    <row r="169" spans="1:11" x14ac:dyDescent="0.25">
      <c r="A169" s="18">
        <f>IFERROR(INDEX(Personnel[Sicil],$K169),"")</f>
        <v>488398</v>
      </c>
      <c r="B169" s="17" t="str">
        <f>IFERROR(INDEX(Personnel[Adi Soyadi],$K169),"")</f>
        <v>Алламов Рустам Отаназарович</v>
      </c>
      <c r="C169" s="18" t="str">
        <f>IFERROR(INDEX(Personnel[Vatandaslik],$K169),"")</f>
        <v>УЗБЕКИСТАН</v>
      </c>
      <c r="D169" s="18" t="str">
        <f>IFERROR(INDEX(Personnel[Santiye],$K169),"")</f>
        <v>GPP Proje</v>
      </c>
      <c r="E169" s="18" t="str">
        <f>IFERROR(INDEX(Personnel[Ogretmen],$K169),"")</f>
        <v xml:space="preserve">Ziazetdinov Arslan </v>
      </c>
      <c r="F169" s="17" t="str">
        <f>IFERROR(INDEX(Personnel[[Sinav ]],$K169),"")</f>
        <v>26.05.2026 Sineva gitti gecdi</v>
      </c>
      <c r="G169" s="17" t="str">
        <f>IFERROR(INDEX(Personnel[Egtim durumu],$K169),"")</f>
        <v>Dil egitimi tamamlandi sinavdan gecti</v>
      </c>
      <c r="H169" s="17" t="str">
        <f>IFERROR(INDEX(Personnel[Shohruh Not],$K169),"")</f>
        <v>-</v>
      </c>
      <c r="I169" s="22">
        <f ca="1">IFERROR(INDEX(Personnel[Дней в РФ],$K169),"")</f>
        <v>105</v>
      </c>
      <c r="K169" s="23">
        <f t="array" ref="K169">IFERROR(_xlfn.AGGREGATE(15,6,(ROW(Personnel[Egtim durumu])-MIN(ROW(Personnel[Egtim durumu]))+1)/((Personnel[Egtim durumu]="Dil egitimi tamamlandi sinavdan gecti")),ROWS($K$7:K169)),"")</f>
        <v>196</v>
      </c>
    </row>
    <row r="170" spans="1:11" ht="25.5" x14ac:dyDescent="0.25">
      <c r="A170" s="40">
        <f>IFERROR(INDEX(Personnel[Sicil],$K170),"")</f>
        <v>580161</v>
      </c>
      <c r="B170" s="41" t="str">
        <f>IFERROR(INDEX(Personnel[Adi Soyadi],$K170),"")</f>
        <v>Алламов Жасур Кадирберганович</v>
      </c>
      <c r="C170" s="40" t="str">
        <f>IFERROR(INDEX(Personnel[Vatandaslik],$K170),"")</f>
        <v>УЗБЕКИСТАН</v>
      </c>
      <c r="D170" s="40" t="str">
        <f>IFERROR(INDEX(Personnel[Santiye],$K170),"")</f>
        <v>GPP Proje</v>
      </c>
      <c r="E170" s="40" t="str">
        <f>IFERROR(INDEX(Personnel[Ogretmen],$K170),"")</f>
        <v>Ziazetdinov Arslan / Ziazetdinov Arslan</v>
      </c>
      <c r="F170" s="41" t="str">
        <f>IFERROR(INDEX(Personnel[[Sinav ]],$K170),"")</f>
        <v>26.05.2026 Sineva gitti gecemedi/05.06.2026 Sineva gitti gecdi</v>
      </c>
      <c r="G170" s="41" t="str">
        <f>IFERROR(INDEX(Personnel[Egtim durumu],$K170),"")</f>
        <v>Dil egitimi tamamlandi sinavdan gecti</v>
      </c>
      <c r="H170" s="41" t="str">
        <f>IFERROR(INDEX(Personnel[Shohruh Not],$K170),"")</f>
        <v>-</v>
      </c>
      <c r="I170" s="42">
        <f ca="1">IFERROR(INDEX(Personnel[Дней в РФ],$K170),"")</f>
        <v>105</v>
      </c>
      <c r="K170" s="23">
        <f t="array" ref="K170">IFERROR(_xlfn.AGGREGATE(15,6,(ROW(Personnel[Egtim durumu])-MIN(ROW(Personnel[Egtim durumu]))+1)/((Personnel[Egtim durumu]="Dil egitimi tamamlandi sinavdan gecti")),ROWS($K$7:K170)),"")</f>
        <v>197</v>
      </c>
    </row>
    <row r="171" spans="1:11" x14ac:dyDescent="0.25">
      <c r="A171" s="18">
        <f>IFERROR(INDEX(Personnel[Sicil],$K171),"")</f>
        <v>643299</v>
      </c>
      <c r="B171" s="17" t="str">
        <f>IFERROR(INDEX(Personnel[Adi Soyadi],$K171),"")</f>
        <v>Аннамуратов Жавлон Рузимбоевич</v>
      </c>
      <c r="C171" s="18" t="str">
        <f>IFERROR(INDEX(Personnel[Vatandaslik],$K171),"")</f>
        <v>УЗБЕКИСТАН</v>
      </c>
      <c r="D171" s="18" t="str">
        <f>IFERROR(INDEX(Personnel[Santiye],$K171),"")</f>
        <v>GPP Proje</v>
      </c>
      <c r="E171" s="18" t="str">
        <f>IFERROR(INDEX(Personnel[Ogretmen],$K171),"")</f>
        <v xml:space="preserve">Ziazetdinov Arslan </v>
      </c>
      <c r="F171" s="17" t="str">
        <f>IFERROR(INDEX(Personnel[[Sinav ]],$K171),"")</f>
        <v>26.05.2026 Sineva gitti gecdi</v>
      </c>
      <c r="G171" s="17" t="str">
        <f>IFERROR(INDEX(Personnel[Egtim durumu],$K171),"")</f>
        <v>Dil egitimi tamamlandi sinavdan gecti</v>
      </c>
      <c r="H171" s="17" t="str">
        <f>IFERROR(INDEX(Personnel[Shohruh Not],$K171),"")</f>
        <v>-</v>
      </c>
      <c r="I171" s="22">
        <f ca="1">IFERROR(INDEX(Personnel[Дней в РФ],$K171),"")</f>
        <v>107</v>
      </c>
      <c r="K171" s="23">
        <f t="array" ref="K171">IFERROR(_xlfn.AGGREGATE(15,6,(ROW(Personnel[Egtim durumu])-MIN(ROW(Personnel[Egtim durumu]))+1)/((Personnel[Egtim durumu]="Dil egitimi tamamlandi sinavdan gecti")),ROWS($K$7:K171)),"")</f>
        <v>198</v>
      </c>
    </row>
    <row r="172" spans="1:11" x14ac:dyDescent="0.25">
      <c r="A172" s="40">
        <f>IFERROR(INDEX(Personnel[Sicil],$K172),"")</f>
        <v>643283</v>
      </c>
      <c r="B172" s="41" t="str">
        <f>IFERROR(INDEX(Personnel[Adi Soyadi],$K172),"")</f>
        <v>Исломов Хайридин Бахридинович</v>
      </c>
      <c r="C172" s="40" t="str">
        <f>IFERROR(INDEX(Personnel[Vatandaslik],$K172),"")</f>
        <v>ТАДЖИКИСТАН</v>
      </c>
      <c r="D172" s="40" t="str">
        <f>IFERROR(INDEX(Personnel[Santiye],$K172),"")</f>
        <v>GPP Proje</v>
      </c>
      <c r="E172" s="40" t="str">
        <f>IFERROR(INDEX(Personnel[Ogretmen],$K172),"")</f>
        <v xml:space="preserve">Ziazetdinov Arslan </v>
      </c>
      <c r="F172" s="41" t="str">
        <f>IFERROR(INDEX(Personnel[[Sinav ]],$K172),"")</f>
        <v>20.05.2026 Sineva gitti gecdi</v>
      </c>
      <c r="G172" s="41" t="str">
        <f>IFERROR(INDEX(Personnel[Egtim durumu],$K172),"")</f>
        <v>Dil egitimi tamamlandi sinavdan gecti</v>
      </c>
      <c r="H172" s="41" t="str">
        <f>IFERROR(INDEX(Personnel[Shohruh Not],$K172),"")</f>
        <v>-</v>
      </c>
      <c r="I172" s="42">
        <f ca="1">IFERROR(INDEX(Personnel[Дней в РФ],$K172),"")</f>
        <v>108</v>
      </c>
      <c r="K172" s="23">
        <f t="array" ref="K172">IFERROR(_xlfn.AGGREGATE(15,6,(ROW(Personnel[Egtim durumu])-MIN(ROW(Personnel[Egtim durumu]))+1)/((Personnel[Egtim durumu]="Dil egitimi tamamlandi sinavdan gecti")),ROWS($K$7:K172)),"")</f>
        <v>201</v>
      </c>
    </row>
    <row r="173" spans="1:11" x14ac:dyDescent="0.25">
      <c r="A173" s="18">
        <f>IFERROR(INDEX(Personnel[Sicil],$K173),"")</f>
        <v>643301</v>
      </c>
      <c r="B173" s="17" t="str">
        <f>IFERROR(INDEX(Personnel[Adi Soyadi],$K173),"")</f>
        <v>Худойбердиев Гофир Камолидинович</v>
      </c>
      <c r="C173" s="18" t="str">
        <f>IFERROR(INDEX(Personnel[Vatandaslik],$K173),"")</f>
        <v>УЗБЕКИСТАН</v>
      </c>
      <c r="D173" s="18" t="str">
        <f>IFERROR(INDEX(Personnel[Santiye],$K173),"")</f>
        <v>GPP Proje</v>
      </c>
      <c r="E173" s="18" t="str">
        <f>IFERROR(INDEX(Personnel[Ogretmen],$K173),"")</f>
        <v xml:space="preserve">Ziazetdinov Arslan </v>
      </c>
      <c r="F173" s="17" t="str">
        <f>IFERROR(INDEX(Personnel[[Sinav ]],$K173),"")</f>
        <v>20.05.2026 Sineva gitti gecdi</v>
      </c>
      <c r="G173" s="17" t="str">
        <f>IFERROR(INDEX(Personnel[Egtim durumu],$K173),"")</f>
        <v>Dil egitimi tamamlandi sinavdan gecti</v>
      </c>
      <c r="H173" s="17" t="str">
        <f>IFERROR(INDEX(Personnel[Shohruh Not],$K173),"")</f>
        <v>-</v>
      </c>
      <c r="I173" s="22">
        <f ca="1">IFERROR(INDEX(Personnel[Дней в РФ],$K173),"")</f>
        <v>108</v>
      </c>
      <c r="K173" s="23">
        <f t="array" ref="K173">IFERROR(_xlfn.AGGREGATE(15,6,(ROW(Personnel[Egtim durumu])-MIN(ROW(Personnel[Egtim durumu]))+1)/((Personnel[Egtim durumu]="Dil egitimi tamamlandi sinavdan gecti")),ROWS($K$7:K173)),"")</f>
        <v>202</v>
      </c>
    </row>
    <row r="174" spans="1:11" x14ac:dyDescent="0.25">
      <c r="A174" s="40">
        <f>IFERROR(INDEX(Personnel[Sicil],$K174),"")</f>
        <v>522384</v>
      </c>
      <c r="B174" s="41" t="str">
        <f>IFERROR(INDEX(Personnel[Adi Soyadi],$K174),"")</f>
        <v>Хужакулов Фаёз Алламуратович</v>
      </c>
      <c r="C174" s="40" t="str">
        <f>IFERROR(INDEX(Personnel[Vatandaslik],$K174),"")</f>
        <v>УЗБЕКИСТАН</v>
      </c>
      <c r="D174" s="40" t="str">
        <f>IFERROR(INDEX(Personnel[Santiye],$K174),"")</f>
        <v>GPP Proje</v>
      </c>
      <c r="E174" s="40" t="str">
        <f>IFERROR(INDEX(Personnel[Ogretmen],$K174),"")</f>
        <v xml:space="preserve">Ziazetdinov Arslan </v>
      </c>
      <c r="F174" s="41" t="str">
        <f>IFERROR(INDEX(Personnel[[Sinav ]],$K174),"")</f>
        <v>26.05.2026 Sineva gitti gecdi</v>
      </c>
      <c r="G174" s="41" t="str">
        <f>IFERROR(INDEX(Personnel[Egtim durumu],$K174),"")</f>
        <v>Dil egitimi tamamlandi sinavdan gecti</v>
      </c>
      <c r="H174" s="41" t="str">
        <f>IFERROR(INDEX(Personnel[Shohruh Not],$K174),"")</f>
        <v>-</v>
      </c>
      <c r="I174" s="42">
        <f ca="1">IFERROR(INDEX(Personnel[Дней в РФ],$K174),"")</f>
        <v>105</v>
      </c>
      <c r="K174" s="23">
        <f t="array" ref="K174">IFERROR(_xlfn.AGGREGATE(15,6,(ROW(Personnel[Egtim durumu])-MIN(ROW(Personnel[Egtim durumu]))+1)/((Personnel[Egtim durumu]="Dil egitimi tamamlandi sinavdan gecti")),ROWS($K$7:K174)),"")</f>
        <v>203</v>
      </c>
    </row>
    <row r="175" spans="1:11" x14ac:dyDescent="0.25">
      <c r="A175" s="18">
        <f>IFERROR(INDEX(Personnel[Sicil],$K175),"")</f>
        <v>643447</v>
      </c>
      <c r="B175" s="17" t="str">
        <f>IFERROR(INDEX(Personnel[Adi Soyadi],$K175),"")</f>
        <v>Хусанов Бахром Сойибович</v>
      </c>
      <c r="C175" s="18" t="str">
        <f>IFERROR(INDEX(Personnel[Vatandaslik],$K175),"")</f>
        <v>УЗБЕКИСТАН</v>
      </c>
      <c r="D175" s="18" t="str">
        <f>IFERROR(INDEX(Personnel[Santiye],$K175),"")</f>
        <v>GPP Proje</v>
      </c>
      <c r="E175" s="18" t="str">
        <f>IFERROR(INDEX(Personnel[Ogretmen],$K175),"")</f>
        <v xml:space="preserve">Ziazetdinov Arslan </v>
      </c>
      <c r="F175" s="17" t="str">
        <f>IFERROR(INDEX(Personnel[[Sinav ]],$K175),"")</f>
        <v>26.05.2026 Sineva gitti gecdi</v>
      </c>
      <c r="G175" s="17" t="str">
        <f>IFERROR(INDEX(Personnel[Egtim durumu],$K175),"")</f>
        <v>Dil egitimi tamamlandi sinavdan gecti</v>
      </c>
      <c r="H175" s="17" t="str">
        <f>IFERROR(INDEX(Personnel[Shohruh Not],$K175),"")</f>
        <v>-</v>
      </c>
      <c r="I175" s="22">
        <f ca="1">IFERROR(INDEX(Personnel[Дней в РФ],$K175),"")</f>
        <v>105</v>
      </c>
      <c r="K175" s="23">
        <f t="array" ref="K175">IFERROR(_xlfn.AGGREGATE(15,6,(ROW(Personnel[Egtim durumu])-MIN(ROW(Personnel[Egtim durumu]))+1)/((Personnel[Egtim durumu]="Dil egitimi tamamlandi sinavdan gecti")),ROWS($K$7:K175)),"")</f>
        <v>204</v>
      </c>
    </row>
    <row r="176" spans="1:11" x14ac:dyDescent="0.25">
      <c r="A176" s="40">
        <f>IFERROR(INDEX(Personnel[Sicil],$K176),"")</f>
        <v>627646</v>
      </c>
      <c r="B176" s="41" t="str">
        <f>IFERROR(INDEX(Personnel[Adi Soyadi],$K176),"")</f>
        <v>Кудратов Сахобиддин Жумаевич</v>
      </c>
      <c r="C176" s="40" t="str">
        <f>IFERROR(INDEX(Personnel[Vatandaslik],$K176),"")</f>
        <v>УЗБЕКИСТАН</v>
      </c>
      <c r="D176" s="40" t="str">
        <f>IFERROR(INDEX(Personnel[Santiye],$K176),"")</f>
        <v>GPP Proje</v>
      </c>
      <c r="E176" s="40" t="str">
        <f>IFERROR(INDEX(Personnel[Ogretmen],$K176),"")</f>
        <v xml:space="preserve">Ziazetdinov Arslan </v>
      </c>
      <c r="F176" s="41" t="str">
        <f>IFERROR(INDEX(Personnel[[Sinav ]],$K176),"")</f>
        <v>22.05.2026 Sineva gitti gecdi</v>
      </c>
      <c r="G176" s="41" t="str">
        <f>IFERROR(INDEX(Personnel[Egtim durumu],$K176),"")</f>
        <v>Dil egitimi tamamlandi sinavdan gecti</v>
      </c>
      <c r="H176" s="41" t="str">
        <f>IFERROR(INDEX(Personnel[Shohruh Not],$K176),"")</f>
        <v>-</v>
      </c>
      <c r="I176" s="42">
        <f ca="1">IFERROR(INDEX(Personnel[Дней в РФ],$K176),"")</f>
        <v>106</v>
      </c>
      <c r="K176" s="23">
        <f t="array" ref="K176">IFERROR(_xlfn.AGGREGATE(15,6,(ROW(Personnel[Egtim durumu])-MIN(ROW(Personnel[Egtim durumu]))+1)/((Personnel[Egtim durumu]="Dil egitimi tamamlandi sinavdan gecti")),ROWS($K$7:K176)),"")</f>
        <v>205</v>
      </c>
    </row>
    <row r="177" spans="1:11" ht="25.5" x14ac:dyDescent="0.25">
      <c r="A177" s="18">
        <f>IFERROR(INDEX(Personnel[Sicil],$K177),"")</f>
        <v>250736</v>
      </c>
      <c r="B177" s="17" t="str">
        <f>IFERROR(INDEX(Personnel[Adi Soyadi],$K177),"")</f>
        <v>Куранбаев Санжарбек Азатбаевич</v>
      </c>
      <c r="C177" s="18" t="str">
        <f>IFERROR(INDEX(Personnel[Vatandaslik],$K177),"")</f>
        <v>УЗБЕКИСТАН</v>
      </c>
      <c r="D177" s="18" t="str">
        <f>IFERROR(INDEX(Personnel[Santiye],$K177),"")</f>
        <v>GPP Proje</v>
      </c>
      <c r="E177" s="18" t="str">
        <f>IFERROR(INDEX(Personnel[Ogretmen],$K177),"")</f>
        <v>-</v>
      </c>
      <c r="F177" s="17" t="str">
        <f>IFERROR(INDEX(Personnel[[Sinav ]],$K177),"")</f>
        <v>20.05.2026 Sineva gitti gecemedi /27.05.2026 Sineva gitti gecdi</v>
      </c>
      <c r="G177" s="17" t="str">
        <f>IFERROR(INDEX(Personnel[Egtim durumu],$K177),"")</f>
        <v>Dil egitimi tamamlandi sinavdan gecti</v>
      </c>
      <c r="H177" s="17" t="str">
        <f>IFERROR(INDEX(Personnel[Shohruh Not],$K177),"")</f>
        <v>-</v>
      </c>
      <c r="I177" s="22">
        <f ca="1">IFERROR(INDEX(Personnel[Дней в РФ],$K177),"")</f>
        <v>105</v>
      </c>
      <c r="K177" s="23">
        <f t="array" ref="K177">IFERROR(_xlfn.AGGREGATE(15,6,(ROW(Personnel[Egtim durumu])-MIN(ROW(Personnel[Egtim durumu]))+1)/((Personnel[Egtim durumu]="Dil egitimi tamamlandi sinavdan gecti")),ROWS($K$7:K177)),"")</f>
        <v>206</v>
      </c>
    </row>
    <row r="178" spans="1:11" ht="25.5" x14ac:dyDescent="0.25">
      <c r="A178" s="40">
        <f>IFERROR(INDEX(Personnel[Sicil],$K178),"")</f>
        <v>643303</v>
      </c>
      <c r="B178" s="41" t="str">
        <f>IFERROR(INDEX(Personnel[Adi Soyadi],$K178),"")</f>
        <v>Мамажонов Абдулазизхон Абдугани Угли</v>
      </c>
      <c r="C178" s="40" t="str">
        <f>IFERROR(INDEX(Personnel[Vatandaslik],$K178),"")</f>
        <v>УЗБЕКИСТАН</v>
      </c>
      <c r="D178" s="40" t="str">
        <f>IFERROR(INDEX(Personnel[Santiye],$K178),"")</f>
        <v>GPP Proje</v>
      </c>
      <c r="E178" s="40" t="str">
        <f>IFERROR(INDEX(Personnel[Ogretmen],$K178),"")</f>
        <v xml:space="preserve">Ziazetdinov Arslan </v>
      </c>
      <c r="F178" s="41" t="str">
        <f>IFERROR(INDEX(Personnel[[Sinav ]],$K178),"")</f>
        <v>20.05.2026 Sineva gitti gecdi</v>
      </c>
      <c r="G178" s="41" t="str">
        <f>IFERROR(INDEX(Personnel[Egtim durumu],$K178),"")</f>
        <v>Dil egitimi tamamlandi sinavdan gecti</v>
      </c>
      <c r="H178" s="41" t="str">
        <f>IFERROR(INDEX(Personnel[Shohruh Not],$K178),"")</f>
        <v>-</v>
      </c>
      <c r="I178" s="42">
        <f ca="1">IFERROR(INDEX(Personnel[Дней в РФ],$K178),"")</f>
        <v>108</v>
      </c>
      <c r="K178" s="23">
        <f t="array" ref="K178">IFERROR(_xlfn.AGGREGATE(15,6,(ROW(Personnel[Egtim durumu])-MIN(ROW(Personnel[Egtim durumu]))+1)/((Personnel[Egtim durumu]="Dil egitimi tamamlandi sinavdan gecti")),ROWS($K$7:K178)),"")</f>
        <v>207</v>
      </c>
    </row>
    <row r="179" spans="1:11" x14ac:dyDescent="0.25">
      <c r="A179" s="18">
        <f>IFERROR(INDEX(Personnel[Sicil],$K179),"")</f>
        <v>575127</v>
      </c>
      <c r="B179" s="17" t="str">
        <f>IFERROR(INDEX(Personnel[Adi Soyadi],$K179),"")</f>
        <v>Мардиев Хабиб Хуррамович</v>
      </c>
      <c r="C179" s="18" t="str">
        <f>IFERROR(INDEX(Personnel[Vatandaslik],$K179),"")</f>
        <v>УЗБЕКИСТАН</v>
      </c>
      <c r="D179" s="18" t="str">
        <f>IFERROR(INDEX(Personnel[Santiye],$K179),"")</f>
        <v>GPP Proje</v>
      </c>
      <c r="E179" s="18" t="str">
        <f>IFERROR(INDEX(Personnel[Ogretmen],$K179),"")</f>
        <v xml:space="preserve">Ziazetdinov Arslan </v>
      </c>
      <c r="F179" s="17" t="str">
        <f>IFERROR(INDEX(Personnel[[Sinav ]],$K179),"")</f>
        <v>20.05.2026 Sineva gitti gecdi</v>
      </c>
      <c r="G179" s="17" t="str">
        <f>IFERROR(INDEX(Personnel[Egtim durumu],$K179),"")</f>
        <v>Dil egitimi tamamlandi sinavdan gecti</v>
      </c>
      <c r="H179" s="17" t="str">
        <f>IFERROR(INDEX(Personnel[Shohruh Not],$K179),"")</f>
        <v>-</v>
      </c>
      <c r="I179" s="22">
        <f ca="1">IFERROR(INDEX(Personnel[Дней в РФ],$K179),"")</f>
        <v>106</v>
      </c>
      <c r="K179" s="23">
        <f t="array" ref="K179">IFERROR(_xlfn.AGGREGATE(15,6,(ROW(Personnel[Egtim durumu])-MIN(ROW(Personnel[Egtim durumu]))+1)/((Personnel[Egtim durumu]="Dil egitimi tamamlandi sinavdan gecti")),ROWS($K$7:K179)),"")</f>
        <v>208</v>
      </c>
    </row>
    <row r="180" spans="1:11" x14ac:dyDescent="0.25">
      <c r="A180" s="40">
        <f>IFERROR(INDEX(Personnel[Sicil],$K180),"")</f>
        <v>631467</v>
      </c>
      <c r="B180" s="41" t="str">
        <f>IFERROR(INDEX(Personnel[Adi Soyadi],$K180),"")</f>
        <v>Мирзаев Анвар Файзуллаевич</v>
      </c>
      <c r="C180" s="40" t="str">
        <f>IFERROR(INDEX(Personnel[Vatandaslik],$K180),"")</f>
        <v>УЗБЕКИСТАН</v>
      </c>
      <c r="D180" s="40" t="str">
        <f>IFERROR(INDEX(Personnel[Santiye],$K180),"")</f>
        <v>GPP Proje</v>
      </c>
      <c r="E180" s="40" t="str">
        <f>IFERROR(INDEX(Personnel[Ogretmen],$K180),"")</f>
        <v xml:space="preserve">Ziazetdinov Arslan </v>
      </c>
      <c r="F180" s="41" t="str">
        <f>IFERROR(INDEX(Personnel[[Sinav ]],$K180),"")</f>
        <v>22.05.2026 Sineva gitti gecdi</v>
      </c>
      <c r="G180" s="41" t="str">
        <f>IFERROR(INDEX(Personnel[Egtim durumu],$K180),"")</f>
        <v>Dil egitimi tamamlandi sinavdan gecti</v>
      </c>
      <c r="H180" s="41" t="str">
        <f>IFERROR(INDEX(Personnel[Shohruh Not],$K180),"")</f>
        <v>-</v>
      </c>
      <c r="I180" s="42">
        <f ca="1">IFERROR(INDEX(Personnel[Дней в РФ],$K180),"")</f>
        <v>106</v>
      </c>
      <c r="K180" s="23">
        <f t="array" ref="K180">IFERROR(_xlfn.AGGREGATE(15,6,(ROW(Personnel[Egtim durumu])-MIN(ROW(Personnel[Egtim durumu]))+1)/((Personnel[Egtim durumu]="Dil egitimi tamamlandi sinavdan gecti")),ROWS($K$7:K180)),"")</f>
        <v>209</v>
      </c>
    </row>
    <row r="181" spans="1:11" ht="25.5" x14ac:dyDescent="0.25">
      <c r="A181" s="18">
        <f>IFERROR(INDEX(Personnel[Sicil],$K181),"")</f>
        <v>409778</v>
      </c>
      <c r="B181" s="17" t="str">
        <f>IFERROR(INDEX(Personnel[Adi Soyadi],$K181),"")</f>
        <v>Мискинов Шавкат Бегмиратович</v>
      </c>
      <c r="C181" s="18" t="str">
        <f>IFERROR(INDEX(Personnel[Vatandaslik],$K181),"")</f>
        <v>УЗБЕКИСТАН</v>
      </c>
      <c r="D181" s="18" t="str">
        <f>IFERROR(INDEX(Personnel[Santiye],$K181),"")</f>
        <v>GPP Proje</v>
      </c>
      <c r="E181" s="18" t="str">
        <f>IFERROR(INDEX(Personnel[Ogretmen],$K181),"")</f>
        <v>Ziazetdinov Arslan / Ziazetdinov Arslan</v>
      </c>
      <c r="F181" s="17" t="str">
        <f>IFERROR(INDEX(Personnel[[Sinav ]],$K181),"")</f>
        <v>26.05.2026 Sineva gitti gecemedi/05.06.2026 Sineva gitti gecdi</v>
      </c>
      <c r="G181" s="17" t="str">
        <f>IFERROR(INDEX(Personnel[Egtim durumu],$K181),"")</f>
        <v>Dil egitimi tamamlandi sinavdan gecti</v>
      </c>
      <c r="H181" s="17" t="str">
        <f>IFERROR(INDEX(Personnel[Shohruh Not],$K181),"")</f>
        <v>-</v>
      </c>
      <c r="I181" s="22">
        <f ca="1">IFERROR(INDEX(Personnel[Дней в РФ],$K181),"")</f>
        <v>105</v>
      </c>
      <c r="K181" s="23">
        <f t="array" ref="K181">IFERROR(_xlfn.AGGREGATE(15,6,(ROW(Personnel[Egtim durumu])-MIN(ROW(Personnel[Egtim durumu]))+1)/((Personnel[Egtim durumu]="Dil egitimi tamamlandi sinavdan gecti")),ROWS($K$7:K181)),"")</f>
        <v>210</v>
      </c>
    </row>
    <row r="182" spans="1:11" x14ac:dyDescent="0.25">
      <c r="A182" s="40">
        <f>IFERROR(INDEX(Personnel[Sicil],$K182),"")</f>
        <v>267159</v>
      </c>
      <c r="B182" s="41" t="str">
        <f>IFERROR(INDEX(Personnel[Adi Soyadi],$K182),"")</f>
        <v>Раджапов Турсунбой Зарипович</v>
      </c>
      <c r="C182" s="40" t="str">
        <f>IFERROR(INDEX(Personnel[Vatandaslik],$K182),"")</f>
        <v>УЗБЕКИСТАН</v>
      </c>
      <c r="D182" s="40" t="str">
        <f>IFERROR(INDEX(Personnel[Santiye],$K182),"")</f>
        <v>GPP Proje</v>
      </c>
      <c r="E182" s="40" t="str">
        <f>IFERROR(INDEX(Personnel[Ogretmen],$K182),"")</f>
        <v>Tyulina Natalya</v>
      </c>
      <c r="F182" s="41" t="str">
        <f>IFERROR(INDEX(Personnel[[Sinav ]],$K182),"")</f>
        <v>29.05.2026 Sineva gitti gecdi</v>
      </c>
      <c r="G182" s="41" t="str">
        <f>IFERROR(INDEX(Personnel[Egtim durumu],$K182),"")</f>
        <v>Dil egitimi tamamlandi sinavdan gecti</v>
      </c>
      <c r="H182" s="41" t="str">
        <f>IFERROR(INDEX(Personnel[Shohruh Not],$K182),"")</f>
        <v>-</v>
      </c>
      <c r="I182" s="42">
        <f ca="1">IFERROR(INDEX(Personnel[Дней в РФ],$K182),"")</f>
        <v>106</v>
      </c>
      <c r="K182" s="23">
        <f t="array" ref="K182">IFERROR(_xlfn.AGGREGATE(15,6,(ROW(Personnel[Egtim durumu])-MIN(ROW(Personnel[Egtim durumu]))+1)/((Personnel[Egtim durumu]="Dil egitimi tamamlandi sinavdan gecti")),ROWS($K$7:K182)),"")</f>
        <v>211</v>
      </c>
    </row>
    <row r="183" spans="1:11" x14ac:dyDescent="0.25">
      <c r="A183" s="18">
        <f>IFERROR(INDEX(Personnel[Sicil],$K183),"")</f>
        <v>643436</v>
      </c>
      <c r="B183" s="17" t="str">
        <f>IFERROR(INDEX(Personnel[Adi Soyadi],$K183),"")</f>
        <v>Ражабов Бахтиёр Паррух Угли</v>
      </c>
      <c r="C183" s="18" t="str">
        <f>IFERROR(INDEX(Personnel[Vatandaslik],$K183),"")</f>
        <v>УЗБЕКИСТАН</v>
      </c>
      <c r="D183" s="18" t="str">
        <f>IFERROR(INDEX(Personnel[Santiye],$K183),"")</f>
        <v>GPP Proje</v>
      </c>
      <c r="E183" s="18" t="str">
        <f>IFERROR(INDEX(Personnel[Ogretmen],$K183),"")</f>
        <v xml:space="preserve">Ziazetdinov Arslan </v>
      </c>
      <c r="F183" s="17" t="str">
        <f>IFERROR(INDEX(Personnel[[Sinav ]],$K183),"")</f>
        <v>22.05.2026 Sineva gitti gecdi</v>
      </c>
      <c r="G183" s="17" t="str">
        <f>IFERROR(INDEX(Personnel[Egtim durumu],$K183),"")</f>
        <v>Dil egitimi tamamlandi sinavdan gecti</v>
      </c>
      <c r="H183" s="17" t="str">
        <f>IFERROR(INDEX(Personnel[Shohruh Not],$K183),"")</f>
        <v>-</v>
      </c>
      <c r="I183" s="22">
        <f ca="1">IFERROR(INDEX(Personnel[Дней в РФ],$K183),"")</f>
        <v>105</v>
      </c>
      <c r="K183" s="23">
        <f t="array" ref="K183">IFERROR(_xlfn.AGGREGATE(15,6,(ROW(Personnel[Egtim durumu])-MIN(ROW(Personnel[Egtim durumu]))+1)/((Personnel[Egtim durumu]="Dil egitimi tamamlandi sinavdan gecti")),ROWS($K$7:K183)),"")</f>
        <v>212</v>
      </c>
    </row>
    <row r="184" spans="1:11" ht="25.5" x14ac:dyDescent="0.25">
      <c r="A184" s="40">
        <f>IFERROR(INDEX(Personnel[Sicil],$K184),"")</f>
        <v>606670</v>
      </c>
      <c r="B184" s="41" t="str">
        <f>IFERROR(INDEX(Personnel[Adi Soyadi],$K184),"")</f>
        <v>Рузикулов Журабек Акрамкулович</v>
      </c>
      <c r="C184" s="40" t="str">
        <f>IFERROR(INDEX(Personnel[Vatandaslik],$K184),"")</f>
        <v>УЗБЕКИСТАН</v>
      </c>
      <c r="D184" s="40" t="str">
        <f>IFERROR(INDEX(Personnel[Santiye],$K184),"")</f>
        <v>GPP Proje</v>
      </c>
      <c r="E184" s="40" t="str">
        <f>IFERROR(INDEX(Personnel[Ogretmen],$K184),"")</f>
        <v>Ziazetdinov Arslan / Ziazetdinov Arslan</v>
      </c>
      <c r="F184" s="41" t="str">
        <f>IFERROR(INDEX(Personnel[[Sinav ]],$K184),"")</f>
        <v>26.05.2026 Sineva gitti gecemedi/05.06.2026 Sineva gitti gecdi</v>
      </c>
      <c r="G184" s="41" t="str">
        <f>IFERROR(INDEX(Personnel[Egtim durumu],$K184),"")</f>
        <v>Dil egitimi tamamlandi sinavdan gecti</v>
      </c>
      <c r="H184" s="41" t="str">
        <f>IFERROR(INDEX(Personnel[Shohruh Not],$K184),"")</f>
        <v>-</v>
      </c>
      <c r="I184" s="42">
        <f ca="1">IFERROR(INDEX(Personnel[Дней в РФ],$K184),"")</f>
        <v>105</v>
      </c>
      <c r="K184" s="23">
        <f t="array" ref="K184">IFERROR(_xlfn.AGGREGATE(15,6,(ROW(Personnel[Egtim durumu])-MIN(ROW(Personnel[Egtim durumu]))+1)/((Personnel[Egtim durumu]="Dil egitimi tamamlandi sinavdan gecti")),ROWS($K$7:K184)),"")</f>
        <v>213</v>
      </c>
    </row>
    <row r="185" spans="1:11" x14ac:dyDescent="0.25">
      <c r="A185" s="18">
        <f>IFERROR(INDEX(Personnel[Sicil],$K185),"")</f>
        <v>629428</v>
      </c>
      <c r="B185" s="17" t="str">
        <f>IFERROR(INDEX(Personnel[Adi Soyadi],$K185),"")</f>
        <v>Суюнов Шокиржон Джуракулович</v>
      </c>
      <c r="C185" s="18" t="str">
        <f>IFERROR(INDEX(Personnel[Vatandaslik],$K185),"")</f>
        <v>УЗБЕКИСТАН</v>
      </c>
      <c r="D185" s="18" t="str">
        <f>IFERROR(INDEX(Personnel[Santiye],$K185),"")</f>
        <v>GPP Proje</v>
      </c>
      <c r="E185" s="18" t="str">
        <f>IFERROR(INDEX(Personnel[Ogretmen],$K185),"")</f>
        <v xml:space="preserve">Ziazetdinov Arslan </v>
      </c>
      <c r="F185" s="17" t="str">
        <f>IFERROR(INDEX(Personnel[[Sinav ]],$K185),"")</f>
        <v>20.05.2026 Sineva gitti gecdi</v>
      </c>
      <c r="G185" s="17" t="str">
        <f>IFERROR(INDEX(Personnel[Egtim durumu],$K185),"")</f>
        <v>Dil egitimi tamamlandi sinavdan gecti</v>
      </c>
      <c r="H185" s="17" t="str">
        <f>IFERROR(INDEX(Personnel[Shohruh Not],$K185),"")</f>
        <v>-</v>
      </c>
      <c r="I185" s="22">
        <f ca="1">IFERROR(INDEX(Personnel[Дней в РФ],$K185),"")</f>
        <v>107</v>
      </c>
      <c r="K185" s="23">
        <f t="array" ref="K185">IFERROR(_xlfn.AGGREGATE(15,6,(ROW(Personnel[Egtim durumu])-MIN(ROW(Personnel[Egtim durumu]))+1)/((Personnel[Egtim durumu]="Dil egitimi tamamlandi sinavdan gecti")),ROWS($K$7:K185)),"")</f>
        <v>214</v>
      </c>
    </row>
    <row r="186" spans="1:11" ht="25.5" x14ac:dyDescent="0.25">
      <c r="A186" s="40">
        <f>IFERROR(INDEX(Personnel[Sicil],$K186),"")</f>
        <v>643304</v>
      </c>
      <c r="B186" s="41" t="str">
        <f>IFERROR(INDEX(Personnel[Adi Soyadi],$K186),"")</f>
        <v>Тугалов Шухрат Эшпулатович</v>
      </c>
      <c r="C186" s="40" t="str">
        <f>IFERROR(INDEX(Personnel[Vatandaslik],$K186),"")</f>
        <v>УЗБЕКИСТАН</v>
      </c>
      <c r="D186" s="40" t="str">
        <f>IFERROR(INDEX(Personnel[Santiye],$K186),"")</f>
        <v>GPP Proje</v>
      </c>
      <c r="E186" s="40" t="str">
        <f>IFERROR(INDEX(Personnel[Ogretmen],$K186),"")</f>
        <v>Ziazetdinov Arslan / Ziazetdinov Arslan</v>
      </c>
      <c r="F186" s="41" t="str">
        <f>IFERROR(INDEX(Personnel[[Sinav ]],$K186),"")</f>
        <v>20.05.2026 Sineva gitti gecemedi /26.05.2026 Sineva gitti gecdi</v>
      </c>
      <c r="G186" s="41" t="str">
        <f>IFERROR(INDEX(Personnel[Egtim durumu],$K186),"")</f>
        <v>Dil egitimi tamamlandi sinavdan gecti</v>
      </c>
      <c r="H186" s="41" t="str">
        <f>IFERROR(INDEX(Personnel[Shohruh Not],$K186),"")</f>
        <v>-</v>
      </c>
      <c r="I186" s="42">
        <f ca="1">IFERROR(INDEX(Personnel[Дней в РФ],$K186),"")</f>
        <v>107</v>
      </c>
      <c r="K186" s="23">
        <f t="array" ref="K186">IFERROR(_xlfn.AGGREGATE(15,6,(ROW(Personnel[Egtim durumu])-MIN(ROW(Personnel[Egtim durumu]))+1)/((Personnel[Egtim durumu]="Dil egitimi tamamlandi sinavdan gecti")),ROWS($K$7:K186)),"")</f>
        <v>215</v>
      </c>
    </row>
    <row r="187" spans="1:11" ht="25.5" x14ac:dyDescent="0.25">
      <c r="A187" s="18">
        <f>IFERROR(INDEX(Personnel[Sicil],$K187),"")</f>
        <v>272106</v>
      </c>
      <c r="B187" s="17" t="str">
        <f>IFERROR(INDEX(Personnel[Adi Soyadi],$K187),"")</f>
        <v>Юлдашев Джамолиддин Абдухоликович</v>
      </c>
      <c r="C187" s="18" t="str">
        <f>IFERROR(INDEX(Personnel[Vatandaslik],$K187),"")</f>
        <v>ТАДЖИКИСТАН</v>
      </c>
      <c r="D187" s="18" t="str">
        <f>IFERROR(INDEX(Personnel[Santiye],$K187),"")</f>
        <v>GPP Proje</v>
      </c>
      <c r="E187" s="18" t="str">
        <f>IFERROR(INDEX(Personnel[Ogretmen],$K187),"")</f>
        <v xml:space="preserve">Ziazetdinov Arslan </v>
      </c>
      <c r="F187" s="17" t="str">
        <f>IFERROR(INDEX(Personnel[[Sinav ]],$K187),"")</f>
        <v>20.05.2026 Sineva gitti gecdi</v>
      </c>
      <c r="G187" s="17" t="str">
        <f>IFERROR(INDEX(Personnel[Egtim durumu],$K187),"")</f>
        <v>Dil egitimi tamamlandi sinavdan gecti</v>
      </c>
      <c r="H187" s="17" t="str">
        <f>IFERROR(INDEX(Personnel[Shohruh Not],$K187),"")</f>
        <v>-</v>
      </c>
      <c r="I187" s="22">
        <f ca="1">IFERROR(INDEX(Personnel[Дней в РФ],$K187),"")</f>
        <v>111</v>
      </c>
      <c r="K187" s="23">
        <f t="array" ref="K187">IFERROR(_xlfn.AGGREGATE(15,6,(ROW(Personnel[Egtim durumu])-MIN(ROW(Personnel[Egtim durumu]))+1)/((Personnel[Egtim durumu]="Dil egitimi tamamlandi sinavdan gecti")),ROWS($K$7:K187)),"")</f>
        <v>216</v>
      </c>
    </row>
    <row r="188" spans="1:11" ht="25.5" x14ac:dyDescent="0.25">
      <c r="A188" s="40">
        <f>IFERROR(INDEX(Personnel[Sicil],$K188),"")</f>
        <v>623396</v>
      </c>
      <c r="B188" s="41" t="str">
        <f>IFERROR(INDEX(Personnel[Adi Soyadi],$K188),"")</f>
        <v>Эфендиева Ясемен Хаджымаммад кызы</v>
      </c>
      <c r="C188" s="40" t="str">
        <f>IFERROR(INDEX(Personnel[Vatandaslik],$K188),"")</f>
        <v>АЗЕРБАЙДЖАН</v>
      </c>
      <c r="D188" s="40" t="str">
        <f>IFERROR(INDEX(Personnel[Santiye],$K188),"")</f>
        <v>GPP Proje</v>
      </c>
      <c r="E188" s="40" t="str">
        <f>IFERROR(INDEX(Personnel[Ogretmen],$K188),"")</f>
        <v>-</v>
      </c>
      <c r="F188" s="41" t="str">
        <f>IFERROR(INDEX(Personnel[[Sinav ]],$K188),"")</f>
        <v>19.05.2026 Sineva gitti gecdi</v>
      </c>
      <c r="G188" s="41" t="str">
        <f>IFERROR(INDEX(Personnel[Egtim durumu],$K188),"")</f>
        <v>Dil egitimi tamamlandi sinavdan gecti</v>
      </c>
      <c r="H188" s="41" t="str">
        <f>IFERROR(INDEX(Personnel[Shohruh Not],$K188),"")</f>
        <v>-</v>
      </c>
      <c r="I188" s="40" t="str">
        <f ca="1">IFERROR(INDEX(Personnel[Дней в РФ],$K188),"")</f>
        <v>-</v>
      </c>
      <c r="K188" s="23">
        <f t="array" ref="K188">IFERROR(_xlfn.AGGREGATE(15,6,(ROW(Personnel[Egtim durumu])-MIN(ROW(Personnel[Egtim durumu]))+1)/((Personnel[Egtim durumu]="Dil egitimi tamamlandi sinavdan gecti")),ROWS($K$7:K188)),"")</f>
        <v>217</v>
      </c>
    </row>
    <row r="189" spans="1:11" ht="25.5" x14ac:dyDescent="0.25">
      <c r="A189" s="18">
        <f>IFERROR(INDEX(Personnel[Sicil],$K189),"")</f>
        <v>643546</v>
      </c>
      <c r="B189" s="17" t="str">
        <f>IFERROR(INDEX(Personnel[Adi Soyadi],$K189),"")</f>
        <v xml:space="preserve">Мадаминов Голибжон Иброхим Угли </v>
      </c>
      <c r="C189" s="18" t="str">
        <f>IFERROR(INDEX(Personnel[Vatandaslik],$K189),"")</f>
        <v>УЗБЕКИСТАН</v>
      </c>
      <c r="D189" s="18" t="str">
        <f>IFERROR(INDEX(Personnel[Santiye],$K189),"")</f>
        <v>GPP Proje</v>
      </c>
      <c r="E189" s="18" t="str">
        <f>IFERROR(INDEX(Personnel[Ogretmen],$K189),"")</f>
        <v xml:space="preserve">Ziazetdinov Arslan </v>
      </c>
      <c r="F189" s="17" t="str">
        <f>IFERROR(INDEX(Personnel[[Sinav ]],$K189),"")</f>
        <v>26.05.2026 Sineva gitti gecemedi / 03.06.2026 sineva gitti gecdi</v>
      </c>
      <c r="G189" s="17" t="str">
        <f>IFERROR(INDEX(Personnel[Egtim durumu],$K189),"")</f>
        <v>Dil egitimi tamamlandi sinavdan gecti</v>
      </c>
      <c r="H189" s="17" t="str">
        <f>IFERROR(INDEX(Personnel[Shohruh Not],$K189),"")</f>
        <v>-</v>
      </c>
      <c r="I189" s="22">
        <f ca="1">IFERROR(INDEX(Personnel[Дней в РФ],$K189),"")</f>
        <v>102</v>
      </c>
      <c r="K189" s="23">
        <f t="array" ref="K189">IFERROR(_xlfn.AGGREGATE(15,6,(ROW(Personnel[Egtim durumu])-MIN(ROW(Personnel[Egtim durumu]))+1)/((Personnel[Egtim durumu]="Dil egitimi tamamlandi sinavdan gecti")),ROWS($K$7:K189)),"")</f>
        <v>219</v>
      </c>
    </row>
    <row r="190" spans="1:11" x14ac:dyDescent="0.25">
      <c r="A190" s="40">
        <f>IFERROR(INDEX(Personnel[Sicil],$K190),"")</f>
        <v>643549</v>
      </c>
      <c r="B190" s="41" t="str">
        <f>IFERROR(INDEX(Personnel[Adi Soyadi],$K190),"")</f>
        <v xml:space="preserve">Махмудов Аслиддин Кудратович </v>
      </c>
      <c r="C190" s="40" t="str">
        <f>IFERROR(INDEX(Personnel[Vatandaslik],$K190),"")</f>
        <v>УЗБЕКИСТАН</v>
      </c>
      <c r="D190" s="40" t="str">
        <f>IFERROR(INDEX(Personnel[Santiye],$K190),"")</f>
        <v>GPP Proje</v>
      </c>
      <c r="E190" s="40" t="str">
        <f>IFERROR(INDEX(Personnel[Ogretmen],$K190),"")</f>
        <v xml:space="preserve">Ziazetdinov Arslan </v>
      </c>
      <c r="F190" s="41" t="str">
        <f>IFERROR(INDEX(Personnel[[Sinav ]],$K190),"")</f>
        <v>20.05.2026 Sineva gitti gecdi</v>
      </c>
      <c r="G190" s="41" t="str">
        <f>IFERROR(INDEX(Personnel[Egtim durumu],$K190),"")</f>
        <v>Dil egitimi tamamlandi sinavdan gecti</v>
      </c>
      <c r="H190" s="41" t="str">
        <f>IFERROR(INDEX(Personnel[Shohruh Not],$K190),"")</f>
        <v>-</v>
      </c>
      <c r="I190" s="42">
        <f ca="1">IFERROR(INDEX(Personnel[Дней в РФ],$K190),"")</f>
        <v>102</v>
      </c>
      <c r="K190" s="23">
        <f t="array" ref="K190">IFERROR(_xlfn.AGGREGATE(15,6,(ROW(Personnel[Egtim durumu])-MIN(ROW(Personnel[Egtim durumu]))+1)/((Personnel[Egtim durumu]="Dil egitimi tamamlandi sinavdan gecti")),ROWS($K$7:K190)),"")</f>
        <v>220</v>
      </c>
    </row>
    <row r="191" spans="1:11" x14ac:dyDescent="0.25">
      <c r="A191" s="18">
        <f>IFERROR(INDEX(Personnel[Sicil],$K191),"")</f>
        <v>643553</v>
      </c>
      <c r="B191" s="17" t="str">
        <f>IFERROR(INDEX(Personnel[Adi Soyadi],$K191),"")</f>
        <v xml:space="preserve">Муротов Бойбури Абдусатторович </v>
      </c>
      <c r="C191" s="18" t="str">
        <f>IFERROR(INDEX(Personnel[Vatandaslik],$K191),"")</f>
        <v>УЗБЕКИСТАН</v>
      </c>
      <c r="D191" s="18" t="str">
        <f>IFERROR(INDEX(Personnel[Santiye],$K191),"")</f>
        <v>GPP Proje</v>
      </c>
      <c r="E191" s="18" t="str">
        <f>IFERROR(INDEX(Personnel[Ogretmen],$K191),"")</f>
        <v xml:space="preserve">Ziazetdinov Arslan </v>
      </c>
      <c r="F191" s="17" t="str">
        <f>IFERROR(INDEX(Personnel[[Sinav ]],$K191),"")</f>
        <v>20.05.2026 Sineva gitti gecdi</v>
      </c>
      <c r="G191" s="17" t="str">
        <f>IFERROR(INDEX(Personnel[Egtim durumu],$K191),"")</f>
        <v>Dil egitimi tamamlandi sinavdan gecti</v>
      </c>
      <c r="H191" s="17" t="str">
        <f>IFERROR(INDEX(Personnel[Shohruh Not],$K191),"")</f>
        <v>-</v>
      </c>
      <c r="I191" s="22">
        <f ca="1">IFERROR(INDEX(Personnel[Дней в РФ],$K191),"")</f>
        <v>102</v>
      </c>
      <c r="K191" s="23">
        <f t="array" ref="K191">IFERROR(_xlfn.AGGREGATE(15,6,(ROW(Personnel[Egtim durumu])-MIN(ROW(Personnel[Egtim durumu]))+1)/((Personnel[Egtim durumu]="Dil egitimi tamamlandi sinavdan gecti")),ROWS($K$7:K191)),"")</f>
        <v>221</v>
      </c>
    </row>
    <row r="192" spans="1:11" x14ac:dyDescent="0.25">
      <c r="A192" s="40">
        <f>IFERROR(INDEX(Personnel[Sicil],$K192),"")</f>
        <v>643559</v>
      </c>
      <c r="B192" s="41" t="str">
        <f>IFERROR(INDEX(Personnel[Adi Soyadi],$K192),"")</f>
        <v xml:space="preserve">Нурматов Нурилло Алишер Угли </v>
      </c>
      <c r="C192" s="40" t="str">
        <f>IFERROR(INDEX(Personnel[Vatandaslik],$K192),"")</f>
        <v>УЗБЕКИСТАН</v>
      </c>
      <c r="D192" s="40" t="str">
        <f>IFERROR(INDEX(Personnel[Santiye],$K192),"")</f>
        <v>GPP Proje</v>
      </c>
      <c r="E192" s="40" t="str">
        <f>IFERROR(INDEX(Personnel[Ogretmen],$K192),"")</f>
        <v xml:space="preserve">Ziazetdinov Arslan </v>
      </c>
      <c r="F192" s="41" t="str">
        <f>IFERROR(INDEX(Personnel[[Sinav ]],$K192),"")</f>
        <v>26.05.2026 Sineva gitti gecdi</v>
      </c>
      <c r="G192" s="41" t="str">
        <f>IFERROR(INDEX(Personnel[Egtim durumu],$K192),"")</f>
        <v>Dil egitimi tamamlandi sinavdan gecti</v>
      </c>
      <c r="H192" s="41" t="str">
        <f>IFERROR(INDEX(Personnel[Shohruh Not],$K192),"")</f>
        <v>-</v>
      </c>
      <c r="I192" s="42">
        <f ca="1">IFERROR(INDEX(Personnel[Дней в РФ],$K192),"")</f>
        <v>102</v>
      </c>
      <c r="K192" s="23">
        <f t="array" ref="K192">IFERROR(_xlfn.AGGREGATE(15,6,(ROW(Personnel[Egtim durumu])-MIN(ROW(Personnel[Egtim durumu]))+1)/((Personnel[Egtim durumu]="Dil egitimi tamamlandi sinavdan gecti")),ROWS($K$7:K192)),"")</f>
        <v>222</v>
      </c>
    </row>
    <row r="193" spans="1:11" x14ac:dyDescent="0.25">
      <c r="A193" s="18">
        <f>IFERROR(INDEX(Personnel[Sicil],$K193),"")</f>
        <v>643580</v>
      </c>
      <c r="B193" s="17" t="str">
        <f>IFERROR(INDEX(Personnel[Adi Soyadi],$K193),"")</f>
        <v xml:space="preserve">Урманов Голибжон Олимжон Угли </v>
      </c>
      <c r="C193" s="18" t="str">
        <f>IFERROR(INDEX(Personnel[Vatandaslik],$K193),"")</f>
        <v>УЗБЕКИСТАН</v>
      </c>
      <c r="D193" s="18" t="str">
        <f>IFERROR(INDEX(Personnel[Santiye],$K193),"")</f>
        <v>GPP Proje</v>
      </c>
      <c r="E193" s="18" t="str">
        <f>IFERROR(INDEX(Personnel[Ogretmen],$K193),"")</f>
        <v xml:space="preserve">Ziazetdinov Arslan </v>
      </c>
      <c r="F193" s="17" t="str">
        <f>IFERROR(INDEX(Personnel[[Sinav ]],$K193),"")</f>
        <v>26.05.2026 Sineva gitti gecdi</v>
      </c>
      <c r="G193" s="17" t="str">
        <f>IFERROR(INDEX(Personnel[Egtim durumu],$K193),"")</f>
        <v>Dil egitimi tamamlandi sinavdan gecti</v>
      </c>
      <c r="H193" s="17" t="str">
        <f>IFERROR(INDEX(Personnel[Shohruh Not],$K193),"")</f>
        <v>-</v>
      </c>
      <c r="I193" s="22">
        <f ca="1">IFERROR(INDEX(Personnel[Дней в РФ],$K193),"")</f>
        <v>102</v>
      </c>
      <c r="K193" s="23">
        <f t="array" ref="K193">IFERROR(_xlfn.AGGREGATE(15,6,(ROW(Personnel[Egtim durumu])-MIN(ROW(Personnel[Egtim durumu]))+1)/((Personnel[Egtim durumu]="Dil egitimi tamamlandi sinavdan gecti")),ROWS($K$7:K193)),"")</f>
        <v>224</v>
      </c>
    </row>
    <row r="194" spans="1:11" x14ac:dyDescent="0.25">
      <c r="A194" s="40">
        <f>IFERROR(INDEX(Personnel[Sicil],$K194),"")</f>
        <v>589267</v>
      </c>
      <c r="B194" s="41" t="str">
        <f>IFERROR(INDEX(Personnel[Adi Soyadi],$K194),"")</f>
        <v xml:space="preserve">Эргашев Отабек Одилжон угли </v>
      </c>
      <c r="C194" s="40" t="str">
        <f>IFERROR(INDEX(Personnel[Vatandaslik],$K194),"")</f>
        <v>УЗБЕКИСТАН</v>
      </c>
      <c r="D194" s="40" t="str">
        <f>IFERROR(INDEX(Personnel[Santiye],$K194),"")</f>
        <v>GPP Proje</v>
      </c>
      <c r="E194" s="40" t="str">
        <f>IFERROR(INDEX(Personnel[Ogretmen],$K194),"")</f>
        <v xml:space="preserve">Ziazetdinov Arslan </v>
      </c>
      <c r="F194" s="41" t="str">
        <f>IFERROR(INDEX(Personnel[[Sinav ]],$K194),"")</f>
        <v>26.05.2026 Sineva gitti gecdi</v>
      </c>
      <c r="G194" s="41" t="str">
        <f>IFERROR(INDEX(Personnel[Egtim durumu],$K194),"")</f>
        <v>Dil egitimi tamamlandi sinavdan gecti</v>
      </c>
      <c r="H194" s="41" t="str">
        <f>IFERROR(INDEX(Personnel[Shohruh Not],$K194),"")</f>
        <v>-</v>
      </c>
      <c r="I194" s="42">
        <f ca="1">IFERROR(INDEX(Personnel[Дней в РФ],$K194),"")</f>
        <v>102</v>
      </c>
      <c r="K194" s="23">
        <f t="array" ref="K194">IFERROR(_xlfn.AGGREGATE(15,6,(ROW(Personnel[Egtim durumu])-MIN(ROW(Personnel[Egtim durumu]))+1)/((Personnel[Egtim durumu]="Dil egitimi tamamlandi sinavdan gecti")),ROWS($K$7:K194)),"")</f>
        <v>225</v>
      </c>
    </row>
    <row r="195" spans="1:11" x14ac:dyDescent="0.25">
      <c r="A195" s="18">
        <f>IFERROR(INDEX(Personnel[Sicil],$K195),"")</f>
        <v>643599</v>
      </c>
      <c r="B195" s="17" t="str">
        <f>IFERROR(INDEX(Personnel[Adi Soyadi],$K195),"")</f>
        <v xml:space="preserve">Юнусалиев Лутфулло Хусанбой Угли </v>
      </c>
      <c r="C195" s="18" t="str">
        <f>IFERROR(INDEX(Personnel[Vatandaslik],$K195),"")</f>
        <v>УЗБЕКИСТАН</v>
      </c>
      <c r="D195" s="18" t="str">
        <f>IFERROR(INDEX(Personnel[Santiye],$K195),"")</f>
        <v>GPP Proje</v>
      </c>
      <c r="E195" s="18" t="str">
        <f>IFERROR(INDEX(Personnel[Ogretmen],$K195),"")</f>
        <v xml:space="preserve">Ziazetdinov Arslan </v>
      </c>
      <c r="F195" s="17" t="str">
        <f>IFERROR(INDEX(Personnel[[Sinav ]],$K195),"")</f>
        <v>26.05.2026 Sineva gitti gecdi</v>
      </c>
      <c r="G195" s="17" t="str">
        <f>IFERROR(INDEX(Personnel[Egtim durumu],$K195),"")</f>
        <v>Dil egitimi tamamlandi sinavdan gecti</v>
      </c>
      <c r="H195" s="17" t="str">
        <f>IFERROR(INDEX(Personnel[Shohruh Not],$K195),"")</f>
        <v>-</v>
      </c>
      <c r="I195" s="22">
        <f ca="1">IFERROR(INDEX(Personnel[Дней в РФ],$K195),"")</f>
        <v>102</v>
      </c>
      <c r="K195" s="23">
        <f t="array" ref="K195">IFERROR(_xlfn.AGGREGATE(15,6,(ROW(Personnel[Egtim durumu])-MIN(ROW(Personnel[Egtim durumu]))+1)/((Personnel[Egtim durumu]="Dil egitimi tamamlandi sinavdan gecti")),ROWS($K$7:K195)),"")</f>
        <v>228</v>
      </c>
    </row>
    <row r="196" spans="1:11" x14ac:dyDescent="0.25">
      <c r="A196" s="40">
        <f>IFERROR(INDEX(Personnel[Sicil],$K196),"")</f>
        <v>643521</v>
      </c>
      <c r="B196" s="41" t="str">
        <f>IFERROR(INDEX(Personnel[Adi Soyadi],$K196),"")</f>
        <v>Аликулов Гофур Юсупович</v>
      </c>
      <c r="C196" s="40" t="str">
        <f>IFERROR(INDEX(Personnel[Vatandaslik],$K196),"")</f>
        <v>УЗБЕКИСТАН</v>
      </c>
      <c r="D196" s="40" t="str">
        <f>IFERROR(INDEX(Personnel[Santiye],$K196),"")</f>
        <v>GPP Proje</v>
      </c>
      <c r="E196" s="40" t="str">
        <f>IFERROR(INDEX(Personnel[Ogretmen],$K196),"")</f>
        <v>Tyulina Natalya</v>
      </c>
      <c r="F196" s="41" t="str">
        <f>IFERROR(INDEX(Personnel[[Sinav ]],$K196),"")</f>
        <v>21.05.2026 Sineva gitti gecdi</v>
      </c>
      <c r="G196" s="41" t="str">
        <f>IFERROR(INDEX(Personnel[Egtim durumu],$K196),"")</f>
        <v>Dil egitimi tamamlandi sinavdan gecti</v>
      </c>
      <c r="H196" s="41" t="str">
        <f>IFERROR(INDEX(Personnel[Shohruh Not],$K196),"")</f>
        <v>-</v>
      </c>
      <c r="I196" s="42">
        <f ca="1">IFERROR(INDEX(Personnel[Дней в РФ],$K196),"")</f>
        <v>103</v>
      </c>
      <c r="K196" s="23">
        <f t="array" ref="K196">IFERROR(_xlfn.AGGREGATE(15,6,(ROW(Personnel[Egtim durumu])-MIN(ROW(Personnel[Egtim durumu]))+1)/((Personnel[Egtim durumu]="Dil egitimi tamamlandi sinavdan gecti")),ROWS($K$7:K196)),"")</f>
        <v>230</v>
      </c>
    </row>
    <row r="197" spans="1:11" x14ac:dyDescent="0.25">
      <c r="A197" s="18">
        <f>IFERROR(INDEX(Personnel[Sicil],$K197),"")</f>
        <v>437227</v>
      </c>
      <c r="B197" s="17" t="str">
        <f>IFERROR(INDEX(Personnel[Adi Soyadi],$K197),"")</f>
        <v>Аликулов Хуршид Содикович</v>
      </c>
      <c r="C197" s="18" t="str">
        <f>IFERROR(INDEX(Personnel[Vatandaslik],$K197),"")</f>
        <v>УЗБЕКИСТАН</v>
      </c>
      <c r="D197" s="18" t="str">
        <f>IFERROR(INDEX(Personnel[Santiye],$K197),"")</f>
        <v>GPP Proje</v>
      </c>
      <c r="E197" s="18" t="str">
        <f>IFERROR(INDEX(Personnel[Ogretmen],$K197),"")</f>
        <v>Tyulina Natalya</v>
      </c>
      <c r="F197" s="17" t="str">
        <f>IFERROR(INDEX(Personnel[[Sinav ]],$K197),"")</f>
        <v>21.05.2026 Sineva gitti gecdi</v>
      </c>
      <c r="G197" s="17" t="str">
        <f>IFERROR(INDEX(Personnel[Egtim durumu],$K197),"")</f>
        <v>Dil egitimi tamamlandi sinavdan gecti</v>
      </c>
      <c r="H197" s="17" t="str">
        <f>IFERROR(INDEX(Personnel[Shohruh Not],$K197),"")</f>
        <v>-</v>
      </c>
      <c r="I197" s="22">
        <f ca="1">IFERROR(INDEX(Personnel[Дней в РФ],$K197),"")</f>
        <v>102</v>
      </c>
      <c r="K197" s="23">
        <f t="array" ref="K197">IFERROR(_xlfn.AGGREGATE(15,6,(ROW(Personnel[Egtim durumu])-MIN(ROW(Personnel[Egtim durumu]))+1)/((Personnel[Egtim durumu]="Dil egitimi tamamlandi sinavdan gecti")),ROWS($K$7:K197)),"")</f>
        <v>231</v>
      </c>
    </row>
    <row r="198" spans="1:11" x14ac:dyDescent="0.25">
      <c r="A198" s="40">
        <f>IFERROR(INDEX(Personnel[Sicil],$K198),"")</f>
        <v>643610</v>
      </c>
      <c r="B198" s="41" t="str">
        <f>IFERROR(INDEX(Personnel[Adi Soyadi],$K198),"")</f>
        <v>Бахтиёров Фирдавс Санат Угли</v>
      </c>
      <c r="C198" s="40" t="str">
        <f>IFERROR(INDEX(Personnel[Vatandaslik],$K198),"")</f>
        <v>УЗБЕКИСТАН</v>
      </c>
      <c r="D198" s="40" t="str">
        <f>IFERROR(INDEX(Personnel[Santiye],$K198),"")</f>
        <v>GPP Proje</v>
      </c>
      <c r="E198" s="40" t="str">
        <f>IFERROR(INDEX(Personnel[Ogretmen],$K198),"")</f>
        <v>Tyulina Natalya</v>
      </c>
      <c r="F198" s="41" t="str">
        <f>IFERROR(INDEX(Personnel[[Sinav ]],$K198),"")</f>
        <v>21.05.2026 Sineva gitti gecdi</v>
      </c>
      <c r="G198" s="41" t="str">
        <f>IFERROR(INDEX(Personnel[Egtim durumu],$K198),"")</f>
        <v>Dil egitimi tamamlandi sinavdan gecti</v>
      </c>
      <c r="H198" s="41" t="str">
        <f>IFERROR(INDEX(Personnel[Shohruh Not],$K198),"")</f>
        <v>-</v>
      </c>
      <c r="I198" s="42">
        <f ca="1">IFERROR(INDEX(Personnel[Дней в РФ],$K198),"")</f>
        <v>102</v>
      </c>
      <c r="K198" s="23">
        <f t="array" ref="K198">IFERROR(_xlfn.AGGREGATE(15,6,(ROW(Personnel[Egtim durumu])-MIN(ROW(Personnel[Egtim durumu]))+1)/((Personnel[Egtim durumu]="Dil egitimi tamamlandi sinavdan gecti")),ROWS($K$7:K198)),"")</f>
        <v>232</v>
      </c>
    </row>
    <row r="199" spans="1:11" ht="38.25" x14ac:dyDescent="0.25">
      <c r="A199" s="18">
        <f>IFERROR(INDEX(Personnel[Sicil],$K199),"")</f>
        <v>643528</v>
      </c>
      <c r="B199" s="17" t="str">
        <f>IFERROR(INDEX(Personnel[Adi Soyadi],$K199),"")</f>
        <v>Дадабоев Мухидин Турсунмаматович</v>
      </c>
      <c r="C199" s="18" t="str">
        <f>IFERROR(INDEX(Personnel[Vatandaslik],$K199),"")</f>
        <v>УЗБЕКИСТАН</v>
      </c>
      <c r="D199" s="18" t="str">
        <f>IFERROR(INDEX(Personnel[Santiye],$K199),"")</f>
        <v>GPP Proje</v>
      </c>
      <c r="E199" s="18" t="str">
        <f>IFERROR(INDEX(Personnel[Ogretmen],$K199),"")</f>
        <v>Ziazetdinov Arslan  / Tyulina Natalya/ Arslan</v>
      </c>
      <c r="F199" s="17" t="str">
        <f>IFERROR(INDEX(Personnel[[Sinav ]],$K199),"")</f>
        <v>29.05.2026 Sineva gitti gecemedi /18.05.2026 Ic testimizden gecemedi/05.06.2026 Sineva gitti gecdi</v>
      </c>
      <c r="G199" s="17" t="str">
        <f>IFERROR(INDEX(Personnel[Egtim durumu],$K199),"")</f>
        <v>Dil egitimi tamamlandi sinavdan gecti</v>
      </c>
      <c r="H199" s="17" t="str">
        <f>IFERROR(INDEX(Personnel[Shohruh Not],$K199),"")</f>
        <v>-</v>
      </c>
      <c r="I199" s="22">
        <f ca="1">IFERROR(INDEX(Personnel[Дней в РФ],$K199),"")</f>
        <v>102</v>
      </c>
      <c r="K199" s="23">
        <f t="array" ref="K199">IFERROR(_xlfn.AGGREGATE(15,6,(ROW(Personnel[Egtim durumu])-MIN(ROW(Personnel[Egtim durumu]))+1)/((Personnel[Egtim durumu]="Dil egitimi tamamlandi sinavdan gecti")),ROWS($K$7:K199)),"")</f>
        <v>233</v>
      </c>
    </row>
    <row r="200" spans="1:11" x14ac:dyDescent="0.25">
      <c r="A200" s="40">
        <f>IFERROR(INDEX(Personnel[Sicil],$K200),"")</f>
        <v>512194</v>
      </c>
      <c r="B200" s="41" t="str">
        <f>IFERROR(INDEX(Personnel[Adi Soyadi],$K200),"")</f>
        <v>Хужамкул Пойон Абсалом угли</v>
      </c>
      <c r="C200" s="40" t="str">
        <f>IFERROR(INDEX(Personnel[Vatandaslik],$K200),"")</f>
        <v>УЗБЕКИСТАН</v>
      </c>
      <c r="D200" s="40" t="str">
        <f>IFERROR(INDEX(Personnel[Santiye],$K200),"")</f>
        <v>GPP Proje</v>
      </c>
      <c r="E200" s="40" t="str">
        <f>IFERROR(INDEX(Personnel[Ogretmen],$K200),"")</f>
        <v xml:space="preserve">Ziazetdinov Arslan </v>
      </c>
      <c r="F200" s="41" t="str">
        <f>IFERROR(INDEX(Personnel[[Sinav ]],$K200),"")</f>
        <v>26.05.2026 Sineva gitti gecdi</v>
      </c>
      <c r="G200" s="41" t="str">
        <f>IFERROR(INDEX(Personnel[Egtim durumu],$K200),"")</f>
        <v>Dil egitimi tamamlandi sinavdan gecti</v>
      </c>
      <c r="H200" s="41" t="str">
        <f>IFERROR(INDEX(Personnel[Shohruh Not],$K200),"")</f>
        <v>-</v>
      </c>
      <c r="I200" s="42">
        <f ca="1">IFERROR(INDEX(Personnel[Дней в РФ],$K200),"")</f>
        <v>103</v>
      </c>
      <c r="K200" s="23">
        <f t="array" ref="K200">IFERROR(_xlfn.AGGREGATE(15,6,(ROW(Personnel[Egtim durumu])-MIN(ROW(Personnel[Egtim durumu]))+1)/((Personnel[Egtim durumu]="Dil egitimi tamamlandi sinavdan gecti")),ROWS($K$7:K200)),"")</f>
        <v>234</v>
      </c>
    </row>
    <row r="201" spans="1:11" ht="25.5" x14ac:dyDescent="0.25">
      <c r="A201" s="18">
        <f>IFERROR(INDEX(Personnel[Sicil],$K201),"")</f>
        <v>643612</v>
      </c>
      <c r="B201" s="17" t="str">
        <f>IFERROR(INDEX(Personnel[Adi Soyadi],$K201),"")</f>
        <v>Исаков Нуриддинжон Холматжон Угли</v>
      </c>
      <c r="C201" s="18" t="str">
        <f>IFERROR(INDEX(Personnel[Vatandaslik],$K201),"")</f>
        <v>УЗБЕКИСТАН</v>
      </c>
      <c r="D201" s="18" t="str">
        <f>IFERROR(INDEX(Personnel[Santiye],$K201),"")</f>
        <v>GPP Proje</v>
      </c>
      <c r="E201" s="18" t="str">
        <f>IFERROR(INDEX(Personnel[Ogretmen],$K201),"")</f>
        <v>Ziazetdinov Arslan / Ziazetdinov Arslan</v>
      </c>
      <c r="F201" s="17" t="str">
        <f>IFERROR(INDEX(Personnel[[Sinav ]],$K201),"")</f>
        <v>22.05.2026 Sineva gitti gecemedi /26.05.2026 Sineva gitti gecdi</v>
      </c>
      <c r="G201" s="17" t="str">
        <f>IFERROR(INDEX(Personnel[Egtim durumu],$K201),"")</f>
        <v>Dil egitimi tamamlandi sinavdan gecti</v>
      </c>
      <c r="H201" s="17" t="str">
        <f>IFERROR(INDEX(Personnel[Shohruh Not],$K201),"")</f>
        <v>-</v>
      </c>
      <c r="I201" s="22">
        <f ca="1">IFERROR(INDEX(Personnel[Дней в РФ],$K201),"")</f>
        <v>101</v>
      </c>
      <c r="K201" s="23">
        <f t="array" ref="K201">IFERROR(_xlfn.AGGREGATE(15,6,(ROW(Personnel[Egtim durumu])-MIN(ROW(Personnel[Egtim durumu]))+1)/((Personnel[Egtim durumu]="Dil egitimi tamamlandi sinavdan gecti")),ROWS($K$7:K201)),"")</f>
        <v>235</v>
      </c>
    </row>
    <row r="202" spans="1:11" x14ac:dyDescent="0.25">
      <c r="A202" s="40">
        <f>IFERROR(INDEX(Personnel[Sicil],$K202),"")</f>
        <v>643536</v>
      </c>
      <c r="B202" s="41" t="str">
        <f>IFERROR(INDEX(Personnel[Adi Soyadi],$K202),"")</f>
        <v>Исматов Гуломжон Хаитбаевич</v>
      </c>
      <c r="C202" s="40" t="str">
        <f>IFERROR(INDEX(Personnel[Vatandaslik],$K202),"")</f>
        <v>УЗБЕКИСТАН</v>
      </c>
      <c r="D202" s="40" t="str">
        <f>IFERROR(INDEX(Personnel[Santiye],$K202),"")</f>
        <v>GPP Proje</v>
      </c>
      <c r="E202" s="40" t="str">
        <f>IFERROR(INDEX(Personnel[Ogretmen],$K202),"")</f>
        <v xml:space="preserve">Ziazetdinov Arslan </v>
      </c>
      <c r="F202" s="41" t="str">
        <f>IFERROR(INDEX(Personnel[[Sinav ]],$K202),"")</f>
        <v>26.05.2026 Sineva gitti gecdi</v>
      </c>
      <c r="G202" s="41" t="str">
        <f>IFERROR(INDEX(Personnel[Egtim durumu],$K202),"")</f>
        <v>Dil egitimi tamamlandi sinavdan gecti</v>
      </c>
      <c r="H202" s="41" t="str">
        <f>IFERROR(INDEX(Personnel[Shohruh Not],$K202),"")</f>
        <v>-</v>
      </c>
      <c r="I202" s="42">
        <f ca="1">IFERROR(INDEX(Personnel[Дней в РФ],$K202),"")</f>
        <v>102</v>
      </c>
      <c r="K202" s="23">
        <f t="array" ref="K202">IFERROR(_xlfn.AGGREGATE(15,6,(ROW(Personnel[Egtim durumu])-MIN(ROW(Personnel[Egtim durumu]))+1)/((Personnel[Egtim durumu]="Dil egitimi tamamlandi sinavdan gecti")),ROWS($K$7:K202)),"")</f>
        <v>237</v>
      </c>
    </row>
    <row r="203" spans="1:11" x14ac:dyDescent="0.25">
      <c r="A203" s="18">
        <f>IFERROR(INDEX(Personnel[Sicil],$K203),"")</f>
        <v>643530</v>
      </c>
      <c r="B203" s="17" t="str">
        <f>IFERROR(INDEX(Personnel[Adi Soyadi],$K203),"")</f>
        <v>Жалолов Азизжон Сайдахматович</v>
      </c>
      <c r="C203" s="18" t="str">
        <f>IFERROR(INDEX(Personnel[Vatandaslik],$K203),"")</f>
        <v>УЗБЕКИСТАН</v>
      </c>
      <c r="D203" s="18" t="str">
        <f>IFERROR(INDEX(Personnel[Santiye],$K203),"")</f>
        <v>GPP Proje</v>
      </c>
      <c r="E203" s="18" t="str">
        <f>IFERROR(INDEX(Personnel[Ogretmen],$K203),"")</f>
        <v xml:space="preserve">Ziazetdinov Arslan </v>
      </c>
      <c r="F203" s="17" t="str">
        <f>IFERROR(INDEX(Personnel[[Sinav ]],$K203),"")</f>
        <v>22.05.2026 Sineva gitti gecdi</v>
      </c>
      <c r="G203" s="17" t="str">
        <f>IFERROR(INDEX(Personnel[Egtim durumu],$K203),"")</f>
        <v>Dil egitimi tamamlandi sinavdan gecti</v>
      </c>
      <c r="H203" s="17" t="str">
        <f>IFERROR(INDEX(Personnel[Shohruh Not],$K203),"")</f>
        <v>-</v>
      </c>
      <c r="I203" s="22">
        <f ca="1">IFERROR(INDEX(Personnel[Дней в РФ],$K203),"")</f>
        <v>102</v>
      </c>
      <c r="K203" s="23">
        <f t="array" ref="K203">IFERROR(_xlfn.AGGREGATE(15,6,(ROW(Personnel[Egtim durumu])-MIN(ROW(Personnel[Egtim durumu]))+1)/((Personnel[Egtim durumu]="Dil egitimi tamamlandi sinavdan gecti")),ROWS($K$7:K203)),"")</f>
        <v>238</v>
      </c>
    </row>
    <row r="204" spans="1:11" x14ac:dyDescent="0.25">
      <c r="A204" s="40">
        <f>IFERROR(INDEX(Personnel[Sicil],$K204),"")</f>
        <v>643541</v>
      </c>
      <c r="B204" s="41" t="str">
        <f>IFERROR(INDEX(Personnel[Adi Soyadi],$K204),"")</f>
        <v>Кахрамонов Достон Рустам Угли</v>
      </c>
      <c r="C204" s="40" t="str">
        <f>IFERROR(INDEX(Personnel[Vatandaslik],$K204),"")</f>
        <v>УЗБЕКИСТАН</v>
      </c>
      <c r="D204" s="40" t="str">
        <f>IFERROR(INDEX(Personnel[Santiye],$K204),"")</f>
        <v>GPP Proje</v>
      </c>
      <c r="E204" s="40" t="str">
        <f>IFERROR(INDEX(Personnel[Ogretmen],$K204),"")</f>
        <v xml:space="preserve">Ziazetdinov Arslan </v>
      </c>
      <c r="F204" s="41" t="str">
        <f>IFERROR(INDEX(Personnel[[Sinav ]],$K204),"")</f>
        <v>26.05.2026 Sineva gitti gecdi</v>
      </c>
      <c r="G204" s="41" t="str">
        <f>IFERROR(INDEX(Personnel[Egtim durumu],$K204),"")</f>
        <v>Dil egitimi tamamlandi sinavdan gecti</v>
      </c>
      <c r="H204" s="41" t="str">
        <f>IFERROR(INDEX(Personnel[Shohruh Not],$K204),"")</f>
        <v>-</v>
      </c>
      <c r="I204" s="42">
        <f ca="1">IFERROR(INDEX(Personnel[Дней в РФ],$K204),"")</f>
        <v>102</v>
      </c>
      <c r="K204" s="23">
        <f t="array" ref="K204">IFERROR(_xlfn.AGGREGATE(15,6,(ROW(Personnel[Egtim durumu])-MIN(ROW(Personnel[Egtim durumu]))+1)/((Personnel[Egtim durumu]="Dil egitimi tamamlandi sinavdan gecti")),ROWS($K$7:K204)),"")</f>
        <v>240</v>
      </c>
    </row>
    <row r="205" spans="1:11" x14ac:dyDescent="0.25">
      <c r="A205" s="18">
        <f>IFERROR(INDEX(Personnel[Sicil],$K205),"")</f>
        <v>643583</v>
      </c>
      <c r="B205" s="17" t="str">
        <f>IFERROR(INDEX(Personnel[Adi Soyadi],$K205),"")</f>
        <v>Химматкулов Ботир Мавлонович</v>
      </c>
      <c r="C205" s="18" t="str">
        <f>IFERROR(INDEX(Personnel[Vatandaslik],$K205),"")</f>
        <v>УЗБЕКИСТАН</v>
      </c>
      <c r="D205" s="18" t="str">
        <f>IFERROR(INDEX(Personnel[Santiye],$K205),"")</f>
        <v>GPP Proje</v>
      </c>
      <c r="E205" s="18" t="str">
        <f>IFERROR(INDEX(Personnel[Ogretmen],$K205),"")</f>
        <v>Tyulina Natalya</v>
      </c>
      <c r="F205" s="17" t="str">
        <f>IFERROR(INDEX(Personnel[[Sinav ]],$K205),"")</f>
        <v>21.05.2026 Sineva gitti gecdi</v>
      </c>
      <c r="G205" s="17" t="str">
        <f>IFERROR(INDEX(Personnel[Egtim durumu],$K205),"")</f>
        <v>Dil egitimi tamamlandi sinavdan gecti</v>
      </c>
      <c r="H205" s="17" t="str">
        <f>IFERROR(INDEX(Personnel[Shohruh Not],$K205),"")</f>
        <v>-</v>
      </c>
      <c r="I205" s="22">
        <f ca="1">IFERROR(INDEX(Personnel[Дней в РФ],$K205),"")</f>
        <v>102</v>
      </c>
      <c r="K205" s="23">
        <f t="array" ref="K205">IFERROR(_xlfn.AGGREGATE(15,6,(ROW(Personnel[Egtim durumu])-MIN(ROW(Personnel[Egtim durumu]))+1)/((Personnel[Egtim durumu]="Dil egitimi tamamlandi sinavdan gecti")),ROWS($K$7:K205)),"")</f>
        <v>241</v>
      </c>
    </row>
    <row r="206" spans="1:11" ht="25.5" x14ac:dyDescent="0.25">
      <c r="A206" s="40">
        <f>IFERROR(INDEX(Personnel[Sicil],$K206),"")</f>
        <v>643584</v>
      </c>
      <c r="B206" s="41" t="str">
        <f>IFERROR(INDEX(Personnel[Adi Soyadi],$K206),"")</f>
        <v>Хожиханов Комил Нуриллахонович</v>
      </c>
      <c r="C206" s="40" t="str">
        <f>IFERROR(INDEX(Personnel[Vatandaslik],$K206),"")</f>
        <v>УЗБЕКИСТАН</v>
      </c>
      <c r="D206" s="40" t="str">
        <f>IFERROR(INDEX(Personnel[Santiye],$K206),"")</f>
        <v>GPP Proje</v>
      </c>
      <c r="E206" s="40" t="str">
        <f>IFERROR(INDEX(Personnel[Ogretmen],$K206),"")</f>
        <v>Tyulina Natalya / Ziaztdinov Arslan</v>
      </c>
      <c r="F206" s="41" t="str">
        <f>IFERROR(INDEX(Personnel[[Sinav ]],$K206),"")</f>
        <v>21.05.2026 Sineva gitti gecemedi /26.05.2026 Sineva gitti gecdi</v>
      </c>
      <c r="G206" s="41" t="str">
        <f>IFERROR(INDEX(Personnel[Egtim durumu],$K206),"")</f>
        <v>Dil egitimi tamamlandi sinavdan gecti</v>
      </c>
      <c r="H206" s="41" t="str">
        <f>IFERROR(INDEX(Personnel[Shohruh Not],$K206),"")</f>
        <v>-</v>
      </c>
      <c r="I206" s="42">
        <f ca="1">IFERROR(INDEX(Personnel[Дней в РФ],$K206),"")</f>
        <v>102</v>
      </c>
      <c r="K206" s="23">
        <f t="array" ref="K206">IFERROR(_xlfn.AGGREGATE(15,6,(ROW(Personnel[Egtim durumu])-MIN(ROW(Personnel[Egtim durumu]))+1)/((Personnel[Egtim durumu]="Dil egitimi tamamlandi sinavdan gecti")),ROWS($K$7:K206)),"")</f>
        <v>242</v>
      </c>
    </row>
    <row r="207" spans="1:11" ht="25.5" x14ac:dyDescent="0.25">
      <c r="A207" s="18">
        <f>IFERROR(INDEX(Personnel[Sicil],$K207),"")</f>
        <v>643586</v>
      </c>
      <c r="B207" s="17" t="str">
        <f>IFERROR(INDEX(Personnel[Adi Soyadi],$K207),"")</f>
        <v>Холмирзаев Сардор Машрабжон Угли</v>
      </c>
      <c r="C207" s="18" t="str">
        <f>IFERROR(INDEX(Personnel[Vatandaslik],$K207),"")</f>
        <v>УЗБЕКИСТАН</v>
      </c>
      <c r="D207" s="18" t="str">
        <f>IFERROR(INDEX(Personnel[Santiye],$K207),"")</f>
        <v>GPP Proje</v>
      </c>
      <c r="E207" s="18" t="str">
        <f>IFERROR(INDEX(Personnel[Ogretmen],$K207),"")</f>
        <v xml:space="preserve">Ziazetdinov Arslan </v>
      </c>
      <c r="F207" s="17" t="str">
        <f>IFERROR(INDEX(Personnel[[Sinav ]],$K207),"")</f>
        <v>26.05.2026 Sineva gitti gecdi</v>
      </c>
      <c r="G207" s="17" t="str">
        <f>IFERROR(INDEX(Personnel[Egtim durumu],$K207),"")</f>
        <v>Dil egitimi tamamlandi sinavdan gecti</v>
      </c>
      <c r="H207" s="17" t="str">
        <f>IFERROR(INDEX(Personnel[Shohruh Not],$K207),"")</f>
        <v>-</v>
      </c>
      <c r="I207" s="22">
        <f ca="1">IFERROR(INDEX(Personnel[Дней в РФ],$K207),"")</f>
        <v>102</v>
      </c>
      <c r="K207" s="23">
        <f t="array" ref="K207">IFERROR(_xlfn.AGGREGATE(15,6,(ROW(Personnel[Egtim durumu])-MIN(ROW(Personnel[Egtim durumu]))+1)/((Personnel[Egtim durumu]="Dil egitimi tamamlandi sinavdan gecti")),ROWS($K$7:K207)),"")</f>
        <v>244</v>
      </c>
    </row>
    <row r="208" spans="1:11" x14ac:dyDescent="0.25">
      <c r="A208" s="40">
        <f>IFERROR(INDEX(Personnel[Sicil],$K208),"")</f>
        <v>643554</v>
      </c>
      <c r="B208" s="41" t="str">
        <f>IFERROR(INDEX(Personnel[Adi Soyadi],$K208),"")</f>
        <v>Муротов Сирожиддин Сапарович</v>
      </c>
      <c r="C208" s="40" t="str">
        <f>IFERROR(INDEX(Personnel[Vatandaslik],$K208),"")</f>
        <v>УЗБЕКИСТАН</v>
      </c>
      <c r="D208" s="40" t="str">
        <f>IFERROR(INDEX(Personnel[Santiye],$K208),"")</f>
        <v>GPP Proje</v>
      </c>
      <c r="E208" s="40" t="str">
        <f>IFERROR(INDEX(Personnel[Ogretmen],$K208),"")</f>
        <v xml:space="preserve">Ziazetdinov Arslan </v>
      </c>
      <c r="F208" s="41" t="str">
        <f>IFERROR(INDEX(Personnel[[Sinav ]],$K208),"")</f>
        <v>22.05.2026 Sineva gitti gecdi</v>
      </c>
      <c r="G208" s="41" t="str">
        <f>IFERROR(INDEX(Personnel[Egtim durumu],$K208),"")</f>
        <v>Dil egitimi tamamlandi sinavdan gecti</v>
      </c>
      <c r="H208" s="41" t="str">
        <f>IFERROR(INDEX(Personnel[Shohruh Not],$K208),"")</f>
        <v>-</v>
      </c>
      <c r="I208" s="42">
        <f ca="1">IFERROR(INDEX(Personnel[Дней в РФ],$K208),"")</f>
        <v>102</v>
      </c>
      <c r="K208" s="23">
        <f t="array" ref="K208">IFERROR(_xlfn.AGGREGATE(15,6,(ROW(Personnel[Egtim durumu])-MIN(ROW(Personnel[Egtim durumu]))+1)/((Personnel[Egtim durumu]="Dil egitimi tamamlandi sinavdan gecti")),ROWS($K$7:K208)),"")</f>
        <v>248</v>
      </c>
    </row>
    <row r="209" spans="1:11" x14ac:dyDescent="0.25">
      <c r="A209" s="18">
        <f>IFERROR(INDEX(Personnel[Sicil],$K209),"")</f>
        <v>643555</v>
      </c>
      <c r="B209" s="17" t="str">
        <f>IFERROR(INDEX(Personnel[Adi Soyadi],$K209),"")</f>
        <v>Назаров Умид Абдуназарович</v>
      </c>
      <c r="C209" s="18" t="str">
        <f>IFERROR(INDEX(Personnel[Vatandaslik],$K209),"")</f>
        <v>УЗБЕКИСТАН</v>
      </c>
      <c r="D209" s="18" t="str">
        <f>IFERROR(INDEX(Personnel[Santiye],$K209),"")</f>
        <v>GPP Proje</v>
      </c>
      <c r="E209" s="18" t="str">
        <f>IFERROR(INDEX(Personnel[Ogretmen],$K209),"")</f>
        <v>Tyulina Natalya</v>
      </c>
      <c r="F209" s="17" t="str">
        <f>IFERROR(INDEX(Personnel[[Sinav ]],$K209),"")</f>
        <v>21.05.2026 Sineva gitti gecdi</v>
      </c>
      <c r="G209" s="17" t="str">
        <f>IFERROR(INDEX(Personnel[Egtim durumu],$K209),"")</f>
        <v>Dil egitimi tamamlandi sinavdan gecti</v>
      </c>
      <c r="H209" s="17" t="str">
        <f>IFERROR(INDEX(Personnel[Shohruh Not],$K209),"")</f>
        <v>-</v>
      </c>
      <c r="I209" s="22">
        <f ca="1">IFERROR(INDEX(Personnel[Дней в РФ],$K209),"")</f>
        <v>102</v>
      </c>
      <c r="K209" s="23">
        <f t="array" ref="K209">IFERROR(_xlfn.AGGREGATE(15,6,(ROW(Personnel[Egtim durumu])-MIN(ROW(Personnel[Egtim durumu]))+1)/((Personnel[Egtim durumu]="Dil egitimi tamamlandi sinavdan gecti")),ROWS($K$7:K209)),"")</f>
        <v>249</v>
      </c>
    </row>
    <row r="210" spans="1:11" x14ac:dyDescent="0.25">
      <c r="A210" s="40">
        <f>IFERROR(INDEX(Personnel[Sicil],$K210),"")</f>
        <v>643611</v>
      </c>
      <c r="B210" s="41" t="str">
        <f>IFERROR(INDEX(Personnel[Adi Soyadi],$K210),"")</f>
        <v>Ниёзмуродов Файзали Ибодович</v>
      </c>
      <c r="C210" s="40" t="str">
        <f>IFERROR(INDEX(Personnel[Vatandaslik],$K210),"")</f>
        <v>УЗБЕКИСТАН</v>
      </c>
      <c r="D210" s="40" t="str">
        <f>IFERROR(INDEX(Personnel[Santiye],$K210),"")</f>
        <v>GPP Proje</v>
      </c>
      <c r="E210" s="40" t="str">
        <f>IFERROR(INDEX(Personnel[Ogretmen],$K210),"")</f>
        <v xml:space="preserve">Ziazetdinov Arslan </v>
      </c>
      <c r="F210" s="41" t="str">
        <f>IFERROR(INDEX(Personnel[[Sinav ]],$K210),"")</f>
        <v>26.05.2026 Sineva gitti gecdi</v>
      </c>
      <c r="G210" s="41" t="str">
        <f>IFERROR(INDEX(Personnel[Egtim durumu],$K210),"")</f>
        <v>Dil egitimi tamamlandi sinavdan gecti</v>
      </c>
      <c r="H210" s="41" t="str">
        <f>IFERROR(INDEX(Personnel[Shohruh Not],$K210),"")</f>
        <v>-</v>
      </c>
      <c r="I210" s="42">
        <f ca="1">IFERROR(INDEX(Personnel[Дней в РФ],$K210),"")</f>
        <v>102</v>
      </c>
      <c r="K210" s="23">
        <f t="array" ref="K210">IFERROR(_xlfn.AGGREGATE(15,6,(ROW(Personnel[Egtim durumu])-MIN(ROW(Personnel[Egtim durumu]))+1)/((Personnel[Egtim durumu]="Dil egitimi tamamlandi sinavdan gecti")),ROWS($K$7:K210)),"")</f>
        <v>250</v>
      </c>
    </row>
    <row r="211" spans="1:11" ht="25.5" x14ac:dyDescent="0.25">
      <c r="A211" s="18">
        <f>IFERROR(INDEX(Personnel[Sicil],$K211),"")</f>
        <v>643558</v>
      </c>
      <c r="B211" s="17" t="str">
        <f>IFERROR(INDEX(Personnel[Adi Soyadi],$K211),"")</f>
        <v>Нурматов Садриддин Сайпитдин Угли</v>
      </c>
      <c r="C211" s="18" t="str">
        <f>IFERROR(INDEX(Personnel[Vatandaslik],$K211),"")</f>
        <v>УЗБЕКИСТАН</v>
      </c>
      <c r="D211" s="18" t="str">
        <f>IFERROR(INDEX(Personnel[Santiye],$K211),"")</f>
        <v>GPP Proje</v>
      </c>
      <c r="E211" s="18" t="str">
        <f>IFERROR(INDEX(Personnel[Ogretmen],$K211),"")</f>
        <v xml:space="preserve">Ziazetdinov Arslan </v>
      </c>
      <c r="F211" s="17" t="str">
        <f>IFERROR(INDEX(Personnel[[Sinav ]],$K211),"")</f>
        <v>22.05.2026 Sineva gitti gecdi</v>
      </c>
      <c r="G211" s="17" t="str">
        <f>IFERROR(INDEX(Personnel[Egtim durumu],$K211),"")</f>
        <v>Dil egitimi tamamlandi sinavdan gecti</v>
      </c>
      <c r="H211" s="17" t="str">
        <f>IFERROR(INDEX(Personnel[Shohruh Not],$K211),"")</f>
        <v>-</v>
      </c>
      <c r="I211" s="22">
        <f ca="1">IFERROR(INDEX(Personnel[Дней в РФ],$K211),"")</f>
        <v>102</v>
      </c>
      <c r="K211" s="23">
        <f t="array" ref="K211">IFERROR(_xlfn.AGGREGATE(15,6,(ROW(Personnel[Egtim durumu])-MIN(ROW(Personnel[Egtim durumu]))+1)/((Personnel[Egtim durumu]="Dil egitimi tamamlandi sinavdan gecti")),ROWS($K$7:K211)),"")</f>
        <v>251</v>
      </c>
    </row>
    <row r="212" spans="1:11" x14ac:dyDescent="0.25">
      <c r="A212" s="40">
        <f>IFERROR(INDEX(Personnel[Sicil],$K212),"")</f>
        <v>643562</v>
      </c>
      <c r="B212" s="41" t="str">
        <f>IFERROR(INDEX(Personnel[Adi Soyadi],$K212),"")</f>
        <v>Пулатов Алимардон Абдуваннобович</v>
      </c>
      <c r="C212" s="40" t="str">
        <f>IFERROR(INDEX(Personnel[Vatandaslik],$K212),"")</f>
        <v>УЗБЕКИСТАН</v>
      </c>
      <c r="D212" s="40" t="str">
        <f>IFERROR(INDEX(Personnel[Santiye],$K212),"")</f>
        <v>GPP Proje</v>
      </c>
      <c r="E212" s="40" t="str">
        <f>IFERROR(INDEX(Personnel[Ogretmen],$K212),"")</f>
        <v xml:space="preserve">Ziazetdinov Arslan </v>
      </c>
      <c r="F212" s="41" t="str">
        <f>IFERROR(INDEX(Personnel[[Sinav ]],$K212),"")</f>
        <v>22.05.2026 Sineva gitti gecdi</v>
      </c>
      <c r="G212" s="41" t="str">
        <f>IFERROR(INDEX(Personnel[Egtim durumu],$K212),"")</f>
        <v>Dil egitimi tamamlandi sinavdan gecti</v>
      </c>
      <c r="H212" s="41" t="str">
        <f>IFERROR(INDEX(Personnel[Shohruh Not],$K212),"")</f>
        <v>-</v>
      </c>
      <c r="I212" s="42">
        <f ca="1">IFERROR(INDEX(Personnel[Дней в РФ],$K212),"")</f>
        <v>102</v>
      </c>
      <c r="K212" s="23">
        <f t="array" ref="K212">IFERROR(_xlfn.AGGREGATE(15,6,(ROW(Personnel[Egtim durumu])-MIN(ROW(Personnel[Egtim durumu]))+1)/((Personnel[Egtim durumu]="Dil egitimi tamamlandi sinavdan gecti")),ROWS($K$7:K212)),"")</f>
        <v>253</v>
      </c>
    </row>
    <row r="213" spans="1:11" ht="25.5" x14ac:dyDescent="0.25">
      <c r="A213" s="18">
        <f>IFERROR(INDEX(Personnel[Sicil],$K213),"")</f>
        <v>643566</v>
      </c>
      <c r="B213" s="17" t="str">
        <f>IFERROR(INDEX(Personnel[Adi Soyadi],$K213),"")</f>
        <v>Рахмоналиев Жамшид Хурсандали Угли</v>
      </c>
      <c r="C213" s="18" t="str">
        <f>IFERROR(INDEX(Personnel[Vatandaslik],$K213),"")</f>
        <v>УЗБЕКИСТАН</v>
      </c>
      <c r="D213" s="18" t="str">
        <f>IFERROR(INDEX(Personnel[Santiye],$K213),"")</f>
        <v>GPP Proje</v>
      </c>
      <c r="E213" s="18" t="str">
        <f>IFERROR(INDEX(Personnel[Ogretmen],$K213),"")</f>
        <v>Tyulina Natalya</v>
      </c>
      <c r="F213" s="17" t="str">
        <f>IFERROR(INDEX(Personnel[[Sinav ]],$K213),"")</f>
        <v>21.05.2026 Sineva gitti gecdi</v>
      </c>
      <c r="G213" s="17" t="str">
        <f>IFERROR(INDEX(Personnel[Egtim durumu],$K213),"")</f>
        <v>Dil egitimi tamamlandi sinavdan gecti</v>
      </c>
      <c r="H213" s="17" t="str">
        <f>IFERROR(INDEX(Personnel[Shohruh Not],$K213),"")</f>
        <v>-</v>
      </c>
      <c r="I213" s="22">
        <f ca="1">IFERROR(INDEX(Personnel[Дней в РФ],$K213),"")</f>
        <v>102</v>
      </c>
      <c r="K213" s="23">
        <f t="array" ref="K213">IFERROR(_xlfn.AGGREGATE(15,6,(ROW(Personnel[Egtim durumu])-MIN(ROW(Personnel[Egtim durumu]))+1)/((Personnel[Egtim durumu]="Dil egitimi tamamlandi sinavdan gecti")),ROWS($K$7:K213)),"")</f>
        <v>255</v>
      </c>
    </row>
    <row r="214" spans="1:11" ht="38.25" x14ac:dyDescent="0.25">
      <c r="A214" s="40">
        <f>IFERROR(INDEX(Personnel[Sicil],$K214),"")</f>
        <v>553176</v>
      </c>
      <c r="B214" s="41" t="str">
        <f>IFERROR(INDEX(Personnel[Adi Soyadi],$K214),"")</f>
        <v>Рашидов Амриддин Абдурахим угли</v>
      </c>
      <c r="C214" s="40" t="str">
        <f>IFERROR(INDEX(Personnel[Vatandaslik],$K214),"")</f>
        <v>УЗБЕКИСТАН</v>
      </c>
      <c r="D214" s="40" t="str">
        <f>IFERROR(INDEX(Personnel[Santiye],$K214),"")</f>
        <v>GPP Proje</v>
      </c>
      <c r="E214" s="40" t="str">
        <f>IFERROR(INDEX(Personnel[Ogretmen],$K214),"")</f>
        <v>Tyulina Natalya / Ziaztdinov Arslan</v>
      </c>
      <c r="F214" s="41" t="str">
        <f>IFERROR(INDEX(Personnel[[Sinav ]],$K214),"")</f>
        <v>Ic testimizden gecemiyor(27.05.2026 egitime alindi) /05.06.2026 Sineva gitti gecdi</v>
      </c>
      <c r="G214" s="41" t="str">
        <f>IFERROR(INDEX(Personnel[Egtim durumu],$K214),"")</f>
        <v>Dil egitimi tamamlandi sinavdan gecti</v>
      </c>
      <c r="H214" s="41" t="str">
        <f>IFERROR(INDEX(Personnel[Shohruh Not],$K214),"")</f>
        <v>-</v>
      </c>
      <c r="I214" s="42">
        <f ca="1">IFERROR(INDEX(Personnel[Дней в РФ],$K214),"")</f>
        <v>102</v>
      </c>
      <c r="K214" s="23">
        <f t="array" ref="K214">IFERROR(_xlfn.AGGREGATE(15,6,(ROW(Personnel[Egtim durumu])-MIN(ROW(Personnel[Egtim durumu]))+1)/((Personnel[Egtim durumu]="Dil egitimi tamamlandi sinavdan gecti")),ROWS($K$7:K214)),"")</f>
        <v>256</v>
      </c>
    </row>
    <row r="215" spans="1:11" ht="25.5" x14ac:dyDescent="0.25">
      <c r="A215" s="18">
        <f>IFERROR(INDEX(Personnel[Sicil],$K215),"")</f>
        <v>643568</v>
      </c>
      <c r="B215" s="17" t="str">
        <f>IFERROR(INDEX(Personnel[Adi Soyadi],$K215),"")</f>
        <v>Саматов Абдусаттор Гуломович</v>
      </c>
      <c r="C215" s="18" t="str">
        <f>IFERROR(INDEX(Personnel[Vatandaslik],$K215),"")</f>
        <v>УЗБЕКИСТАН</v>
      </c>
      <c r="D215" s="18" t="str">
        <f>IFERROR(INDEX(Personnel[Santiye],$K215),"")</f>
        <v>GPP Proje</v>
      </c>
      <c r="E215" s="18" t="str">
        <f>IFERROR(INDEX(Personnel[Ogretmen],$K215),"")</f>
        <v>Tyulina Natalya / Ziaztdinov Arslan</v>
      </c>
      <c r="F215" s="17" t="str">
        <f>IFERROR(INDEX(Personnel[[Sinav ]],$K215),"")</f>
        <v>26.05.2026 Sineva gitti gecdi / 18.05.2026 Ic testimizden gecemedi</v>
      </c>
      <c r="G215" s="17" t="str">
        <f>IFERROR(INDEX(Personnel[Egtim durumu],$K215),"")</f>
        <v>Dil egitimi tamamlandi sinavdan gecti</v>
      </c>
      <c r="H215" s="17" t="str">
        <f>IFERROR(INDEX(Personnel[Shohruh Not],$K215),"")</f>
        <v>-</v>
      </c>
      <c r="I215" s="22">
        <f ca="1">IFERROR(INDEX(Personnel[Дней в РФ],$K215),"")</f>
        <v>102</v>
      </c>
      <c r="K215" s="23">
        <f t="array" ref="K215">IFERROR(_xlfn.AGGREGATE(15,6,(ROW(Personnel[Egtim durumu])-MIN(ROW(Personnel[Egtim durumu]))+1)/((Personnel[Egtim durumu]="Dil egitimi tamamlandi sinavdan gecti")),ROWS($K$7:K215)),"")</f>
        <v>257</v>
      </c>
    </row>
    <row r="216" spans="1:11" x14ac:dyDescent="0.25">
      <c r="A216" s="40">
        <f>IFERROR(INDEX(Personnel[Sicil],$K216),"")</f>
        <v>643595</v>
      </c>
      <c r="B216" s="41" t="str">
        <f>IFERROR(INDEX(Personnel[Adi Soyadi],$K216),"")</f>
        <v>Шукуров Камронбек Жамшид Угли</v>
      </c>
      <c r="C216" s="40" t="str">
        <f>IFERROR(INDEX(Personnel[Vatandaslik],$K216),"")</f>
        <v>УЗБЕКИСТАН</v>
      </c>
      <c r="D216" s="40" t="str">
        <f>IFERROR(INDEX(Personnel[Santiye],$K216),"")</f>
        <v>GPP Proje</v>
      </c>
      <c r="E216" s="40" t="str">
        <f>IFERROR(INDEX(Personnel[Ogretmen],$K216),"")</f>
        <v>Tyulina Natalya</v>
      </c>
      <c r="F216" s="41" t="str">
        <f>IFERROR(INDEX(Personnel[[Sinav ]],$K216),"")</f>
        <v>22.05.2026 Sineva gitti gecdi</v>
      </c>
      <c r="G216" s="41" t="str">
        <f>IFERROR(INDEX(Personnel[Egtim durumu],$K216),"")</f>
        <v>Dil egitimi tamamlandi sinavdan gecti</v>
      </c>
      <c r="H216" s="41" t="str">
        <f>IFERROR(INDEX(Personnel[Shohruh Not],$K216),"")</f>
        <v>-</v>
      </c>
      <c r="I216" s="42">
        <f ca="1">IFERROR(INDEX(Personnel[Дней в РФ],$K216),"")</f>
        <v>102</v>
      </c>
      <c r="K216" s="23">
        <f t="array" ref="K216">IFERROR(_xlfn.AGGREGATE(15,6,(ROW(Personnel[Egtim durumu])-MIN(ROW(Personnel[Egtim durumu]))+1)/((Personnel[Egtim durumu]="Dil egitimi tamamlandi sinavdan gecti")),ROWS($K$7:K216)),"")</f>
        <v>258</v>
      </c>
    </row>
    <row r="217" spans="1:11" ht="51" x14ac:dyDescent="0.25">
      <c r="A217" s="18">
        <f>IFERROR(INDEX(Personnel[Sicil],$K217),"")</f>
        <v>643569</v>
      </c>
      <c r="B217" s="17" t="str">
        <f>IFERROR(INDEX(Personnel[Adi Soyadi],$K217),"")</f>
        <v>Сомсаков Элёрбек Хусанович</v>
      </c>
      <c r="C217" s="18" t="str">
        <f>IFERROR(INDEX(Personnel[Vatandaslik],$K217),"")</f>
        <v>УЗБЕКИСТАН</v>
      </c>
      <c r="D217" s="18" t="str">
        <f>IFERROR(INDEX(Personnel[Santiye],$K217),"")</f>
        <v>GPP Proje</v>
      </c>
      <c r="E217" s="18" t="str">
        <f>IFERROR(INDEX(Personnel[Ogretmen],$K217),"")</f>
        <v>Ziazetdinov Arslan  / Tyulina Natalya/Arslan</v>
      </c>
      <c r="F217" s="17" t="str">
        <f>IFERROR(INDEX(Personnel[[Sinav ]],$K217),"")</f>
        <v>Ic testimizden gecemiyor(18.05.2026/27.05.2026 egitime alindi /05.06.2026 Sineva gitti gecdi</v>
      </c>
      <c r="G217" s="17" t="str">
        <f>IFERROR(INDEX(Personnel[Egtim durumu],$K217),"")</f>
        <v>Dil egitimi tamamlandi sinavdan gecti</v>
      </c>
      <c r="H217" s="17" t="str">
        <f>IFERROR(INDEX(Personnel[Shohruh Not],$K217),"")</f>
        <v>-</v>
      </c>
      <c r="I217" s="22">
        <f ca="1">IFERROR(INDEX(Personnel[Дней в РФ],$K217),"")</f>
        <v>102</v>
      </c>
      <c r="K217" s="23">
        <f t="array" ref="K217">IFERROR(_xlfn.AGGREGATE(15,6,(ROW(Personnel[Egtim durumu])-MIN(ROW(Personnel[Egtim durumu]))+1)/((Personnel[Egtim durumu]="Dil egitimi tamamlandi sinavdan gecti")),ROWS($K$7:K217)),"")</f>
        <v>259</v>
      </c>
    </row>
    <row r="218" spans="1:11" x14ac:dyDescent="0.25">
      <c r="A218" s="40">
        <f>IFERROR(INDEX(Personnel[Sicil],$K218),"")</f>
        <v>643570</v>
      </c>
      <c r="B218" s="41" t="str">
        <f>IFERROR(INDEX(Personnel[Adi Soyadi],$K218),"")</f>
        <v>Султанов Хаётжон Авазович</v>
      </c>
      <c r="C218" s="40" t="str">
        <f>IFERROR(INDEX(Personnel[Vatandaslik],$K218),"")</f>
        <v>УЗБЕКИСТАН</v>
      </c>
      <c r="D218" s="40" t="str">
        <f>IFERROR(INDEX(Personnel[Santiye],$K218),"")</f>
        <v>GPP Proje</v>
      </c>
      <c r="E218" s="40" t="str">
        <f>IFERROR(INDEX(Personnel[Ogretmen],$K218),"")</f>
        <v>Tyulina Natalya</v>
      </c>
      <c r="F218" s="41" t="str">
        <f>IFERROR(INDEX(Personnel[[Sinav ]],$K218),"")</f>
        <v>21.05.2026 Sineva gitti gecdi</v>
      </c>
      <c r="G218" s="41" t="str">
        <f>IFERROR(INDEX(Personnel[Egtim durumu],$K218),"")</f>
        <v>Dil egitimi tamamlandi sinavdan gecti</v>
      </c>
      <c r="H218" s="41" t="str">
        <f>IFERROR(INDEX(Personnel[Shohruh Not],$K218),"")</f>
        <v>-</v>
      </c>
      <c r="I218" s="42">
        <f ca="1">IFERROR(INDEX(Personnel[Дней в РФ],$K218),"")</f>
        <v>101</v>
      </c>
      <c r="K218" s="23">
        <f t="array" ref="K218">IFERROR(_xlfn.AGGREGATE(15,6,(ROW(Personnel[Egtim durumu])-MIN(ROW(Personnel[Egtim durumu]))+1)/((Personnel[Egtim durumu]="Dil egitimi tamamlandi sinavdan gecti")),ROWS($K$7:K218)),"")</f>
        <v>260</v>
      </c>
    </row>
    <row r="219" spans="1:11" ht="25.5" x14ac:dyDescent="0.25">
      <c r="A219" s="18">
        <f>IFERROR(INDEX(Personnel[Sicil],$K219),"")</f>
        <v>643571</v>
      </c>
      <c r="B219" s="17" t="str">
        <f>IFERROR(INDEX(Personnel[Adi Soyadi],$K219),"")</f>
        <v>Суюнов Бахтияр Хушвактович</v>
      </c>
      <c r="C219" s="18" t="str">
        <f>IFERROR(INDEX(Personnel[Vatandaslik],$K219),"")</f>
        <v>УЗБЕКИСТАН</v>
      </c>
      <c r="D219" s="18" t="str">
        <f>IFERROR(INDEX(Personnel[Santiye],$K219),"")</f>
        <v>GPP Proje</v>
      </c>
      <c r="E219" s="18" t="str">
        <f>IFERROR(INDEX(Personnel[Ogretmen],$K219),"")</f>
        <v>Tyulina Natalya / Ziaztdinov Arslan</v>
      </c>
      <c r="F219" s="17" t="str">
        <f>IFERROR(INDEX(Personnel[[Sinav ]],$K219),"")</f>
        <v>21.05.2026 Sineva gitti gecemedi /26.05.2026 Sineva gitti gecdi</v>
      </c>
      <c r="G219" s="17" t="str">
        <f>IFERROR(INDEX(Personnel[Egtim durumu],$K219),"")</f>
        <v>Dil egitimi tamamlandi sinavdan gecti</v>
      </c>
      <c r="H219" s="17" t="str">
        <f>IFERROR(INDEX(Personnel[Shohruh Not],$K219),"")</f>
        <v>-</v>
      </c>
      <c r="I219" s="22">
        <f ca="1">IFERROR(INDEX(Personnel[Дней в РФ],$K219),"")</f>
        <v>103</v>
      </c>
      <c r="K219" s="23">
        <f t="array" ref="K219">IFERROR(_xlfn.AGGREGATE(15,6,(ROW(Personnel[Egtim durumu])-MIN(ROW(Personnel[Egtim durumu]))+1)/((Personnel[Egtim durumu]="Dil egitimi tamamlandi sinavdan gecti")),ROWS($K$7:K219)),"")</f>
        <v>261</v>
      </c>
    </row>
    <row r="220" spans="1:11" x14ac:dyDescent="0.25">
      <c r="A220" s="40">
        <f>IFERROR(INDEX(Personnel[Sicil],$K220),"")</f>
        <v>643572</v>
      </c>
      <c r="B220" s="41" t="str">
        <f>IFERROR(INDEX(Personnel[Adi Soyadi],$K220),"")</f>
        <v>Ташпулатов Зафар Эшпулатович</v>
      </c>
      <c r="C220" s="40" t="str">
        <f>IFERROR(INDEX(Personnel[Vatandaslik],$K220),"")</f>
        <v>УЗБЕКИСТАН</v>
      </c>
      <c r="D220" s="40" t="str">
        <f>IFERROR(INDEX(Personnel[Santiye],$K220),"")</f>
        <v>GPP Proje</v>
      </c>
      <c r="E220" s="40" t="str">
        <f>IFERROR(INDEX(Personnel[Ogretmen],$K220),"")</f>
        <v>Tyulina Natalya</v>
      </c>
      <c r="F220" s="41" t="str">
        <f>IFERROR(INDEX(Personnel[[Sinav ]],$K220),"")</f>
        <v>27.05.2026 Sineva gitti gecdi</v>
      </c>
      <c r="G220" s="41" t="str">
        <f>IFERROR(INDEX(Personnel[Egtim durumu],$K220),"")</f>
        <v>Dil egitimi tamamlandi sinavdan gecti</v>
      </c>
      <c r="H220" s="41" t="str">
        <f>IFERROR(INDEX(Personnel[Shohruh Not],$K220),"")</f>
        <v>-</v>
      </c>
      <c r="I220" s="42">
        <f ca="1">IFERROR(INDEX(Personnel[Дней в РФ],$K220),"")</f>
        <v>102</v>
      </c>
      <c r="K220" s="23">
        <f t="array" ref="K220">IFERROR(_xlfn.AGGREGATE(15,6,(ROW(Personnel[Egtim durumu])-MIN(ROW(Personnel[Egtim durumu]))+1)/((Personnel[Egtim durumu]="Dil egitimi tamamlandi sinavdan gecti")),ROWS($K$7:K220)),"")</f>
        <v>262</v>
      </c>
    </row>
    <row r="221" spans="1:11" x14ac:dyDescent="0.25">
      <c r="A221" s="18">
        <f>IFERROR(INDEX(Personnel[Sicil],$K221),"")</f>
        <v>643573</v>
      </c>
      <c r="B221" s="17" t="str">
        <f>IFERROR(INDEX(Personnel[Adi Soyadi],$K221),"")</f>
        <v>Тоштонов Абдухалил Музаффар Угли</v>
      </c>
      <c r="C221" s="18" t="str">
        <f>IFERROR(INDEX(Personnel[Vatandaslik],$K221),"")</f>
        <v>УЗБЕКИСТАН</v>
      </c>
      <c r="D221" s="18" t="str">
        <f>IFERROR(INDEX(Personnel[Santiye],$K221),"")</f>
        <v>GPP Proje</v>
      </c>
      <c r="E221" s="18" t="str">
        <f>IFERROR(INDEX(Personnel[Ogretmen],$K221),"")</f>
        <v>Tyulina Natalya</v>
      </c>
      <c r="F221" s="17" t="str">
        <f>IFERROR(INDEX(Personnel[[Sinav ]],$K221),"")</f>
        <v>21.05.2026 Sineva gitti gecdi</v>
      </c>
      <c r="G221" s="17" t="str">
        <f>IFERROR(INDEX(Personnel[Egtim durumu],$K221),"")</f>
        <v>Dil egitimi tamamlandi sinavdan gecti</v>
      </c>
      <c r="H221" s="17" t="str">
        <f>IFERROR(INDEX(Personnel[Shohruh Not],$K221),"")</f>
        <v>-</v>
      </c>
      <c r="I221" s="22">
        <f ca="1">IFERROR(INDEX(Personnel[Дней в РФ],$K221),"")</f>
        <v>102</v>
      </c>
      <c r="K221" s="23">
        <f t="array" ref="K221">IFERROR(_xlfn.AGGREGATE(15,6,(ROW(Personnel[Egtim durumu])-MIN(ROW(Personnel[Egtim durumu]))+1)/((Personnel[Egtim durumu]="Dil egitimi tamamlandi sinavdan gecti")),ROWS($K$7:K221)),"")</f>
        <v>263</v>
      </c>
    </row>
    <row r="222" spans="1:11" ht="25.5" x14ac:dyDescent="0.25">
      <c r="A222" s="40">
        <f>IFERROR(INDEX(Personnel[Sicil],$K222),"")</f>
        <v>643577</v>
      </c>
      <c r="B222" s="41" t="str">
        <f>IFERROR(INDEX(Personnel[Adi Soyadi],$K222),"")</f>
        <v>Умирзаков Шодмонбек Шодилбекович</v>
      </c>
      <c r="C222" s="40" t="str">
        <f>IFERROR(INDEX(Personnel[Vatandaslik],$K222),"")</f>
        <v>УЗБЕКИСТАН</v>
      </c>
      <c r="D222" s="40" t="str">
        <f>IFERROR(INDEX(Personnel[Santiye],$K222),"")</f>
        <v>GPP Proje</v>
      </c>
      <c r="E222" s="40" t="str">
        <f>IFERROR(INDEX(Personnel[Ogretmen],$K222),"")</f>
        <v xml:space="preserve">Ziazetdinov Arslan </v>
      </c>
      <c r="F222" s="41" t="str">
        <f>IFERROR(INDEX(Personnel[[Sinav ]],$K222),"")</f>
        <v>22.05.2026 Sineva gitti gecdi</v>
      </c>
      <c r="G222" s="41" t="str">
        <f>IFERROR(INDEX(Personnel[Egtim durumu],$K222),"")</f>
        <v>Dil egitimi tamamlandi sinavdan gecti</v>
      </c>
      <c r="H222" s="41" t="str">
        <f>IFERROR(INDEX(Personnel[Shohruh Not],$K222),"")</f>
        <v>-</v>
      </c>
      <c r="I222" s="42">
        <f ca="1">IFERROR(INDEX(Personnel[Дней в РФ],$K222),"")</f>
        <v>102</v>
      </c>
      <c r="K222" s="23">
        <f t="array" ref="K222">IFERROR(_xlfn.AGGREGATE(15,6,(ROW(Personnel[Egtim durumu])-MIN(ROW(Personnel[Egtim durumu]))+1)/((Personnel[Egtim durumu]="Dil egitimi tamamlandi sinavdan gecti")),ROWS($K$7:K222)),"")</f>
        <v>265</v>
      </c>
    </row>
    <row r="223" spans="1:11" x14ac:dyDescent="0.25">
      <c r="A223" s="18">
        <f>IFERROR(INDEX(Personnel[Sicil],$K223),"")</f>
        <v>643578</v>
      </c>
      <c r="B223" s="17" t="str">
        <f>IFERROR(INDEX(Personnel[Adi Soyadi],$K223),"")</f>
        <v>Умурзаков Фарход Гуломович</v>
      </c>
      <c r="C223" s="18" t="str">
        <f>IFERROR(INDEX(Personnel[Vatandaslik],$K223),"")</f>
        <v>УЗБЕКИСТАН</v>
      </c>
      <c r="D223" s="18" t="str">
        <f>IFERROR(INDEX(Personnel[Santiye],$K223),"")</f>
        <v>GPP Proje</v>
      </c>
      <c r="E223" s="18" t="str">
        <f>IFERROR(INDEX(Personnel[Ogretmen],$K223),"")</f>
        <v xml:space="preserve">Ziazetdinov Arslan </v>
      </c>
      <c r="F223" s="17" t="str">
        <f>IFERROR(INDEX(Personnel[[Sinav ]],$K223),"")</f>
        <v>22.05.2026 Sineva gitti gecdi</v>
      </c>
      <c r="G223" s="17" t="str">
        <f>IFERROR(INDEX(Personnel[Egtim durumu],$K223),"")</f>
        <v>Dil egitimi tamamlandi sinavdan gecti</v>
      </c>
      <c r="H223" s="17" t="str">
        <f>IFERROR(INDEX(Personnel[Shohruh Not],$K223),"")</f>
        <v>-</v>
      </c>
      <c r="I223" s="22">
        <f ca="1">IFERROR(INDEX(Personnel[Дней в РФ],$K223),"")</f>
        <v>102</v>
      </c>
      <c r="K223" s="23">
        <f t="array" ref="K223">IFERROR(_xlfn.AGGREGATE(15,6,(ROW(Personnel[Egtim durumu])-MIN(ROW(Personnel[Egtim durumu]))+1)/((Personnel[Egtim durumu]="Dil egitimi tamamlandi sinavdan gecti")),ROWS($K$7:K223)),"")</f>
        <v>266</v>
      </c>
    </row>
    <row r="224" spans="1:11" ht="25.5" x14ac:dyDescent="0.25">
      <c r="A224" s="40">
        <f>IFERROR(INDEX(Personnel[Sicil],$K224),"")</f>
        <v>643534</v>
      </c>
      <c r="B224" s="41" t="str">
        <f>IFERROR(INDEX(Personnel[Adi Soyadi],$K224),"")</f>
        <v>Закиров Аброржон Собирович</v>
      </c>
      <c r="C224" s="40" t="str">
        <f>IFERROR(INDEX(Personnel[Vatandaslik],$K224),"")</f>
        <v>УЗБЕКИСТАН</v>
      </c>
      <c r="D224" s="40" t="str">
        <f>IFERROR(INDEX(Personnel[Santiye],$K224),"")</f>
        <v>GPP Proje</v>
      </c>
      <c r="E224" s="40" t="str">
        <f>IFERROR(INDEX(Personnel[Ogretmen],$K224),"")</f>
        <v>Ziazetdinov Arslan  / Tyulina Natalya</v>
      </c>
      <c r="F224" s="41" t="str">
        <f>IFERROR(INDEX(Personnel[[Sinav ]],$K224),"")</f>
        <v>22.05.2026 Sineva gitti gecemedi /29.05.2026 Sineva gitti gecdi</v>
      </c>
      <c r="G224" s="41" t="str">
        <f>IFERROR(INDEX(Personnel[Egtim durumu],$K224),"")</f>
        <v>Dil egitimi tamamlandi sinavdan gecti</v>
      </c>
      <c r="H224" s="41" t="str">
        <f>IFERROR(INDEX(Personnel[Shohruh Not],$K224),"")</f>
        <v>-</v>
      </c>
      <c r="I224" s="42">
        <f ca="1">IFERROR(INDEX(Personnel[Дней в РФ],$K224),"")</f>
        <v>102</v>
      </c>
      <c r="K224" s="23">
        <f t="array" ref="K224">IFERROR(_xlfn.AGGREGATE(15,6,(ROW(Personnel[Egtim durumu])-MIN(ROW(Personnel[Egtim durumu]))+1)/((Personnel[Egtim durumu]="Dil egitimi tamamlandi sinavdan gecti")),ROWS($K$7:K224)),"")</f>
        <v>270</v>
      </c>
    </row>
    <row r="225" spans="1:11" x14ac:dyDescent="0.25">
      <c r="A225" s="18">
        <f>IFERROR(INDEX(Personnel[Sicil],$K225),"")</f>
        <v>643644</v>
      </c>
      <c r="B225" s="17" t="str">
        <f>IFERROR(INDEX(Personnel[Adi Soyadi],$K225),"")</f>
        <v xml:space="preserve">Алмасов Жасурбек Ахрор Угли </v>
      </c>
      <c r="C225" s="18" t="str">
        <f>IFERROR(INDEX(Personnel[Vatandaslik],$K225),"")</f>
        <v>УЗБЕКИСТАН</v>
      </c>
      <c r="D225" s="18" t="str">
        <f>IFERROR(INDEX(Personnel[Santiye],$K225),"")</f>
        <v>GPP Proje</v>
      </c>
      <c r="E225" s="18" t="str">
        <f>IFERROR(INDEX(Personnel[Ogretmen],$K225),"")</f>
        <v>Tyulina Natalya</v>
      </c>
      <c r="F225" s="17" t="str">
        <f>IFERROR(INDEX(Personnel[[Sinav ]],$K225),"")</f>
        <v>29.05.2026 Sineva gitti gecdi</v>
      </c>
      <c r="G225" s="17" t="str">
        <f>IFERROR(INDEX(Personnel[Egtim durumu],$K225),"")</f>
        <v>Dil egitimi tamamlandi sinavdan gecti</v>
      </c>
      <c r="H225" s="17" t="str">
        <f>IFERROR(INDEX(Personnel[Shohruh Not],$K225),"")</f>
        <v>-</v>
      </c>
      <c r="I225" s="22">
        <f ca="1">IFERROR(INDEX(Personnel[Дней в РФ],$K225),"")</f>
        <v>99</v>
      </c>
      <c r="K225" s="23">
        <f t="array" ref="K225">IFERROR(_xlfn.AGGREGATE(15,6,(ROW(Personnel[Egtim durumu])-MIN(ROW(Personnel[Egtim durumu]))+1)/((Personnel[Egtim durumu]="Dil egitimi tamamlandi sinavdan gecti")),ROWS($K$7:K225)),"")</f>
        <v>274</v>
      </c>
    </row>
    <row r="226" spans="1:11" x14ac:dyDescent="0.25">
      <c r="A226" s="40">
        <f>IFERROR(INDEX(Personnel[Sicil],$K226),"")</f>
        <v>474979</v>
      </c>
      <c r="B226" s="41" t="str">
        <f>IFERROR(INDEX(Personnel[Adi Soyadi],$K226),"")</f>
        <v xml:space="preserve">Бобокулов Салохиддин Расул </v>
      </c>
      <c r="C226" s="40" t="str">
        <f>IFERROR(INDEX(Personnel[Vatandaslik],$K226),"")</f>
        <v>УЗБЕКИСТАН</v>
      </c>
      <c r="D226" s="40" t="str">
        <f>IFERROR(INDEX(Personnel[Santiye],$K226),"")</f>
        <v>GPP Proje</v>
      </c>
      <c r="E226" s="40" t="str">
        <f>IFERROR(INDEX(Personnel[Ogretmen],$K226),"")</f>
        <v>Tyulina Natalya</v>
      </c>
      <c r="F226" s="41" t="str">
        <f>IFERROR(INDEX(Personnel[[Sinav ]],$K226),"")</f>
        <v>03.06.2026 Sineva gitti gecdi</v>
      </c>
      <c r="G226" s="41" t="str">
        <f>IFERROR(INDEX(Personnel[Egtim durumu],$K226),"")</f>
        <v>Dil egitimi tamamlandi sinavdan gecti</v>
      </c>
      <c r="H226" s="41" t="str">
        <f>IFERROR(INDEX(Personnel[Shohruh Not],$K226),"")</f>
        <v>-</v>
      </c>
      <c r="I226" s="42">
        <f ca="1">IFERROR(INDEX(Personnel[Дней в РФ],$K226),"")</f>
        <v>100</v>
      </c>
      <c r="K226" s="23">
        <f t="array" ref="K226">IFERROR(_xlfn.AGGREGATE(15,6,(ROW(Personnel[Egtim durumu])-MIN(ROW(Personnel[Egtim durumu]))+1)/((Personnel[Egtim durumu]="Dil egitimi tamamlandi sinavdan gecti")),ROWS($K$7:K226)),"")</f>
        <v>275</v>
      </c>
    </row>
    <row r="227" spans="1:11" x14ac:dyDescent="0.25">
      <c r="A227" s="18">
        <f>IFERROR(INDEX(Personnel[Sicil],$K227),"")</f>
        <v>643660</v>
      </c>
      <c r="B227" s="17" t="str">
        <f>IFERROR(INDEX(Personnel[Adi Soyadi],$K227),"")</f>
        <v>Джумаев Шакарбой Нуриддинович</v>
      </c>
      <c r="C227" s="18" t="str">
        <f>IFERROR(INDEX(Personnel[Vatandaslik],$K227),"")</f>
        <v>УЗБЕКИСТАН</v>
      </c>
      <c r="D227" s="18" t="str">
        <f>IFERROR(INDEX(Personnel[Santiye],$K227),"")</f>
        <v>GPP Proje</v>
      </c>
      <c r="E227" s="18" t="str">
        <f>IFERROR(INDEX(Personnel[Ogretmen],$K227),"")</f>
        <v>Tyulina Natalya</v>
      </c>
      <c r="F227" s="17" t="str">
        <f>IFERROR(INDEX(Personnel[[Sinav ]],$K227),"")</f>
        <v>29.05.2026 Sineva gitti gecdi</v>
      </c>
      <c r="G227" s="17" t="str">
        <f>IFERROR(INDEX(Personnel[Egtim durumu],$K227),"")</f>
        <v>Dil egitimi tamamlandi sinavdan gecti</v>
      </c>
      <c r="H227" s="17" t="str">
        <f>IFERROR(INDEX(Personnel[Shohruh Not],$K227),"")</f>
        <v>-</v>
      </c>
      <c r="I227" s="22">
        <f ca="1">IFERROR(INDEX(Personnel[Дней в РФ],$K227),"")</f>
        <v>99</v>
      </c>
      <c r="K227" s="23">
        <f t="array" ref="K227">IFERROR(_xlfn.AGGREGATE(15,6,(ROW(Personnel[Egtim durumu])-MIN(ROW(Personnel[Egtim durumu]))+1)/((Personnel[Egtim durumu]="Dil egitimi tamamlandi sinavdan gecti")),ROWS($K$7:K227)),"")</f>
        <v>276</v>
      </c>
    </row>
    <row r="228" spans="1:11" x14ac:dyDescent="0.25">
      <c r="A228" s="40">
        <f>IFERROR(INDEX(Personnel[Sicil],$K228),"")</f>
        <v>643656</v>
      </c>
      <c r="B228" s="41" t="str">
        <f>IFERROR(INDEX(Personnel[Adi Soyadi],$K228),"")</f>
        <v xml:space="preserve">Хасанов Элдор Урал Угли </v>
      </c>
      <c r="C228" s="40" t="str">
        <f>IFERROR(INDEX(Personnel[Vatandaslik],$K228),"")</f>
        <v>УЗБЕКИСТАН</v>
      </c>
      <c r="D228" s="40" t="str">
        <f>IFERROR(INDEX(Personnel[Santiye],$K228),"")</f>
        <v>GPP Proje</v>
      </c>
      <c r="E228" s="40" t="str">
        <f>IFERROR(INDEX(Personnel[Ogretmen],$K228),"")</f>
        <v>Tyulina Natalya</v>
      </c>
      <c r="F228" s="41" t="str">
        <f>IFERROR(INDEX(Personnel[[Sinav ]],$K228),"")</f>
        <v>29.05.2026 Sineva gitti gecdi</v>
      </c>
      <c r="G228" s="41" t="str">
        <f>IFERROR(INDEX(Personnel[Egtim durumu],$K228),"")</f>
        <v>Dil egitimi tamamlandi sinavdan gecti</v>
      </c>
      <c r="H228" s="41" t="str">
        <f>IFERROR(INDEX(Personnel[Shohruh Not],$K228),"")</f>
        <v>-</v>
      </c>
      <c r="I228" s="42">
        <f ca="1">IFERROR(INDEX(Personnel[Дней в РФ],$K228),"")</f>
        <v>99</v>
      </c>
      <c r="K228" s="23">
        <f t="array" ref="K228">IFERROR(_xlfn.AGGREGATE(15,6,(ROW(Personnel[Egtim durumu])-MIN(ROW(Personnel[Egtim durumu]))+1)/((Personnel[Egtim durumu]="Dil egitimi tamamlandi sinavdan gecti")),ROWS($K$7:K228)),"")</f>
        <v>277</v>
      </c>
    </row>
    <row r="229" spans="1:11" x14ac:dyDescent="0.25">
      <c r="A229" s="18">
        <f>IFERROR(INDEX(Personnel[Sicil],$K229),"")</f>
        <v>520149</v>
      </c>
      <c r="B229" s="17" t="str">
        <f>IFERROR(INDEX(Personnel[Adi Soyadi],$K229),"")</f>
        <v>Куранбоев Шохруххон Шухрат угли</v>
      </c>
      <c r="C229" s="18" t="str">
        <f>IFERROR(INDEX(Personnel[Vatandaslik],$K229),"")</f>
        <v>УЗБЕКИСТАН</v>
      </c>
      <c r="D229" s="18" t="str">
        <f>IFERROR(INDEX(Personnel[Santiye],$K229),"")</f>
        <v>GPP Proje</v>
      </c>
      <c r="E229" s="18" t="str">
        <f>IFERROR(INDEX(Personnel[Ogretmen],$K229),"")</f>
        <v>-</v>
      </c>
      <c r="F229" s="17" t="str">
        <f>IFERROR(INDEX(Personnel[[Sinav ]],$K229),"")</f>
        <v>27.05.2026 Sineva gitti gecdi</v>
      </c>
      <c r="G229" s="17" t="str">
        <f>IFERROR(INDEX(Personnel[Egtim durumu],$K229),"")</f>
        <v>Dil egitimi tamamlandi sinavdan gecti</v>
      </c>
      <c r="H229" s="17" t="str">
        <f>IFERROR(INDEX(Personnel[Shohruh Not],$K229),"")</f>
        <v>-</v>
      </c>
      <c r="I229" s="22">
        <f ca="1">IFERROR(INDEX(Personnel[Дней в РФ],$K229),"")</f>
        <v>96</v>
      </c>
      <c r="K229" s="23">
        <f t="array" ref="K229">IFERROR(_xlfn.AGGREGATE(15,6,(ROW(Personnel[Egtim durumu])-MIN(ROW(Personnel[Egtim durumu]))+1)/((Personnel[Egtim durumu]="Dil egitimi tamamlandi sinavdan gecti")),ROWS($K$7:K229)),"")</f>
        <v>278</v>
      </c>
    </row>
    <row r="230" spans="1:11" x14ac:dyDescent="0.25">
      <c r="A230" s="40">
        <f>IFERROR(INDEX(Personnel[Sicil],$K230),"")</f>
        <v>643661</v>
      </c>
      <c r="B230" s="41" t="str">
        <f>IFERROR(INDEX(Personnel[Adi Soyadi],$K230),"")</f>
        <v>Маллаев Бахтиёржон Фуркат Угли</v>
      </c>
      <c r="C230" s="40" t="str">
        <f>IFERROR(INDEX(Personnel[Vatandaslik],$K230),"")</f>
        <v>УЗБЕКИСТАН</v>
      </c>
      <c r="D230" s="40" t="str">
        <f>IFERROR(INDEX(Personnel[Santiye],$K230),"")</f>
        <v>GPP Proje</v>
      </c>
      <c r="E230" s="40" t="str">
        <f>IFERROR(INDEX(Personnel[Ogretmen],$K230),"")</f>
        <v>Tyulina Natalya</v>
      </c>
      <c r="F230" s="41" t="str">
        <f>IFERROR(INDEX(Personnel[[Sinav ]],$K230),"")</f>
        <v>03.06.2026 Sineva gitti gecdi</v>
      </c>
      <c r="G230" s="41" t="str">
        <f>IFERROR(INDEX(Personnel[Egtim durumu],$K230),"")</f>
        <v>Dil egitimi tamamlandi sinavdan gecti</v>
      </c>
      <c r="H230" s="41" t="str">
        <f>IFERROR(INDEX(Personnel[Shohruh Not],$K230),"")</f>
        <v>-</v>
      </c>
      <c r="I230" s="42">
        <f ca="1">IFERROR(INDEX(Personnel[Дней в РФ],$K230),"")</f>
        <v>99</v>
      </c>
      <c r="K230" s="23">
        <f t="array" ref="K230">IFERROR(_xlfn.AGGREGATE(15,6,(ROW(Personnel[Egtim durumu])-MIN(ROW(Personnel[Egtim durumu]))+1)/((Personnel[Egtim durumu]="Dil egitimi tamamlandi sinavdan gecti")),ROWS($K$7:K230)),"")</f>
        <v>279</v>
      </c>
    </row>
    <row r="231" spans="1:11" x14ac:dyDescent="0.25">
      <c r="A231" s="18">
        <f>IFERROR(INDEX(Personnel[Sicil],$K231),"")</f>
        <v>541908</v>
      </c>
      <c r="B231" s="17" t="str">
        <f>IFERROR(INDEX(Personnel[Adi Soyadi],$K231),"")</f>
        <v>Райимов Нуриддин Бердикобил Угли</v>
      </c>
      <c r="C231" s="18" t="str">
        <f>IFERROR(INDEX(Personnel[Vatandaslik],$K231),"")</f>
        <v>УЗБЕКИСТАН</v>
      </c>
      <c r="D231" s="18" t="str">
        <f>IFERROR(INDEX(Personnel[Santiye],$K231),"")</f>
        <v>GPP Proje</v>
      </c>
      <c r="E231" s="18" t="str">
        <f>IFERROR(INDEX(Personnel[Ogretmen],$K231),"")</f>
        <v>Tyulina Natalya</v>
      </c>
      <c r="F231" s="17" t="str">
        <f>IFERROR(INDEX(Personnel[[Sinav ]],$K231),"")</f>
        <v>03.06.2026 Sineva gitti gecdi</v>
      </c>
      <c r="G231" s="17" t="str">
        <f>IFERROR(INDEX(Personnel[Egtim durumu],$K231),"")</f>
        <v>Dil egitimi tamamlandi sinavdan gecti</v>
      </c>
      <c r="H231" s="17" t="str">
        <f>IFERROR(INDEX(Personnel[Shohruh Not],$K231),"")</f>
        <v>-</v>
      </c>
      <c r="I231" s="22">
        <f ca="1">IFERROR(INDEX(Personnel[Дней в РФ],$K231),"")</f>
        <v>99</v>
      </c>
      <c r="K231" s="23">
        <f t="array" ref="K231">IFERROR(_xlfn.AGGREGATE(15,6,(ROW(Personnel[Egtim durumu])-MIN(ROW(Personnel[Egtim durumu]))+1)/((Personnel[Egtim durumu]="Dil egitimi tamamlandi sinavdan gecti")),ROWS($K$7:K231)),"")</f>
        <v>280</v>
      </c>
    </row>
    <row r="232" spans="1:11" x14ac:dyDescent="0.25">
      <c r="A232" s="40">
        <f>IFERROR(INDEX(Personnel[Sicil],$K232),"")</f>
        <v>643671</v>
      </c>
      <c r="B232" s="41" t="str">
        <f>IFERROR(INDEX(Personnel[Adi Soyadi],$K232),"")</f>
        <v xml:space="preserve">Сатимов Гуломжон Аматжанович </v>
      </c>
      <c r="C232" s="40" t="str">
        <f>IFERROR(INDEX(Personnel[Vatandaslik],$K232),"")</f>
        <v>УЗБЕКИСТАН</v>
      </c>
      <c r="D232" s="40" t="str">
        <f>IFERROR(INDEX(Personnel[Santiye],$K232),"")</f>
        <v>GPP Proje</v>
      </c>
      <c r="E232" s="40" t="str">
        <f>IFERROR(INDEX(Personnel[Ogretmen],$K232),"")</f>
        <v xml:space="preserve">Ziazetdinov Arslan </v>
      </c>
      <c r="F232" s="41" t="str">
        <f>IFERROR(INDEX(Personnel[[Sinav ]],$K232),"")</f>
        <v>26.05.2026 Sineva gitti gecdi</v>
      </c>
      <c r="G232" s="41" t="str">
        <f>IFERROR(INDEX(Personnel[Egtim durumu],$K232),"")</f>
        <v>Dil egitimi tamamlandi sinavdan gecti</v>
      </c>
      <c r="H232" s="41" t="str">
        <f>IFERROR(INDEX(Personnel[Shohruh Not],$K232),"")</f>
        <v>-</v>
      </c>
      <c r="I232" s="42">
        <f ca="1">IFERROR(INDEX(Personnel[Дней в РФ],$K232),"")</f>
        <v>99</v>
      </c>
      <c r="K232" s="23">
        <f t="array" ref="K232">IFERROR(_xlfn.AGGREGATE(15,6,(ROW(Personnel[Egtim durumu])-MIN(ROW(Personnel[Egtim durumu]))+1)/((Personnel[Egtim durumu]="Dil egitimi tamamlandi sinavdan gecti")),ROWS($K$7:K232)),"")</f>
        <v>281</v>
      </c>
    </row>
    <row r="233" spans="1:11" x14ac:dyDescent="0.25">
      <c r="A233" s="18">
        <f>IFERROR(INDEX(Personnel[Sicil],$K233),"")</f>
        <v>643650</v>
      </c>
      <c r="B233" s="17" t="str">
        <f>IFERROR(INDEX(Personnel[Adi Soyadi],$K233),"")</f>
        <v>Уринбоев Нодирбек Хамдам Угли</v>
      </c>
      <c r="C233" s="18" t="str">
        <f>IFERROR(INDEX(Personnel[Vatandaslik],$K233),"")</f>
        <v>УЗБЕКИСТАН</v>
      </c>
      <c r="D233" s="18" t="str">
        <f>IFERROR(INDEX(Personnel[Santiye],$K233),"")</f>
        <v>GPP Proje</v>
      </c>
      <c r="E233" s="18" t="str">
        <f>IFERROR(INDEX(Personnel[Ogretmen],$K233),"")</f>
        <v xml:space="preserve">Ziazetdinov Arslan </v>
      </c>
      <c r="F233" s="17" t="str">
        <f>IFERROR(INDEX(Personnel[[Sinav ]],$K233),"")</f>
        <v>26.05.2026 Sineva gitti gecdi</v>
      </c>
      <c r="G233" s="17" t="str">
        <f>IFERROR(INDEX(Personnel[Egtim durumu],$K233),"")</f>
        <v>Dil egitimi tamamlandi sinavdan gecti</v>
      </c>
      <c r="H233" s="17" t="str">
        <f>IFERROR(INDEX(Personnel[Shohruh Not],$K233),"")</f>
        <v>-</v>
      </c>
      <c r="I233" s="22">
        <f ca="1">IFERROR(INDEX(Personnel[Дней в РФ],$K233),"")</f>
        <v>99</v>
      </c>
      <c r="K233" s="23">
        <f t="array" ref="K233">IFERROR(_xlfn.AGGREGATE(15,6,(ROW(Personnel[Egtim durumu])-MIN(ROW(Personnel[Egtim durumu]))+1)/((Personnel[Egtim durumu]="Dil egitimi tamamlandi sinavdan gecti")),ROWS($K$7:K233)),"")</f>
        <v>282</v>
      </c>
    </row>
    <row r="234" spans="1:11" x14ac:dyDescent="0.25">
      <c r="A234" s="40">
        <f>IFERROR(INDEX(Personnel[Sicil],$K234),"")</f>
        <v>643672</v>
      </c>
      <c r="B234" s="41" t="str">
        <f>IFERROR(INDEX(Personnel[Adi Soyadi],$K234),"")</f>
        <v>Эгамов Кувончбек Жалол Угли</v>
      </c>
      <c r="C234" s="40" t="str">
        <f>IFERROR(INDEX(Personnel[Vatandaslik],$K234),"")</f>
        <v>УЗБЕКИСТАН</v>
      </c>
      <c r="D234" s="40" t="str">
        <f>IFERROR(INDEX(Personnel[Santiye],$K234),"")</f>
        <v>GPP Proje</v>
      </c>
      <c r="E234" s="40" t="str">
        <f>IFERROR(INDEX(Personnel[Ogretmen],$K234),"")</f>
        <v xml:space="preserve">Ziazetdinov Arslan </v>
      </c>
      <c r="F234" s="41" t="str">
        <f>IFERROR(INDEX(Personnel[[Sinav ]],$K234),"")</f>
        <v>26.05.2026 Sineva gitti gecdi</v>
      </c>
      <c r="G234" s="41" t="str">
        <f>IFERROR(INDEX(Personnel[Egtim durumu],$K234),"")</f>
        <v>Dil egitimi tamamlandi sinavdan gecti</v>
      </c>
      <c r="H234" s="41" t="str">
        <f>IFERROR(INDEX(Personnel[Shohruh Not],$K234),"")</f>
        <v>-</v>
      </c>
      <c r="I234" s="42">
        <f ca="1">IFERROR(INDEX(Personnel[Дней в РФ],$K234),"")</f>
        <v>99</v>
      </c>
      <c r="K234" s="23">
        <f t="array" ref="K234">IFERROR(_xlfn.AGGREGATE(15,6,(ROW(Personnel[Egtim durumu])-MIN(ROW(Personnel[Egtim durumu]))+1)/((Personnel[Egtim durumu]="Dil egitimi tamamlandi sinavdan gecti")),ROWS($K$7:K234)),"")</f>
        <v>283</v>
      </c>
    </row>
    <row r="235" spans="1:11" ht="25.5" x14ac:dyDescent="0.25">
      <c r="A235" s="18">
        <f>IFERROR(INDEX(Personnel[Sicil],$K235),"")</f>
        <v>643758</v>
      </c>
      <c r="B235" s="17" t="str">
        <f>IFERROR(INDEX(Personnel[Adi Soyadi],$K235),"")</f>
        <v>Аминжонов Козимжон Нозимжон Угли</v>
      </c>
      <c r="C235" s="18" t="str">
        <f>IFERROR(INDEX(Personnel[Vatandaslik],$K235),"")</f>
        <v>УЗБЕКИСТАН</v>
      </c>
      <c r="D235" s="18" t="str">
        <f>IFERROR(INDEX(Personnel[Santiye],$K235),"")</f>
        <v>GPP Proje</v>
      </c>
      <c r="E235" s="18" t="str">
        <f>IFERROR(INDEX(Personnel[Ogretmen],$K235),"")</f>
        <v>Tyulina Natalya</v>
      </c>
      <c r="F235" s="17" t="str">
        <f>IFERROR(INDEX(Personnel[[Sinav ]],$K235),"")</f>
        <v>03.06.2026 Sineva gitti gecdi</v>
      </c>
      <c r="G235" s="17" t="str">
        <f>IFERROR(INDEX(Personnel[Egtim durumu],$K235),"")</f>
        <v>Dil egitimi tamamlandi sinavdan gecti</v>
      </c>
      <c r="H235" s="17" t="str">
        <f>IFERROR(INDEX(Personnel[Shohruh Not],$K235),"")</f>
        <v>-</v>
      </c>
      <c r="I235" s="22">
        <f ca="1">IFERROR(INDEX(Personnel[Дней в РФ],$K235),"")</f>
        <v>96</v>
      </c>
      <c r="K235" s="23">
        <f t="array" ref="K235">IFERROR(_xlfn.AGGREGATE(15,6,(ROW(Personnel[Egtim durumu])-MIN(ROW(Personnel[Egtim durumu]))+1)/((Personnel[Egtim durumu]="Dil egitimi tamamlandi sinavdan gecti")),ROWS($K$7:K235)),"")</f>
        <v>285</v>
      </c>
    </row>
    <row r="236" spans="1:11" x14ac:dyDescent="0.25">
      <c r="A236" s="40">
        <f>IFERROR(INDEX(Personnel[Sicil],$K236),"")</f>
        <v>643759</v>
      </c>
      <c r="B236" s="41" t="str">
        <f>IFERROR(INDEX(Personnel[Adi Soyadi],$K236),"")</f>
        <v>Аразов Тиркеш Нуруллаевич</v>
      </c>
      <c r="C236" s="40" t="str">
        <f>IFERROR(INDEX(Personnel[Vatandaslik],$K236),"")</f>
        <v>УЗБЕКИСТАН</v>
      </c>
      <c r="D236" s="40" t="str">
        <f>IFERROR(INDEX(Personnel[Santiye],$K236),"")</f>
        <v>GPP Proje</v>
      </c>
      <c r="E236" s="40" t="str">
        <f>IFERROR(INDEX(Personnel[Ogretmen],$K236),"")</f>
        <v>Tyulina Natalya</v>
      </c>
      <c r="F236" s="41" t="str">
        <f>IFERROR(INDEX(Personnel[[Sinav ]],$K236),"")</f>
        <v>29.05.2026 Sineva gitti gecdi</v>
      </c>
      <c r="G236" s="41" t="str">
        <f>IFERROR(INDEX(Personnel[Egtim durumu],$K236),"")</f>
        <v>Dil egitimi tamamlandi sinavdan gecti</v>
      </c>
      <c r="H236" s="41" t="str">
        <f>IFERROR(INDEX(Personnel[Shohruh Not],$K236),"")</f>
        <v>-</v>
      </c>
      <c r="I236" s="42">
        <f ca="1">IFERROR(INDEX(Personnel[Дней в РФ],$K236),"")</f>
        <v>96</v>
      </c>
      <c r="K236" s="23">
        <f t="array" ref="K236">IFERROR(_xlfn.AGGREGATE(15,6,(ROW(Personnel[Egtim durumu])-MIN(ROW(Personnel[Egtim durumu]))+1)/((Personnel[Egtim durumu]="Dil egitimi tamamlandi sinavdan gecti")),ROWS($K$7:K236)),"")</f>
        <v>286</v>
      </c>
    </row>
    <row r="237" spans="1:11" x14ac:dyDescent="0.25">
      <c r="A237" s="18">
        <f>IFERROR(INDEX(Personnel[Sicil],$K237),"")</f>
        <v>643760</v>
      </c>
      <c r="B237" s="17" t="str">
        <f>IFERROR(INDEX(Personnel[Adi Soyadi],$K237),"")</f>
        <v>Астанов Олмас Азамкулович</v>
      </c>
      <c r="C237" s="18" t="str">
        <f>IFERROR(INDEX(Personnel[Vatandaslik],$K237),"")</f>
        <v>УЗБЕКИСТАН</v>
      </c>
      <c r="D237" s="18" t="str">
        <f>IFERROR(INDEX(Personnel[Santiye],$K237),"")</f>
        <v>GPP Proje</v>
      </c>
      <c r="E237" s="18" t="str">
        <f>IFERROR(INDEX(Personnel[Ogretmen],$K237),"")</f>
        <v>Tyulina Natalya</v>
      </c>
      <c r="F237" s="17" t="str">
        <f>IFERROR(INDEX(Personnel[[Sinav ]],$K237),"")</f>
        <v>29.05.2026 Sineva gitti gecdi</v>
      </c>
      <c r="G237" s="17" t="str">
        <f>IFERROR(INDEX(Personnel[Egtim durumu],$K237),"")</f>
        <v>Dil egitimi tamamlandi sinavdan gecti</v>
      </c>
      <c r="H237" s="17" t="str">
        <f>IFERROR(INDEX(Personnel[Shohruh Not],$K237),"")</f>
        <v>-</v>
      </c>
      <c r="I237" s="22">
        <f ca="1">IFERROR(INDEX(Personnel[Дней в РФ],$K237),"")</f>
        <v>96</v>
      </c>
      <c r="K237" s="23">
        <f t="array" ref="K237">IFERROR(_xlfn.AGGREGATE(15,6,(ROW(Personnel[Egtim durumu])-MIN(ROW(Personnel[Egtim durumu]))+1)/((Personnel[Egtim durumu]="Dil egitimi tamamlandi sinavdan gecti")),ROWS($K$7:K237)),"")</f>
        <v>287</v>
      </c>
    </row>
    <row r="238" spans="1:11" ht="25.5" x14ac:dyDescent="0.25">
      <c r="A238" s="40">
        <f>IFERROR(INDEX(Personnel[Sicil],$K238),"")</f>
        <v>643757</v>
      </c>
      <c r="B238" s="41" t="str">
        <f>IFERROR(INDEX(Personnel[Adi Soyadi],$K238),"")</f>
        <v>Азизов Солохиддин Собитхонович</v>
      </c>
      <c r="C238" s="40" t="str">
        <f>IFERROR(INDEX(Personnel[Vatandaslik],$K238),"")</f>
        <v>УЗБЕКИСТАН</v>
      </c>
      <c r="D238" s="40" t="str">
        <f>IFERROR(INDEX(Personnel[Santiye],$K238),"")</f>
        <v>GPP Proje</v>
      </c>
      <c r="E238" s="40" t="str">
        <f>IFERROR(INDEX(Personnel[Ogretmen],$K238),"")</f>
        <v>Ziazetdinov Arslan / Ziazetdinov Arslan</v>
      </c>
      <c r="F238" s="41" t="str">
        <f>IFERROR(INDEX(Personnel[[Sinav ]],$K238),"")</f>
        <v>26.05.2026 Sineva gitti gecemedi / 03.06.2026 sineva gitti gecdi</v>
      </c>
      <c r="G238" s="41" t="str">
        <f>IFERROR(INDEX(Personnel[Egtim durumu],$K238),"")</f>
        <v>Dil egitimi tamamlandi sinavdan gecti</v>
      </c>
      <c r="H238" s="41" t="str">
        <f>IFERROR(INDEX(Personnel[Shohruh Not],$K238),"")</f>
        <v>-</v>
      </c>
      <c r="I238" s="42">
        <f ca="1">IFERROR(INDEX(Personnel[Дней в РФ],$K238),"")</f>
        <v>96</v>
      </c>
      <c r="K238" s="23">
        <f t="array" ref="K238">IFERROR(_xlfn.AGGREGATE(15,6,(ROW(Personnel[Egtim durumu])-MIN(ROW(Personnel[Egtim durumu]))+1)/((Personnel[Egtim durumu]="Dil egitimi tamamlandi sinavdan gecti")),ROWS($K$7:K238)),"")</f>
        <v>288</v>
      </c>
    </row>
    <row r="239" spans="1:11" x14ac:dyDescent="0.25">
      <c r="A239" s="18">
        <f>IFERROR(INDEX(Personnel[Sicil],$K239),"")</f>
        <v>624332</v>
      </c>
      <c r="B239" s="17" t="str">
        <f>IFERROR(INDEX(Personnel[Adi Soyadi],$K239),"")</f>
        <v>Боймирзаев Хаётбек Отамирзаевич</v>
      </c>
      <c r="C239" s="18" t="str">
        <f>IFERROR(INDEX(Personnel[Vatandaslik],$K239),"")</f>
        <v>УЗБЕКИСТАН</v>
      </c>
      <c r="D239" s="18" t="str">
        <f>IFERROR(INDEX(Personnel[Santiye],$K239),"")</f>
        <v>GPP Proje</v>
      </c>
      <c r="E239" s="18" t="str">
        <f>IFERROR(INDEX(Personnel[Ogretmen],$K239),"")</f>
        <v>Tyulina Natalya</v>
      </c>
      <c r="F239" s="17" t="str">
        <f>IFERROR(INDEX(Personnel[[Sinav ]],$K239),"")</f>
        <v>29.05.2026 Sineva gitti gecdi</v>
      </c>
      <c r="G239" s="17" t="str">
        <f>IFERROR(INDEX(Personnel[Egtim durumu],$K239),"")</f>
        <v>Dil egitimi tamamlandi sinavdan gecti</v>
      </c>
      <c r="H239" s="17" t="str">
        <f>IFERROR(INDEX(Personnel[Shohruh Not],$K239),"")</f>
        <v>-</v>
      </c>
      <c r="I239" s="22">
        <f ca="1">IFERROR(INDEX(Personnel[Дней в РФ],$K239),"")</f>
        <v>96</v>
      </c>
      <c r="K239" s="23">
        <f t="array" ref="K239">IFERROR(_xlfn.AGGREGATE(15,6,(ROW(Personnel[Egtim durumu])-MIN(ROW(Personnel[Egtim durumu]))+1)/((Personnel[Egtim durumu]="Dil egitimi tamamlandi sinavdan gecti")),ROWS($K$7:K239)),"")</f>
        <v>290</v>
      </c>
    </row>
    <row r="240" spans="1:11" x14ac:dyDescent="0.25">
      <c r="A240" s="40">
        <f>IFERROR(INDEX(Personnel[Sicil],$K240),"")</f>
        <v>643765</v>
      </c>
      <c r="B240" s="41" t="str">
        <f>IFERROR(INDEX(Personnel[Adi Soyadi],$K240),"")</f>
        <v>Эгамберганов Хажибой Кадамович</v>
      </c>
      <c r="C240" s="40" t="str">
        <f>IFERROR(INDEX(Personnel[Vatandaslik],$K240),"")</f>
        <v>УЗБЕКИСТАН</v>
      </c>
      <c r="D240" s="40" t="str">
        <f>IFERROR(INDEX(Personnel[Santiye],$K240),"")</f>
        <v>GPP Proje</v>
      </c>
      <c r="E240" s="40" t="str">
        <f>IFERROR(INDEX(Personnel[Ogretmen],$K240),"")</f>
        <v xml:space="preserve">Ziazetdinov Arslan </v>
      </c>
      <c r="F240" s="41" t="str">
        <f>IFERROR(INDEX(Personnel[[Sinav ]],$K240),"")</f>
        <v>26.05.2026 Sineva gitti gecdi</v>
      </c>
      <c r="G240" s="41" t="str">
        <f>IFERROR(INDEX(Personnel[Egtim durumu],$K240),"")</f>
        <v>Dil egitimi tamamlandi sinavdan gecti</v>
      </c>
      <c r="H240" s="41" t="str">
        <f>IFERROR(INDEX(Personnel[Shohruh Not],$K240),"")</f>
        <v>-</v>
      </c>
      <c r="I240" s="42">
        <f ca="1">IFERROR(INDEX(Personnel[Дней в РФ],$K240),"")</f>
        <v>96</v>
      </c>
      <c r="K240" s="23">
        <f t="array" ref="K240">IFERROR(_xlfn.AGGREGATE(15,6,(ROW(Personnel[Egtim durumu])-MIN(ROW(Personnel[Egtim durumu]))+1)/((Personnel[Egtim durumu]="Dil egitimi tamamlandi sinavdan gecti")),ROWS($K$7:K240)),"")</f>
        <v>291</v>
      </c>
    </row>
    <row r="241" spans="1:11" x14ac:dyDescent="0.25">
      <c r="A241" s="18">
        <f>IFERROR(INDEX(Personnel[Sicil],$K241),"")</f>
        <v>571218</v>
      </c>
      <c r="B241" s="17" t="str">
        <f>IFERROR(INDEX(Personnel[Adi Soyadi],$K241),"")</f>
        <v>Эгамов Ахрор Бобожон угли</v>
      </c>
      <c r="C241" s="18" t="str">
        <f>IFERROR(INDEX(Personnel[Vatandaslik],$K241),"")</f>
        <v>УЗБЕКИСТАН</v>
      </c>
      <c r="D241" s="18" t="str">
        <f>IFERROR(INDEX(Personnel[Santiye],$K241),"")</f>
        <v>GPP Proje</v>
      </c>
      <c r="E241" s="18" t="str">
        <f>IFERROR(INDEX(Personnel[Ogretmen],$K241),"")</f>
        <v>Tyulina Natalya</v>
      </c>
      <c r="F241" s="17" t="str">
        <f>IFERROR(INDEX(Personnel[[Sinav ]],$K241),"")</f>
        <v>03.06.2026 Sineva gitti gecdi</v>
      </c>
      <c r="G241" s="17" t="str">
        <f>IFERROR(INDEX(Personnel[Egtim durumu],$K241),"")</f>
        <v>Dil egitimi tamamlandi sinavdan gecti</v>
      </c>
      <c r="H241" s="17" t="str">
        <f>IFERROR(INDEX(Personnel[Shohruh Not],$K241),"")</f>
        <v>-</v>
      </c>
      <c r="I241" s="22">
        <f ca="1">IFERROR(INDEX(Personnel[Дней в РФ],$K241),"")</f>
        <v>96</v>
      </c>
      <c r="K241" s="23">
        <f t="array" ref="K241">IFERROR(_xlfn.AGGREGATE(15,6,(ROW(Personnel[Egtim durumu])-MIN(ROW(Personnel[Egtim durumu]))+1)/((Personnel[Egtim durumu]="Dil egitimi tamamlandi sinavdan gecti")),ROWS($K$7:K241)),"")</f>
        <v>292</v>
      </c>
    </row>
    <row r="242" spans="1:11" x14ac:dyDescent="0.25">
      <c r="A242" s="40">
        <f>IFERROR(INDEX(Personnel[Sicil],$K242),"")</f>
        <v>643769</v>
      </c>
      <c r="B242" s="41" t="str">
        <f>IFERROR(INDEX(Personnel[Adi Soyadi],$K242),"")</f>
        <v>Курамбаев Жушкинбек Бахром Угли</v>
      </c>
      <c r="C242" s="40" t="str">
        <f>IFERROR(INDEX(Personnel[Vatandaslik],$K242),"")</f>
        <v>УЗБЕКИСТАН</v>
      </c>
      <c r="D242" s="40" t="str">
        <f>IFERROR(INDEX(Personnel[Santiye],$K242),"")</f>
        <v>GPP Proje</v>
      </c>
      <c r="E242" s="40" t="str">
        <f>IFERROR(INDEX(Personnel[Ogretmen],$K242),"")</f>
        <v>Ziazetdinov Arslan / Ziazetdinov Arslan</v>
      </c>
      <c r="F242" s="41" t="str">
        <f>IFERROR(INDEX(Personnel[[Sinav ]],$K242),"")</f>
        <v>26.05.2026 Sineva gitti gecdi</v>
      </c>
      <c r="G242" s="41" t="str">
        <f>IFERROR(INDEX(Personnel[Egtim durumu],$K242),"")</f>
        <v>Dil egitimi tamamlandi sinavdan gecti</v>
      </c>
      <c r="H242" s="41" t="str">
        <f>IFERROR(INDEX(Personnel[Shohruh Not],$K242),"")</f>
        <v>-</v>
      </c>
      <c r="I242" s="42">
        <f ca="1">IFERROR(INDEX(Personnel[Дней в РФ],$K242),"")</f>
        <v>96</v>
      </c>
      <c r="K242" s="23">
        <f t="array" ref="K242">IFERROR(_xlfn.AGGREGATE(15,6,(ROW(Personnel[Egtim durumu])-MIN(ROW(Personnel[Egtim durumu]))+1)/((Personnel[Egtim durumu]="Dil egitimi tamamlandi sinavdan gecti")),ROWS($K$7:K242)),"")</f>
        <v>293</v>
      </c>
    </row>
    <row r="243" spans="1:11" ht="25.5" x14ac:dyDescent="0.25">
      <c r="A243" s="18">
        <f>IFERROR(INDEX(Personnel[Sicil],$K243),"")</f>
        <v>274377</v>
      </c>
      <c r="B243" s="17" t="str">
        <f>IFERROR(INDEX(Personnel[Adi Soyadi],$K243),"")</f>
        <v>Матюсупов Хасанбой Кодирович</v>
      </c>
      <c r="C243" s="18" t="str">
        <f>IFERROR(INDEX(Personnel[Vatandaslik],$K243),"")</f>
        <v>УЗБЕКИСТАН</v>
      </c>
      <c r="D243" s="18" t="str">
        <f>IFERROR(INDEX(Personnel[Santiye],$K243),"")</f>
        <v>GPP Proje</v>
      </c>
      <c r="E243" s="18" t="str">
        <f>IFERROR(INDEX(Personnel[Ogretmen],$K243),"")</f>
        <v>Tyulina Natalya / Ziaztdinov Arslan</v>
      </c>
      <c r="F243" s="17" t="str">
        <f>IFERROR(INDEX(Personnel[[Sinav ]],$K243),"")</f>
        <v>29.05.2026 Sineva gitti gecemedi /05.06.2026 Sineva gitti gecdi</v>
      </c>
      <c r="G243" s="17" t="str">
        <f>IFERROR(INDEX(Personnel[Egtim durumu],$K243),"")</f>
        <v>Dil egitimi tamamlandi sinavdan gecti</v>
      </c>
      <c r="H243" s="17" t="str">
        <f>IFERROR(INDEX(Personnel[Shohruh Not],$K243),"")</f>
        <v>-</v>
      </c>
      <c r="I243" s="22">
        <f ca="1">IFERROR(INDEX(Personnel[Дней в РФ],$K243),"")</f>
        <v>96</v>
      </c>
      <c r="K243" s="23">
        <f t="array" ref="K243">IFERROR(_xlfn.AGGREGATE(15,6,(ROW(Personnel[Egtim durumu])-MIN(ROW(Personnel[Egtim durumu]))+1)/((Personnel[Egtim durumu]="Dil egitimi tamamlandi sinavdan gecti")),ROWS($K$7:K243)),"")</f>
        <v>296</v>
      </c>
    </row>
    <row r="244" spans="1:11" x14ac:dyDescent="0.25">
      <c r="A244" s="40">
        <f>IFERROR(INDEX(Personnel[Sicil],$K244),"")</f>
        <v>643772</v>
      </c>
      <c r="B244" s="41" t="str">
        <f>IFERROR(INDEX(Personnel[Adi Soyadi],$K244),"")</f>
        <v>Назаров Руфат Сапарбаевич</v>
      </c>
      <c r="C244" s="40" t="str">
        <f>IFERROR(INDEX(Personnel[Vatandaslik],$K244),"")</f>
        <v>УЗБЕКИСТАН</v>
      </c>
      <c r="D244" s="40" t="str">
        <f>IFERROR(INDEX(Personnel[Santiye],$K244),"")</f>
        <v>GPP Proje</v>
      </c>
      <c r="E244" s="40" t="str">
        <f>IFERROR(INDEX(Personnel[Ogretmen],$K244),"")</f>
        <v xml:space="preserve">Ziazetdinov Arslan </v>
      </c>
      <c r="F244" s="41" t="str">
        <f>IFERROR(INDEX(Personnel[[Sinav ]],$K244),"")</f>
        <v>26.05.2026 Sineva gitti gecdi</v>
      </c>
      <c r="G244" s="41" t="str">
        <f>IFERROR(INDEX(Personnel[Egtim durumu],$K244),"")</f>
        <v>Dil egitimi tamamlandi sinavdan gecti</v>
      </c>
      <c r="H244" s="41" t="str">
        <f>IFERROR(INDEX(Personnel[Shohruh Not],$K244),"")</f>
        <v>-</v>
      </c>
      <c r="I244" s="42">
        <f ca="1">IFERROR(INDEX(Personnel[Дней в РФ],$K244),"")</f>
        <v>96</v>
      </c>
      <c r="K244" s="23">
        <f t="array" ref="K244">IFERROR(_xlfn.AGGREGATE(15,6,(ROW(Personnel[Egtim durumu])-MIN(ROW(Personnel[Egtim durumu]))+1)/((Personnel[Egtim durumu]="Dil egitimi tamamlandi sinavdan gecti")),ROWS($K$7:K244)),"")</f>
        <v>297</v>
      </c>
    </row>
    <row r="245" spans="1:11" x14ac:dyDescent="0.25">
      <c r="A245" s="18">
        <f>IFERROR(INDEX(Personnel[Sicil],$K245),"")</f>
        <v>643775</v>
      </c>
      <c r="B245" s="17" t="str">
        <f>IFERROR(INDEX(Personnel[Adi Soyadi],$K245),"")</f>
        <v>Орибжонов Хаётилло Зокиржон Угли</v>
      </c>
      <c r="C245" s="18" t="str">
        <f>IFERROR(INDEX(Personnel[Vatandaslik],$K245),"")</f>
        <v>УЗБЕКИСТАН</v>
      </c>
      <c r="D245" s="18" t="str">
        <f>IFERROR(INDEX(Personnel[Santiye],$K245),"")</f>
        <v>GPP Proje</v>
      </c>
      <c r="E245" s="18" t="str">
        <f>IFERROR(INDEX(Personnel[Ogretmen],$K245),"")</f>
        <v xml:space="preserve">Ziazetdinov Arslan </v>
      </c>
      <c r="F245" s="17" t="str">
        <f>IFERROR(INDEX(Personnel[[Sinav ]],$K245),"")</f>
        <v>26.05.2026 Sineva gitti gecdi</v>
      </c>
      <c r="G245" s="17" t="str">
        <f>IFERROR(INDEX(Personnel[Egtim durumu],$K245),"")</f>
        <v>Dil egitimi tamamlandi sinavdan gecti</v>
      </c>
      <c r="H245" s="17" t="str">
        <f>IFERROR(INDEX(Personnel[Shohruh Not],$K245),"")</f>
        <v>-</v>
      </c>
      <c r="I245" s="22">
        <f ca="1">IFERROR(INDEX(Personnel[Дней в РФ],$K245),"")</f>
        <v>96</v>
      </c>
      <c r="K245" s="23">
        <f t="array" ref="K245">IFERROR(_xlfn.AGGREGATE(15,6,(ROW(Personnel[Egtim durumu])-MIN(ROW(Personnel[Egtim durumu]))+1)/((Personnel[Egtim durumu]="Dil egitimi tamamlandi sinavdan gecti")),ROWS($K$7:K245)),"")</f>
        <v>298</v>
      </c>
    </row>
    <row r="246" spans="1:11" x14ac:dyDescent="0.25">
      <c r="A246" s="40">
        <f>IFERROR(INDEX(Personnel[Sicil],$K246),"")</f>
        <v>643777</v>
      </c>
      <c r="B246" s="41" t="str">
        <f>IFERROR(INDEX(Personnel[Adi Soyadi],$K246),"")</f>
        <v>Отамирзаев Бекзодбек Хаётбек Угли</v>
      </c>
      <c r="C246" s="40" t="str">
        <f>IFERROR(INDEX(Personnel[Vatandaslik],$K246),"")</f>
        <v>УЗБЕКИСТАН</v>
      </c>
      <c r="D246" s="40" t="str">
        <f>IFERROR(INDEX(Personnel[Santiye],$K246),"")</f>
        <v>GPP Proje</v>
      </c>
      <c r="E246" s="40" t="str">
        <f>IFERROR(INDEX(Personnel[Ogretmen],$K246),"")</f>
        <v>Tyulina Natalya</v>
      </c>
      <c r="F246" s="41" t="str">
        <f>IFERROR(INDEX(Personnel[[Sinav ]],$K246),"")</f>
        <v>29.05.2026 Sineva gitti gecdi</v>
      </c>
      <c r="G246" s="41" t="str">
        <f>IFERROR(INDEX(Personnel[Egtim durumu],$K246),"")</f>
        <v>Dil egitimi tamamlandi sinavdan gecti</v>
      </c>
      <c r="H246" s="41" t="str">
        <f>IFERROR(INDEX(Personnel[Shohruh Not],$K246),"")</f>
        <v>-</v>
      </c>
      <c r="I246" s="42">
        <f ca="1">IFERROR(INDEX(Personnel[Дней в РФ],$K246),"")</f>
        <v>96</v>
      </c>
      <c r="K246" s="23">
        <f t="array" ref="K246">IFERROR(_xlfn.AGGREGATE(15,6,(ROW(Personnel[Egtim durumu])-MIN(ROW(Personnel[Egtim durumu]))+1)/((Personnel[Egtim durumu]="Dil egitimi tamamlandi sinavdan gecti")),ROWS($K$7:K246)),"")</f>
        <v>299</v>
      </c>
    </row>
    <row r="247" spans="1:11" ht="25.5" x14ac:dyDescent="0.25">
      <c r="A247" s="18">
        <f>IFERROR(INDEX(Personnel[Sicil],$K247),"")</f>
        <v>643773</v>
      </c>
      <c r="B247" s="17" t="str">
        <f>IFERROR(INDEX(Personnel[Adi Soyadi],$K247),"")</f>
        <v>Озодов Абдулла Эгамберган Угли</v>
      </c>
      <c r="C247" s="18" t="str">
        <f>IFERROR(INDEX(Personnel[Vatandaslik],$K247),"")</f>
        <v>УЗБЕКИСТАН</v>
      </c>
      <c r="D247" s="18" t="str">
        <f>IFERROR(INDEX(Personnel[Santiye],$K247),"")</f>
        <v>GPP Proje</v>
      </c>
      <c r="E247" s="18" t="str">
        <f>IFERROR(INDEX(Personnel[Ogretmen],$K247),"")</f>
        <v>Ziazetdinov Arslan / Ziazetdinov Arslan</v>
      </c>
      <c r="F247" s="17" t="str">
        <f>IFERROR(INDEX(Personnel[[Sinav ]],$K247),"")</f>
        <v>26.05.2026 Sineva gitti gecemedi / 03.06.2026 sineva gitti gecdi</v>
      </c>
      <c r="G247" s="17" t="str">
        <f>IFERROR(INDEX(Personnel[Egtim durumu],$K247),"")</f>
        <v>Dil egitimi tamamlandi sinavdan gecti</v>
      </c>
      <c r="H247" s="17" t="str">
        <f>IFERROR(INDEX(Personnel[Shohruh Not],$K247),"")</f>
        <v>-</v>
      </c>
      <c r="I247" s="22">
        <f ca="1">IFERROR(INDEX(Personnel[Дней в РФ],$K247),"")</f>
        <v>96</v>
      </c>
      <c r="K247" s="23">
        <f t="array" ref="K247">IFERROR(_xlfn.AGGREGATE(15,6,(ROW(Personnel[Egtim durumu])-MIN(ROW(Personnel[Egtim durumu]))+1)/((Personnel[Egtim durumu]="Dil egitimi tamamlandi sinavdan gecti")),ROWS($K$7:K247)),"")</f>
        <v>300</v>
      </c>
    </row>
    <row r="248" spans="1:11" x14ac:dyDescent="0.25">
      <c r="A248" s="40">
        <f>IFERROR(INDEX(Personnel[Sicil],$K248),"")</f>
        <v>585551</v>
      </c>
      <c r="B248" s="41" t="str">
        <f>IFERROR(INDEX(Personnel[Adi Soyadi],$K248),"")</f>
        <v>Рузибаев Рузибой Кенжаевич</v>
      </c>
      <c r="C248" s="40" t="str">
        <f>IFERROR(INDEX(Personnel[Vatandaslik],$K248),"")</f>
        <v>УЗБЕКИСТАН</v>
      </c>
      <c r="D248" s="40" t="str">
        <f>IFERROR(INDEX(Personnel[Santiye],$K248),"")</f>
        <v>GPP Proje</v>
      </c>
      <c r="E248" s="40" t="str">
        <f>IFERROR(INDEX(Personnel[Ogretmen],$K248),"")</f>
        <v>Tyulina Natalya</v>
      </c>
      <c r="F248" s="41" t="str">
        <f>IFERROR(INDEX(Personnel[[Sinav ]],$K248),"")</f>
        <v>03.06.2026 Sineva gitti gecdi</v>
      </c>
      <c r="G248" s="41" t="str">
        <f>IFERROR(INDEX(Personnel[Egtim durumu],$K248),"")</f>
        <v>Dil egitimi tamamlandi sinavdan gecti</v>
      </c>
      <c r="H248" s="41" t="str">
        <f>IFERROR(INDEX(Personnel[Shohruh Not],$K248),"")</f>
        <v>-</v>
      </c>
      <c r="I248" s="42">
        <f ca="1">IFERROR(INDEX(Personnel[Дней в РФ],$K248),"")</f>
        <v>96</v>
      </c>
      <c r="K248" s="23">
        <f t="array" ref="K248">IFERROR(_xlfn.AGGREGATE(15,6,(ROW(Personnel[Egtim durumu])-MIN(ROW(Personnel[Egtim durumu]))+1)/((Personnel[Egtim durumu]="Dil egitimi tamamlandi sinavdan gecti")),ROWS($K$7:K248)),"")</f>
        <v>301</v>
      </c>
    </row>
    <row r="249" spans="1:11" x14ac:dyDescent="0.25">
      <c r="A249" s="18">
        <f>IFERROR(INDEX(Personnel[Sicil],$K249),"")</f>
        <v>643778</v>
      </c>
      <c r="B249" s="17" t="str">
        <f>IFERROR(INDEX(Personnel[Adi Soyadi],$K249),"")</f>
        <v>Саидов Хасанбой Эгамберди Угли</v>
      </c>
      <c r="C249" s="18" t="str">
        <f>IFERROR(INDEX(Personnel[Vatandaslik],$K249),"")</f>
        <v>УЗБЕКИСТАН</v>
      </c>
      <c r="D249" s="18" t="str">
        <f>IFERROR(INDEX(Personnel[Santiye],$K249),"")</f>
        <v>GPP Proje</v>
      </c>
      <c r="E249" s="18" t="str">
        <f>IFERROR(INDEX(Personnel[Ogretmen],$K249),"")</f>
        <v>Tyulina Natalya</v>
      </c>
      <c r="F249" s="17" t="str">
        <f>IFERROR(INDEX(Personnel[[Sinav ]],$K249),"")</f>
        <v>29.05.2026 Sineva gitti gecdi</v>
      </c>
      <c r="G249" s="17" t="str">
        <f>IFERROR(INDEX(Personnel[Egtim durumu],$K249),"")</f>
        <v>Dil egitimi tamamlandi sinavdan gecti</v>
      </c>
      <c r="H249" s="17" t="str">
        <f>IFERROR(INDEX(Personnel[Shohruh Not],$K249),"")</f>
        <v>-</v>
      </c>
      <c r="I249" s="22">
        <f ca="1">IFERROR(INDEX(Personnel[Дней в РФ],$K249),"")</f>
        <v>96</v>
      </c>
      <c r="K249" s="23">
        <f t="array" ref="K249">IFERROR(_xlfn.AGGREGATE(15,6,(ROW(Personnel[Egtim durumu])-MIN(ROW(Personnel[Egtim durumu]))+1)/((Personnel[Egtim durumu]="Dil egitimi tamamlandi sinavdan gecti")),ROWS($K$7:K249)),"")</f>
        <v>302</v>
      </c>
    </row>
    <row r="250" spans="1:11" ht="51" x14ac:dyDescent="0.25">
      <c r="A250" s="40">
        <f>IFERROR(INDEX(Personnel[Sicil],$K250),"")</f>
        <v>643781</v>
      </c>
      <c r="B250" s="41" t="str">
        <f>IFERROR(INDEX(Personnel[Adi Soyadi],$K250),"")</f>
        <v>Уролов Арслонбек Алимкул Угли</v>
      </c>
      <c r="C250" s="40" t="str">
        <f>IFERROR(INDEX(Personnel[Vatandaslik],$K250),"")</f>
        <v>УЗБЕКИСТАН</v>
      </c>
      <c r="D250" s="40" t="str">
        <f>IFERROR(INDEX(Personnel[Santiye],$K250),"")</f>
        <v>GPP Proje</v>
      </c>
      <c r="E250" s="40" t="str">
        <f>IFERROR(INDEX(Personnel[Ogretmen],$K250),"")</f>
        <v>Ziazetdinov Arslan / Ziazetdinov Arslan</v>
      </c>
      <c r="F250" s="41" t="str">
        <f>IFERROR(INDEX(Personnel[[Sinav ]],$K250),"")</f>
        <v>26.05.2026 Sineva gitti gecemedi (Ic testimizden gecemiyor 01.06.2026 egitime alindi)(09.06.2026 Sineva gitti gecdi)</v>
      </c>
      <c r="G250" s="41" t="str">
        <f>IFERROR(INDEX(Personnel[Egtim durumu],$K250),"")</f>
        <v>Dil egitimi tamamlandi sinavdan gecti</v>
      </c>
      <c r="H250" s="41" t="str">
        <f>IFERROR(INDEX(Personnel[Shohruh Not],$K250),"")</f>
        <v>-</v>
      </c>
      <c r="I250" s="42">
        <f ca="1">IFERROR(INDEX(Personnel[Дней в РФ],$K250),"")</f>
        <v>96</v>
      </c>
      <c r="K250" s="23">
        <f t="array" ref="K250">IFERROR(_xlfn.AGGREGATE(15,6,(ROW(Personnel[Egtim durumu])-MIN(ROW(Personnel[Egtim durumu]))+1)/((Personnel[Egtim durumu]="Dil egitimi tamamlandi sinavdan gecti")),ROWS($K$7:K250)),"")</f>
        <v>303</v>
      </c>
    </row>
    <row r="251" spans="1:11" x14ac:dyDescent="0.25">
      <c r="A251" s="18">
        <f>IFERROR(INDEX(Personnel[Sicil],$K251),"")</f>
        <v>643767</v>
      </c>
      <c r="B251" s="17" t="str">
        <f>IFERROR(INDEX(Personnel[Adi Soyadi],$K251),"")</f>
        <v>Зуфаров Фозилжон Акрамович</v>
      </c>
      <c r="C251" s="18" t="str">
        <f>IFERROR(INDEX(Personnel[Vatandaslik],$K251),"")</f>
        <v>УЗБЕКИСТАН</v>
      </c>
      <c r="D251" s="18" t="str">
        <f>IFERROR(INDEX(Personnel[Santiye],$K251),"")</f>
        <v>GPP Proje</v>
      </c>
      <c r="E251" s="18" t="str">
        <f>IFERROR(INDEX(Personnel[Ogretmen],$K251),"")</f>
        <v>Tyulina Natalya</v>
      </c>
      <c r="F251" s="17" t="str">
        <f>IFERROR(INDEX(Personnel[[Sinav ]],$K251),"")</f>
        <v>03.06.2026 Sineva gitti gecdi</v>
      </c>
      <c r="G251" s="17" t="str">
        <f>IFERROR(INDEX(Personnel[Egtim durumu],$K251),"")</f>
        <v>Dil egitimi tamamlandi sinavdan gecti</v>
      </c>
      <c r="H251" s="17" t="str">
        <f>IFERROR(INDEX(Personnel[Shohruh Not],$K251),"")</f>
        <v>-</v>
      </c>
      <c r="I251" s="22">
        <f ca="1">IFERROR(INDEX(Personnel[Дней в РФ],$K251),"")</f>
        <v>96</v>
      </c>
      <c r="K251" s="23">
        <f t="array" ref="K251">IFERROR(_xlfn.AGGREGATE(15,6,(ROW(Personnel[Egtim durumu])-MIN(ROW(Personnel[Egtim durumu]))+1)/((Personnel[Egtim durumu]="Dil egitimi tamamlandi sinavdan gecti")),ROWS($K$7:K251)),"")</f>
        <v>305</v>
      </c>
    </row>
    <row r="252" spans="1:11" ht="25.5" x14ac:dyDescent="0.25">
      <c r="A252" s="40">
        <f>IFERROR(INDEX(Personnel[Sicil],$K252),"")</f>
        <v>643822</v>
      </c>
      <c r="B252" s="41" t="str">
        <f>IFERROR(INDEX(Personnel[Adi Soyadi],$K252),"")</f>
        <v>Абдурахмонов Санат Сирожиддин Угли</v>
      </c>
      <c r="C252" s="40" t="str">
        <f>IFERROR(INDEX(Personnel[Vatandaslik],$K252),"")</f>
        <v>УЗБЕКИСТАН</v>
      </c>
      <c r="D252" s="40" t="str">
        <f>IFERROR(INDEX(Personnel[Santiye],$K252),"")</f>
        <v>GPP Proje</v>
      </c>
      <c r="E252" s="40" t="str">
        <f>IFERROR(INDEX(Personnel[Ogretmen],$K252),"")</f>
        <v xml:space="preserve">Ziazetdinov Arslan </v>
      </c>
      <c r="F252" s="41" t="str">
        <f>IFERROR(INDEX(Personnel[[Sinav ]],$K252),"")</f>
        <v>05.06.2026 Sineva gitti gecdi</v>
      </c>
      <c r="G252" s="41" t="str">
        <f>IFERROR(INDEX(Personnel[Egtim durumu],$K252),"")</f>
        <v>Dil egitimi tamamlandi sinavdan gecti</v>
      </c>
      <c r="H252" s="41" t="str">
        <f>IFERROR(INDEX(Personnel[Shohruh Not],$K252),"")</f>
        <v>Tarih 27.05.2026Egitim icin bilgi verildi gelmedi 9215709512</v>
      </c>
      <c r="I252" s="42">
        <f ca="1">IFERROR(INDEX(Personnel[Дней в РФ],$K252),"")</f>
        <v>96</v>
      </c>
      <c r="K252" s="23">
        <f t="array" ref="K252">IFERROR(_xlfn.AGGREGATE(15,6,(ROW(Personnel[Egtim durumu])-MIN(ROW(Personnel[Egtim durumu]))+1)/((Personnel[Egtim durumu]="Dil egitimi tamamlandi sinavdan gecti")),ROWS($K$7:K252)),"")</f>
        <v>306</v>
      </c>
    </row>
    <row r="253" spans="1:11" ht="25.5" x14ac:dyDescent="0.25">
      <c r="A253" s="18">
        <f>IFERROR(INDEX(Personnel[Sicil],$K253),"")</f>
        <v>643824</v>
      </c>
      <c r="B253" s="17" t="str">
        <f>IFERROR(INDEX(Personnel[Adi Soyadi],$K253),"")</f>
        <v>Амонов Юлдош Хушбакович</v>
      </c>
      <c r="C253" s="18" t="str">
        <f>IFERROR(INDEX(Personnel[Vatandaslik],$K253),"")</f>
        <v>УЗБЕКИСТАН</v>
      </c>
      <c r="D253" s="18" t="str">
        <f>IFERROR(INDEX(Personnel[Santiye],$K253),"")</f>
        <v>GPP Proje</v>
      </c>
      <c r="E253" s="18" t="str">
        <f>IFERROR(INDEX(Personnel[Ogretmen],$K253),"")</f>
        <v>Tyulina Natalya / Ziaztdinov Arslan</v>
      </c>
      <c r="F253" s="17" t="str">
        <f>IFERROR(INDEX(Personnel[[Sinav ]],$K253),"")</f>
        <v>03.06.2026 Sineva gitti gecemedi / 10.06.2026 Sineva gitti gecdi</v>
      </c>
      <c r="G253" s="17" t="str">
        <f>IFERROR(INDEX(Personnel[Egtim durumu],$K253),"")</f>
        <v>Dil egitimi tamamlandi sinavdan gecti</v>
      </c>
      <c r="H253" s="17" t="str">
        <f>IFERROR(INDEX(Personnel[Shohruh Not],$K253),"")</f>
        <v xml:space="preserve">Tekrar egitime alinacak </v>
      </c>
      <c r="I253" s="22">
        <f ca="1">IFERROR(INDEX(Personnel[Дней в РФ],$K253),"")</f>
        <v>95</v>
      </c>
      <c r="K253" s="23">
        <f t="array" ref="K253">IFERROR(_xlfn.AGGREGATE(15,6,(ROW(Personnel[Egtim durumu])-MIN(ROW(Personnel[Egtim durumu]))+1)/((Personnel[Egtim durumu]="Dil egitimi tamamlandi sinavdan gecti")),ROWS($K$7:K253)),"")</f>
        <v>307</v>
      </c>
    </row>
    <row r="254" spans="1:11" x14ac:dyDescent="0.25">
      <c r="A254" s="40">
        <f>IFERROR(INDEX(Personnel[Sicil],$K254),"")</f>
        <v>515909</v>
      </c>
      <c r="B254" s="41" t="str">
        <f>IFERROR(INDEX(Personnel[Adi Soyadi],$K254),"")</f>
        <v>Баймуратов Гайгисиз Бекдурдыевич</v>
      </c>
      <c r="C254" s="40" t="str">
        <f>IFERROR(INDEX(Personnel[Vatandaslik],$K254),"")</f>
        <v>УЗБЕКИСТАН</v>
      </c>
      <c r="D254" s="40" t="str">
        <f>IFERROR(INDEX(Personnel[Santiye],$K254),"")</f>
        <v>GPP Proje</v>
      </c>
      <c r="E254" s="40" t="str">
        <f>IFERROR(INDEX(Personnel[Ogretmen],$K254),"")</f>
        <v>Tyulina Natalya</v>
      </c>
      <c r="F254" s="41" t="str">
        <f>IFERROR(INDEX(Personnel[[Sinav ]],$K254),"")</f>
        <v>29.05.2026 Sineva gitti gecdi</v>
      </c>
      <c r="G254" s="41" t="str">
        <f>IFERROR(INDEX(Personnel[Egtim durumu],$K254),"")</f>
        <v>Dil egitimi tamamlandi sinavdan gecti</v>
      </c>
      <c r="H254" s="41" t="str">
        <f>IFERROR(INDEX(Personnel[Shohruh Not],$K254),"")</f>
        <v>-</v>
      </c>
      <c r="I254" s="42">
        <f ca="1">IFERROR(INDEX(Personnel[Дней в РФ],$K254),"")</f>
        <v>95</v>
      </c>
      <c r="K254" s="23">
        <f t="array" ref="K254">IFERROR(_xlfn.AGGREGATE(15,6,(ROW(Personnel[Egtim durumu])-MIN(ROW(Personnel[Egtim durumu]))+1)/((Personnel[Egtim durumu]="Dil egitimi tamamlandi sinavdan gecti")),ROWS($K$7:K254)),"")</f>
        <v>308</v>
      </c>
    </row>
    <row r="255" spans="1:11" x14ac:dyDescent="0.25">
      <c r="A255" s="18">
        <f>IFERROR(INDEX(Personnel[Sicil],$K255),"")</f>
        <v>643828</v>
      </c>
      <c r="B255" s="17" t="str">
        <f>IFERROR(INDEX(Personnel[Adi Soyadi],$K255),"")</f>
        <v>Бобоёров Кобил Орзикулович</v>
      </c>
      <c r="C255" s="18" t="str">
        <f>IFERROR(INDEX(Personnel[Vatandaslik],$K255),"")</f>
        <v>УЗБЕКИСТАН</v>
      </c>
      <c r="D255" s="18" t="str">
        <f>IFERROR(INDEX(Personnel[Santiye],$K255),"")</f>
        <v>GPP Proje</v>
      </c>
      <c r="E255" s="18" t="str">
        <f>IFERROR(INDEX(Personnel[Ogretmen],$K255),"")</f>
        <v>Tyulina Natalya</v>
      </c>
      <c r="F255" s="17" t="str">
        <f>IFERROR(INDEX(Personnel[[Sinav ]],$K255),"")</f>
        <v>29.05.2026 Sineva gitti gecdi</v>
      </c>
      <c r="G255" s="17" t="str">
        <f>IFERROR(INDEX(Personnel[Egtim durumu],$K255),"")</f>
        <v>Dil egitimi tamamlandi sinavdan gecti</v>
      </c>
      <c r="H255" s="17" t="str">
        <f>IFERROR(INDEX(Personnel[Shohruh Not],$K255),"")</f>
        <v>-</v>
      </c>
      <c r="I255" s="22">
        <f ca="1">IFERROR(INDEX(Personnel[Дней в РФ],$K255),"")</f>
        <v>96</v>
      </c>
      <c r="K255" s="23">
        <f t="array" ref="K255">IFERROR(_xlfn.AGGREGATE(15,6,(ROW(Personnel[Egtim durumu])-MIN(ROW(Personnel[Egtim durumu]))+1)/((Personnel[Egtim durumu]="Dil egitimi tamamlandi sinavdan gecti")),ROWS($K$7:K255)),"")</f>
        <v>309</v>
      </c>
    </row>
    <row r="256" spans="1:11" ht="25.5" x14ac:dyDescent="0.25">
      <c r="A256" s="40">
        <f>IFERROR(INDEX(Personnel[Sicil],$K256),"")</f>
        <v>556474</v>
      </c>
      <c r="B256" s="41" t="str">
        <f>IFERROR(INDEX(Personnel[Adi Soyadi],$K256),"")</f>
        <v>Даллиев Сирожиддин Сунатилло угли</v>
      </c>
      <c r="C256" s="40" t="str">
        <f>IFERROR(INDEX(Personnel[Vatandaslik],$K256),"")</f>
        <v>УЗБЕКИСТАН</v>
      </c>
      <c r="D256" s="40" t="str">
        <f>IFERROR(INDEX(Personnel[Santiye],$K256),"")</f>
        <v>GPP Proje</v>
      </c>
      <c r="E256" s="40" t="str">
        <f>IFERROR(INDEX(Personnel[Ogretmen],$K256),"")</f>
        <v>Tyulina Natalya</v>
      </c>
      <c r="F256" s="41" t="str">
        <f>IFERROR(INDEX(Personnel[[Sinav ]],$K256),"")</f>
        <v>29.05.2026 Sineva gitti gecdi</v>
      </c>
      <c r="G256" s="41" t="str">
        <f>IFERROR(INDEX(Personnel[Egtim durumu],$K256),"")</f>
        <v>Dil egitimi tamamlandi sinavdan gecti</v>
      </c>
      <c r="H256" s="41" t="str">
        <f>IFERROR(INDEX(Personnel[Shohruh Not],$K256),"")</f>
        <v>-</v>
      </c>
      <c r="I256" s="42">
        <f ca="1">IFERROR(INDEX(Personnel[Дней в РФ],$K256),"")</f>
        <v>96</v>
      </c>
      <c r="K256" s="23">
        <f t="array" ref="K256">IFERROR(_xlfn.AGGREGATE(15,6,(ROW(Personnel[Egtim durumu])-MIN(ROW(Personnel[Egtim durumu]))+1)/((Personnel[Egtim durumu]="Dil egitimi tamamlandi sinavdan gecti")),ROWS($K$7:K256)),"")</f>
        <v>310</v>
      </c>
    </row>
    <row r="257" spans="1:11" x14ac:dyDescent="0.25">
      <c r="A257" s="18">
        <f>IFERROR(INDEX(Personnel[Sicil],$K257),"")</f>
        <v>643837</v>
      </c>
      <c r="B257" s="17" t="str">
        <f>IFERROR(INDEX(Personnel[Adi Soyadi],$K257),"")</f>
        <v>Джуманиязов Шерзод Артикбаевич</v>
      </c>
      <c r="C257" s="18" t="str">
        <f>IFERROR(INDEX(Personnel[Vatandaslik],$K257),"")</f>
        <v>УЗБЕКИСТАН</v>
      </c>
      <c r="D257" s="18" t="str">
        <f>IFERROR(INDEX(Personnel[Santiye],$K257),"")</f>
        <v>GPP Proje</v>
      </c>
      <c r="E257" s="18" t="str">
        <f>IFERROR(INDEX(Personnel[Ogretmen],$K257),"")</f>
        <v>Tyulina Natalya</v>
      </c>
      <c r="F257" s="17" t="str">
        <f>IFERROR(INDEX(Personnel[[Sinav ]],$K257),"")</f>
        <v>29.05.2026 Sineva gitti gecdi</v>
      </c>
      <c r="G257" s="17" t="str">
        <f>IFERROR(INDEX(Personnel[Egtim durumu],$K257),"")</f>
        <v>Dil egitimi tamamlandi sinavdan gecti</v>
      </c>
      <c r="H257" s="17" t="str">
        <f>IFERROR(INDEX(Personnel[Shohruh Not],$K257),"")</f>
        <v>-</v>
      </c>
      <c r="I257" s="22">
        <f ca="1">IFERROR(INDEX(Personnel[Дней в РФ],$K257),"")</f>
        <v>95</v>
      </c>
      <c r="K257" s="23">
        <f t="array" ref="K257">IFERROR(_xlfn.AGGREGATE(15,6,(ROW(Personnel[Egtim durumu])-MIN(ROW(Personnel[Egtim durumu]))+1)/((Personnel[Egtim durumu]="Dil egitimi tamamlandi sinavdan gecti")),ROWS($K$7:K257)),"")</f>
        <v>311</v>
      </c>
    </row>
    <row r="258" spans="1:11" x14ac:dyDescent="0.25">
      <c r="A258" s="40">
        <f>IFERROR(INDEX(Personnel[Sicil],$K258),"")</f>
        <v>643803</v>
      </c>
      <c r="B258" s="41" t="str">
        <f>IFERROR(INDEX(Personnel[Adi Soyadi],$K258),"")</f>
        <v>Гасимов Эмил Вахид Оглы</v>
      </c>
      <c r="C258" s="40" t="str">
        <f>IFERROR(INDEX(Personnel[Vatandaslik],$K258),"")</f>
        <v>АЗЕРБАЙДЖАН</v>
      </c>
      <c r="D258" s="40" t="str">
        <f>IFERROR(INDEX(Personnel[Santiye],$K258),"")</f>
        <v>GPP Proje</v>
      </c>
      <c r="E258" s="40" t="str">
        <f>IFERROR(INDEX(Personnel[Ogretmen],$K258),"")</f>
        <v>Tyulina Natalya</v>
      </c>
      <c r="F258" s="41" t="str">
        <f>IFERROR(INDEX(Personnel[[Sinav ]],$K258),"")</f>
        <v>29.05.2026 Sineva gitti gecdi</v>
      </c>
      <c r="G258" s="41" t="str">
        <f>IFERROR(INDEX(Personnel[Egtim durumu],$K258),"")</f>
        <v>Dil egitimi tamamlandi sinavdan gecti</v>
      </c>
      <c r="H258" s="41" t="str">
        <f>IFERROR(INDEX(Personnel[Shohruh Not],$K258),"")</f>
        <v>-</v>
      </c>
      <c r="I258" s="42">
        <f ca="1">IFERROR(INDEX(Personnel[Дней в РФ],$K258),"")</f>
        <v>95</v>
      </c>
      <c r="K258" s="23">
        <f t="array" ref="K258">IFERROR(_xlfn.AGGREGATE(15,6,(ROW(Personnel[Egtim durumu])-MIN(ROW(Personnel[Egtim durumu]))+1)/((Personnel[Egtim durumu]="Dil egitimi tamamlandi sinavdan gecti")),ROWS($K$7:K258)),"")</f>
        <v>312</v>
      </c>
    </row>
    <row r="259" spans="1:11" ht="38.25" x14ac:dyDescent="0.25">
      <c r="A259" s="18">
        <f>IFERROR(INDEX(Personnel[Sicil],$K259),"")</f>
        <v>603341</v>
      </c>
      <c r="B259" s="17" t="str">
        <f>IFERROR(INDEX(Personnel[Adi Soyadi],$K259),"")</f>
        <v>Имамгулуев Эшгин Ильхам оглы</v>
      </c>
      <c r="C259" s="18" t="str">
        <f>IFERROR(INDEX(Personnel[Vatandaslik],$K259),"")</f>
        <v>АЗЕРБАЙДЖАН</v>
      </c>
      <c r="D259" s="18" t="str">
        <f>IFERROR(INDEX(Personnel[Santiye],$K259),"")</f>
        <v>GPP Proje</v>
      </c>
      <c r="E259" s="18" t="str">
        <f>IFERROR(INDEX(Personnel[Ogretmen],$K259),"")</f>
        <v>Tyulina Natalya / Ziaztdinov Arslan</v>
      </c>
      <c r="F259" s="17" t="str">
        <f>IFERROR(INDEX(Personnel[[Sinav ]],$K259),"")</f>
        <v>Ic testimizden gecemiyor(27.05.2026 egitime alindi) / 05.06.2026 sineva gitti gecdi</v>
      </c>
      <c r="G259" s="17" t="str">
        <f>IFERROR(INDEX(Personnel[Egtim durumu],$K259),"")</f>
        <v>Dil egitimi tamamlandi sinavdan gecti</v>
      </c>
      <c r="H259" s="17" t="str">
        <f>IFERROR(INDEX(Personnel[Shohruh Not],$K259),"")</f>
        <v>-</v>
      </c>
      <c r="I259" s="22">
        <f ca="1">IFERROR(INDEX(Personnel[Дней в РФ],$K259),"")</f>
        <v>95</v>
      </c>
      <c r="K259" s="23">
        <f t="array" ref="K259">IFERROR(_xlfn.AGGREGATE(15,6,(ROW(Personnel[Egtim durumu])-MIN(ROW(Personnel[Egtim durumu]))+1)/((Personnel[Egtim durumu]="Dil egitimi tamamlandi sinavdan gecti")),ROWS($K$7:K259)),"")</f>
        <v>313</v>
      </c>
    </row>
    <row r="260" spans="1:11" ht="25.5" x14ac:dyDescent="0.25">
      <c r="A260" s="40">
        <f>IFERROR(INDEX(Personnel[Sicil],$K260),"")</f>
        <v>643839</v>
      </c>
      <c r="B260" s="41" t="str">
        <f>IFERROR(INDEX(Personnel[Adi Soyadi],$K260),"")</f>
        <v>Искандаров Рустамжон Абдуллаевич</v>
      </c>
      <c r="C260" s="40" t="str">
        <f>IFERROR(INDEX(Personnel[Vatandaslik],$K260),"")</f>
        <v>УЗБЕКИСТАН</v>
      </c>
      <c r="D260" s="40" t="str">
        <f>IFERROR(INDEX(Personnel[Santiye],$K260),"")</f>
        <v>GPP Proje</v>
      </c>
      <c r="E260" s="40" t="str">
        <f>IFERROR(INDEX(Personnel[Ogretmen],$K260),"")</f>
        <v xml:space="preserve">Ziazetdinov Arslan </v>
      </c>
      <c r="F260" s="41" t="str">
        <f>IFERROR(INDEX(Personnel[[Sinav ]],$K260),"")</f>
        <v>05.06.2026 Sineva gitti gecdi</v>
      </c>
      <c r="G260" s="41" t="str">
        <f>IFERROR(INDEX(Personnel[Egtim durumu],$K260),"")</f>
        <v>Dil egitimi tamamlandi sinavdan gecti</v>
      </c>
      <c r="H260" s="41" t="str">
        <f>IFERROR(INDEX(Personnel[Shohruh Not],$K260),"")</f>
        <v>Tarih 27.05.2026Egitim icin bilgi verildi gelmedi  9315947291</v>
      </c>
      <c r="I260" s="42">
        <f ca="1">IFERROR(INDEX(Personnel[Дней в РФ],$K260),"")</f>
        <v>96</v>
      </c>
      <c r="K260" s="23">
        <f t="array" ref="K260">IFERROR(_xlfn.AGGREGATE(15,6,(ROW(Personnel[Egtim durumu])-MIN(ROW(Personnel[Egtim durumu]))+1)/((Personnel[Egtim durumu]="Dil egitimi tamamlandi sinavdan gecti")),ROWS($K$7:K260)),"")</f>
        <v>314</v>
      </c>
    </row>
    <row r="261" spans="1:11" x14ac:dyDescent="0.25">
      <c r="A261" s="18">
        <f>IFERROR(INDEX(Personnel[Sicil],$K261),"")</f>
        <v>643840</v>
      </c>
      <c r="B261" s="17" t="str">
        <f>IFERROR(INDEX(Personnel[Adi Soyadi],$K261),"")</f>
        <v>Исмаилов Боходир Хайдарович</v>
      </c>
      <c r="C261" s="18" t="str">
        <f>IFERROR(INDEX(Personnel[Vatandaslik],$K261),"")</f>
        <v>УЗБЕКИСТАН</v>
      </c>
      <c r="D261" s="18" t="str">
        <f>IFERROR(INDEX(Personnel[Santiye],$K261),"")</f>
        <v>GPP Proje</v>
      </c>
      <c r="E261" s="18" t="str">
        <f>IFERROR(INDEX(Personnel[Ogretmen],$K261),"")</f>
        <v>Tyulina Natalya</v>
      </c>
      <c r="F261" s="17" t="str">
        <f>IFERROR(INDEX(Personnel[[Sinav ]],$K261),"")</f>
        <v>29.05.2026 Sineva gitti gecdi</v>
      </c>
      <c r="G261" s="17" t="str">
        <f>IFERROR(INDEX(Personnel[Egtim durumu],$K261),"")</f>
        <v>Dil egitimi tamamlandi sinavdan gecti</v>
      </c>
      <c r="H261" s="17" t="str">
        <f>IFERROR(INDEX(Personnel[Shohruh Not],$K261),"")</f>
        <v>-</v>
      </c>
      <c r="I261" s="22">
        <f ca="1">IFERROR(INDEX(Personnel[Дней в РФ],$K261),"")</f>
        <v>96</v>
      </c>
      <c r="K261" s="23">
        <f t="array" ref="K261">IFERROR(_xlfn.AGGREGATE(15,6,(ROW(Personnel[Egtim durumu])-MIN(ROW(Personnel[Egtim durumu]))+1)/((Personnel[Egtim durumu]="Dil egitimi tamamlandi sinavdan gecti")),ROWS($K$7:K261)),"")</f>
        <v>315</v>
      </c>
    </row>
    <row r="262" spans="1:11" x14ac:dyDescent="0.25">
      <c r="A262" s="40">
        <f>IFERROR(INDEX(Personnel[Sicil],$K262),"")</f>
        <v>643841</v>
      </c>
      <c r="B262" s="41" t="str">
        <f>IFERROR(INDEX(Personnel[Adi Soyadi],$K262),"")</f>
        <v>Исматов Жамшид Сагди Угли</v>
      </c>
      <c r="C262" s="40" t="str">
        <f>IFERROR(INDEX(Personnel[Vatandaslik],$K262),"")</f>
        <v>УЗБЕКИСТАН</v>
      </c>
      <c r="D262" s="40" t="str">
        <f>IFERROR(INDEX(Personnel[Santiye],$K262),"")</f>
        <v>GPP Proje</v>
      </c>
      <c r="E262" s="40" t="str">
        <f>IFERROR(INDEX(Personnel[Ogretmen],$K262),"")</f>
        <v xml:space="preserve">Ziazetdinov Arslan </v>
      </c>
      <c r="F262" s="41" t="str">
        <f>IFERROR(INDEX(Personnel[[Sinav ]],$K262),"")</f>
        <v>16.06.2026 Sineva gitti gecdi</v>
      </c>
      <c r="G262" s="41" t="str">
        <f>IFERROR(INDEX(Personnel[Egtim durumu],$K262),"")</f>
        <v>Dil egitimi tamamlandi sinavdan gecti</v>
      </c>
      <c r="H262" s="41" t="str">
        <f>IFERROR(INDEX(Personnel[Shohruh Not],$K262),"")</f>
        <v>bilgi verildi derse gimedi</v>
      </c>
      <c r="I262" s="42">
        <f ca="1">IFERROR(INDEX(Personnel[Дней в РФ],$K262),"")</f>
        <v>96</v>
      </c>
      <c r="K262" s="23">
        <f t="array" ref="K262">IFERROR(_xlfn.AGGREGATE(15,6,(ROW(Personnel[Egtim durumu])-MIN(ROW(Personnel[Egtim durumu]))+1)/((Personnel[Egtim durumu]="Dil egitimi tamamlandi sinavdan gecti")),ROWS($K$7:K262)),"")</f>
        <v>316</v>
      </c>
    </row>
    <row r="263" spans="1:11" x14ac:dyDescent="0.25">
      <c r="A263" s="18">
        <f>IFERROR(INDEX(Personnel[Sicil],$K263),"")</f>
        <v>643811</v>
      </c>
      <c r="B263" s="17" t="str">
        <f>IFERROR(INDEX(Personnel[Adi Soyadi],$K263),"")</f>
        <v>Хакимов Миртоза Эрниязович</v>
      </c>
      <c r="C263" s="18" t="str">
        <f>IFERROR(INDEX(Personnel[Vatandaslik],$K263),"")</f>
        <v>УЗБЕКИСТАН</v>
      </c>
      <c r="D263" s="18" t="str">
        <f>IFERROR(INDEX(Personnel[Santiye],$K263),"")</f>
        <v>GPP Proje</v>
      </c>
      <c r="E263" s="18" t="str">
        <f>IFERROR(INDEX(Personnel[Ogretmen],$K263),"")</f>
        <v>Tyulina Natalya</v>
      </c>
      <c r="F263" s="17" t="str">
        <f>IFERROR(INDEX(Personnel[[Sinav ]],$K263),"")</f>
        <v>03.06.2026 Sineva gitti gecdi</v>
      </c>
      <c r="G263" s="17" t="str">
        <f>IFERROR(INDEX(Personnel[Egtim durumu],$K263),"")</f>
        <v>Dil egitimi tamamlandi sinavdan gecti</v>
      </c>
      <c r="H263" s="17" t="str">
        <f>IFERROR(INDEX(Personnel[Shohruh Not],$K263),"")</f>
        <v>-</v>
      </c>
      <c r="I263" s="22">
        <f ca="1">IFERROR(INDEX(Personnel[Дней в РФ],$K263),"")</f>
        <v>96</v>
      </c>
      <c r="K263" s="23">
        <f t="array" ref="K263">IFERROR(_xlfn.AGGREGATE(15,6,(ROW(Personnel[Egtim durumu])-MIN(ROW(Personnel[Egtim durumu]))+1)/((Personnel[Egtim durumu]="Dil egitimi tamamlandi sinavdan gecti")),ROWS($K$7:K263)),"")</f>
        <v>317</v>
      </c>
    </row>
    <row r="264" spans="1:11" x14ac:dyDescent="0.25">
      <c r="A264" s="40">
        <f>IFERROR(INDEX(Personnel[Sicil],$K264),"")</f>
        <v>643809</v>
      </c>
      <c r="B264" s="41" t="str">
        <f>IFERROR(INDEX(Personnel[Adi Soyadi],$K264),"")</f>
        <v>Хайдаров Сардор Сайдулла Угли</v>
      </c>
      <c r="C264" s="40" t="str">
        <f>IFERROR(INDEX(Personnel[Vatandaslik],$K264),"")</f>
        <v>УЗБЕКИСТАН</v>
      </c>
      <c r="D264" s="40" t="str">
        <f>IFERROR(INDEX(Personnel[Santiye],$K264),"")</f>
        <v>GPP Proje</v>
      </c>
      <c r="E264" s="40" t="str">
        <f>IFERROR(INDEX(Personnel[Ogretmen],$K264),"")</f>
        <v>Tyulina Natalya</v>
      </c>
      <c r="F264" s="41" t="str">
        <f>IFERROR(INDEX(Personnel[[Sinav ]],$K264),"")</f>
        <v>29.05.2026 Sineva gitti gecdi</v>
      </c>
      <c r="G264" s="41" t="str">
        <f>IFERROR(INDEX(Personnel[Egtim durumu],$K264),"")</f>
        <v>Dil egitimi tamamlandi sinavdan gecti</v>
      </c>
      <c r="H264" s="41" t="str">
        <f>IFERROR(INDEX(Personnel[Shohruh Not],$K264),"")</f>
        <v>-</v>
      </c>
      <c r="I264" s="42">
        <f ca="1">IFERROR(INDEX(Personnel[Дней в РФ],$K264),"")</f>
        <v>96</v>
      </c>
      <c r="K264" s="23">
        <f t="array" ref="K264">IFERROR(_xlfn.AGGREGATE(15,6,(ROW(Personnel[Egtim durumu])-MIN(ROW(Personnel[Egtim durumu]))+1)/((Personnel[Egtim durumu]="Dil egitimi tamamlandi sinavdan gecti")),ROWS($K$7:K264)),"")</f>
        <v>318</v>
      </c>
    </row>
    <row r="265" spans="1:11" x14ac:dyDescent="0.25">
      <c r="A265" s="18">
        <f>IFERROR(INDEX(Personnel[Sicil],$K265),"")</f>
        <v>542623</v>
      </c>
      <c r="B265" s="17" t="str">
        <f>IFERROR(INDEX(Personnel[Adi Soyadi],$K265),"")</f>
        <v>Мардонов Даминжон Зойир угли</v>
      </c>
      <c r="C265" s="18" t="str">
        <f>IFERROR(INDEX(Personnel[Vatandaslik],$K265),"")</f>
        <v>УЗБЕКИСТАН</v>
      </c>
      <c r="D265" s="18" t="str">
        <f>IFERROR(INDEX(Personnel[Santiye],$K265),"")</f>
        <v>GPP Proje</v>
      </c>
      <c r="E265" s="18" t="str">
        <f>IFERROR(INDEX(Personnel[Ogretmen],$K265),"")</f>
        <v>Tyulina Natalya</v>
      </c>
      <c r="F265" s="17" t="str">
        <f>IFERROR(INDEX(Personnel[[Sinav ]],$K265),"")</f>
        <v>03.06.2026 Sineva gitti gecdi</v>
      </c>
      <c r="G265" s="17" t="str">
        <f>IFERROR(INDEX(Personnel[Egtim durumu],$K265),"")</f>
        <v>Dil egitimi tamamlandi sinavdan gecti</v>
      </c>
      <c r="H265" s="17" t="str">
        <f>IFERROR(INDEX(Personnel[Shohruh Not],$K265),"")</f>
        <v>-</v>
      </c>
      <c r="I265" s="22">
        <f ca="1">IFERROR(INDEX(Personnel[Дней в РФ],$K265),"")</f>
        <v>96</v>
      </c>
      <c r="K265" s="23">
        <f t="array" ref="K265">IFERROR(_xlfn.AGGREGATE(15,6,(ROW(Personnel[Egtim durumu])-MIN(ROW(Personnel[Egtim durumu]))+1)/((Personnel[Egtim durumu]="Dil egitimi tamamlandi sinavdan gecti")),ROWS($K$7:K265)),"")</f>
        <v>320</v>
      </c>
    </row>
    <row r="266" spans="1:11" x14ac:dyDescent="0.25">
      <c r="A266" s="40">
        <f>IFERROR(INDEX(Personnel[Sicil],$K266),"")</f>
        <v>603595</v>
      </c>
      <c r="B266" s="41" t="str">
        <f>IFERROR(INDEX(Personnel[Adi Soyadi],$K266),"")</f>
        <v>Норкулов Азиз Боборажабович</v>
      </c>
      <c r="C266" s="40" t="str">
        <f>IFERROR(INDEX(Personnel[Vatandaslik],$K266),"")</f>
        <v>УЗБЕКИСТАН</v>
      </c>
      <c r="D266" s="40" t="str">
        <f>IFERROR(INDEX(Personnel[Santiye],$K266),"")</f>
        <v>GPP Proje</v>
      </c>
      <c r="E266" s="40" t="str">
        <f>IFERROR(INDEX(Personnel[Ogretmen],$K266),"")</f>
        <v>Tyulina Natalya</v>
      </c>
      <c r="F266" s="41" t="str">
        <f>IFERROR(INDEX(Personnel[[Sinav ]],$K266),"")</f>
        <v>03.06.2026 Sineva gitti gecdi</v>
      </c>
      <c r="G266" s="41" t="str">
        <f>IFERROR(INDEX(Personnel[Egtim durumu],$K266),"")</f>
        <v>Dil egitimi tamamlandi sinavdan gecti</v>
      </c>
      <c r="H266" s="41" t="str">
        <f>IFERROR(INDEX(Personnel[Shohruh Not],$K266),"")</f>
        <v>-</v>
      </c>
      <c r="I266" s="42">
        <f ca="1">IFERROR(INDEX(Personnel[Дней в РФ],$K266),"")</f>
        <v>96</v>
      </c>
      <c r="K266" s="23">
        <f t="array" ref="K266">IFERROR(_xlfn.AGGREGATE(15,6,(ROW(Personnel[Egtim durumu])-MIN(ROW(Personnel[Egtim durumu]))+1)/((Personnel[Egtim durumu]="Dil egitimi tamamlandi sinavdan gecti")),ROWS($K$7:K266)),"")</f>
        <v>321</v>
      </c>
    </row>
    <row r="267" spans="1:11" x14ac:dyDescent="0.25">
      <c r="A267" s="18">
        <f>IFERROR(INDEX(Personnel[Sicil],$K267),"")</f>
        <v>643853</v>
      </c>
      <c r="B267" s="17" t="str">
        <f>IFERROR(INDEX(Personnel[Adi Soyadi],$K267),"")</f>
        <v>Нурбоев Байрамали Боймирзаевич</v>
      </c>
      <c r="C267" s="18" t="str">
        <f>IFERROR(INDEX(Personnel[Vatandaslik],$K267),"")</f>
        <v>УЗБЕКИСТАН</v>
      </c>
      <c r="D267" s="18" t="str">
        <f>IFERROR(INDEX(Personnel[Santiye],$K267),"")</f>
        <v>GPP Proje</v>
      </c>
      <c r="E267" s="18" t="str">
        <f>IFERROR(INDEX(Personnel[Ogretmen],$K267),"")</f>
        <v>Tyulina Natalya</v>
      </c>
      <c r="F267" s="17" t="str">
        <f>IFERROR(INDEX(Personnel[[Sinav ]],$K267),"")</f>
        <v>29.05.2026 Sineva gitti gecdi</v>
      </c>
      <c r="G267" s="17" t="str">
        <f>IFERROR(INDEX(Personnel[Egtim durumu],$K267),"")</f>
        <v>Dil egitimi tamamlandi sinavdan gecti</v>
      </c>
      <c r="H267" s="17" t="str">
        <f>IFERROR(INDEX(Personnel[Shohruh Not],$K267),"")</f>
        <v>-</v>
      </c>
      <c r="I267" s="22">
        <f ca="1">IFERROR(INDEX(Personnel[Дней в РФ],$K267),"")</f>
        <v>96</v>
      </c>
      <c r="K267" s="23">
        <f t="array" ref="K267">IFERROR(_xlfn.AGGREGATE(15,6,(ROW(Personnel[Egtim durumu])-MIN(ROW(Personnel[Egtim durumu]))+1)/((Personnel[Egtim durumu]="Dil egitimi tamamlandi sinavdan gecti")),ROWS($K$7:K267)),"")</f>
        <v>323</v>
      </c>
    </row>
    <row r="268" spans="1:11" x14ac:dyDescent="0.25">
      <c r="A268" s="40">
        <f>IFERROR(INDEX(Personnel[Sicil],$K268),"")</f>
        <v>643854</v>
      </c>
      <c r="B268" s="41" t="str">
        <f>IFERROR(INDEX(Personnel[Adi Soyadi],$K268),"")</f>
        <v>Нурманов Руслан Нурбек Угли</v>
      </c>
      <c r="C268" s="40" t="str">
        <f>IFERROR(INDEX(Personnel[Vatandaslik],$K268),"")</f>
        <v>УЗБЕКИСТАН</v>
      </c>
      <c r="D268" s="40" t="str">
        <f>IFERROR(INDEX(Personnel[Santiye],$K268),"")</f>
        <v>GPP Proje</v>
      </c>
      <c r="E268" s="40" t="str">
        <f>IFERROR(INDEX(Personnel[Ogretmen],$K268),"")</f>
        <v>Tyulina Natalya</v>
      </c>
      <c r="F268" s="41" t="str">
        <f>IFERROR(INDEX(Personnel[[Sinav ]],$K268),"")</f>
        <v>29.05.2026 Sineva gitti gecdi</v>
      </c>
      <c r="G268" s="41" t="str">
        <f>IFERROR(INDEX(Personnel[Egtim durumu],$K268),"")</f>
        <v>Dil egitimi tamamlandi sinavdan gecti</v>
      </c>
      <c r="H268" s="41" t="str">
        <f>IFERROR(INDEX(Personnel[Shohruh Not],$K268),"")</f>
        <v>-</v>
      </c>
      <c r="I268" s="42">
        <f ca="1">IFERROR(INDEX(Personnel[Дней в РФ],$K268),"")</f>
        <v>96</v>
      </c>
      <c r="K268" s="23">
        <f t="array" ref="K268">IFERROR(_xlfn.AGGREGATE(15,6,(ROW(Personnel[Egtim durumu])-MIN(ROW(Personnel[Egtim durumu]))+1)/((Personnel[Egtim durumu]="Dil egitimi tamamlandi sinavdan gecti")),ROWS($K$7:K268)),"")</f>
        <v>325</v>
      </c>
    </row>
    <row r="269" spans="1:11" ht="25.5" x14ac:dyDescent="0.25">
      <c r="A269" s="18">
        <f>IFERROR(INDEX(Personnel[Sicil],$K269),"")</f>
        <v>643813</v>
      </c>
      <c r="B269" s="17" t="str">
        <f>IFERROR(INDEX(Personnel[Adi Soyadi],$K269),"")</f>
        <v>Шоназаров Диёрбек Исматилло Угли</v>
      </c>
      <c r="C269" s="18" t="str">
        <f>IFERROR(INDEX(Personnel[Vatandaslik],$K269),"")</f>
        <v>УЗБЕКИСТАН</v>
      </c>
      <c r="D269" s="18" t="str">
        <f>IFERROR(INDEX(Personnel[Santiye],$K269),"")</f>
        <v>GPP Proje</v>
      </c>
      <c r="E269" s="18" t="str">
        <f>IFERROR(INDEX(Personnel[Ogretmen],$K269),"")</f>
        <v>Tyulina Natalya / Ziaztdinov Arslan</v>
      </c>
      <c r="F269" s="17" t="str">
        <f>IFERROR(INDEX(Personnel[[Sinav ]],$K269),"")</f>
        <v>29.05.2026 Sineva gitti gecemedi /05.06.2026 Sineva gitti gecdi</v>
      </c>
      <c r="G269" s="17" t="str">
        <f>IFERROR(INDEX(Personnel[Egtim durumu],$K269),"")</f>
        <v>Dil egitimi tamamlandi sinavdan gecti</v>
      </c>
      <c r="H269" s="17" t="str">
        <f>IFERROR(INDEX(Personnel[Shohruh Not],$K269),"")</f>
        <v>-</v>
      </c>
      <c r="I269" s="22">
        <f ca="1">IFERROR(INDEX(Personnel[Дней в РФ],$K269),"")</f>
        <v>96</v>
      </c>
      <c r="K269" s="23">
        <f t="array" ref="K269">IFERROR(_xlfn.AGGREGATE(15,6,(ROW(Personnel[Egtim durumu])-MIN(ROW(Personnel[Egtim durumu]))+1)/((Personnel[Egtim durumu]="Dil egitimi tamamlandi sinavdan gecti")),ROWS($K$7:K269)),"")</f>
        <v>327</v>
      </c>
    </row>
    <row r="270" spans="1:11" x14ac:dyDescent="0.25">
      <c r="A270" s="40">
        <f>IFERROR(INDEX(Personnel[Sicil],$K270),"")</f>
        <v>275628</v>
      </c>
      <c r="B270" s="41" t="str">
        <f>IFERROR(INDEX(Personnel[Adi Soyadi],$K270),"")</f>
        <v>Махмудов Достон Усмоналиевич</v>
      </c>
      <c r="C270" s="40" t="str">
        <f>IFERROR(INDEX(Personnel[Vatandaslik],$K270),"")</f>
        <v>УЗБЕКИСТАН</v>
      </c>
      <c r="D270" s="40" t="str">
        <f>IFERROR(INDEX(Personnel[Santiye],$K270),"")</f>
        <v>GPP Proje</v>
      </c>
      <c r="E270" s="40" t="str">
        <f>IFERROR(INDEX(Personnel[Ogretmen],$K270),"")</f>
        <v>Tyulina Natalya</v>
      </c>
      <c r="F270" s="41" t="str">
        <f>IFERROR(INDEX(Personnel[[Sinav ]],$K270),"")</f>
        <v>03.06.2026 Sineva gitti gecdi</v>
      </c>
      <c r="G270" s="41" t="str">
        <f>IFERROR(INDEX(Personnel[Egtim durumu],$K270),"")</f>
        <v>Dil egitimi tamamlandi sinavdan gecti</v>
      </c>
      <c r="H270" s="41" t="str">
        <f>IFERROR(INDEX(Personnel[Shohruh Not],$K270),"")</f>
        <v>-</v>
      </c>
      <c r="I270" s="42">
        <f ca="1">IFERROR(INDEX(Personnel[Дней в РФ],$K270),"")</f>
        <v>94</v>
      </c>
      <c r="K270" s="23">
        <f t="array" ref="K270">IFERROR(_xlfn.AGGREGATE(15,6,(ROW(Personnel[Egtim durumu])-MIN(ROW(Personnel[Egtim durumu]))+1)/((Personnel[Egtim durumu]="Dil egitimi tamamlandi sinavdan gecti")),ROWS($K$7:K270)),"")</f>
        <v>330</v>
      </c>
    </row>
    <row r="271" spans="1:11" ht="25.5" x14ac:dyDescent="0.25">
      <c r="A271" s="18">
        <f>IFERROR(INDEX(Personnel[Sicil],$K271),"")</f>
        <v>643894</v>
      </c>
      <c r="B271" s="17" t="str">
        <f>IFERROR(INDEX(Personnel[Adi Soyadi],$K271),"")</f>
        <v>Дадабоев Аброрбек Махмуджон Угли</v>
      </c>
      <c r="C271" s="18" t="str">
        <f>IFERROR(INDEX(Personnel[Vatandaslik],$K271),"")</f>
        <v>УЗБЕКИСТАН</v>
      </c>
      <c r="D271" s="18" t="str">
        <f>IFERROR(INDEX(Personnel[Santiye],$K271),"")</f>
        <v>GPP Proje</v>
      </c>
      <c r="E271" s="18" t="str">
        <f>IFERROR(INDEX(Personnel[Ogretmen],$K271),"")</f>
        <v>Tyulina Natalya</v>
      </c>
      <c r="F271" s="17" t="str">
        <f>IFERROR(INDEX(Personnel[[Sinav ]],$K271),"")</f>
        <v>29.05.2026 Sineva gitti gecdi</v>
      </c>
      <c r="G271" s="17" t="str">
        <f>IFERROR(INDEX(Personnel[Egtim durumu],$K271),"")</f>
        <v>Dil egitimi tamamlandi sinavdan gecti</v>
      </c>
      <c r="H271" s="17" t="str">
        <f>IFERROR(INDEX(Personnel[Shohruh Not],$K271),"")</f>
        <v>-</v>
      </c>
      <c r="I271" s="22">
        <f ca="1">IFERROR(INDEX(Personnel[Дней в РФ],$K271),"")</f>
        <v>94</v>
      </c>
      <c r="K271" s="23">
        <f t="array" ref="K271">IFERROR(_xlfn.AGGREGATE(15,6,(ROW(Personnel[Egtim durumu])-MIN(ROW(Personnel[Egtim durumu]))+1)/((Personnel[Egtim durumu]="Dil egitimi tamamlandi sinavdan gecti")),ROWS($K$7:K271)),"")</f>
        <v>331</v>
      </c>
    </row>
    <row r="272" spans="1:11" x14ac:dyDescent="0.25">
      <c r="A272" s="40">
        <f>IFERROR(INDEX(Personnel[Sicil],$K272),"")</f>
        <v>643893</v>
      </c>
      <c r="B272" s="41" t="str">
        <f>IFERROR(INDEX(Personnel[Adi Soyadi],$K272),"")</f>
        <v>Солиев Илёсбек Зиядилло Угли</v>
      </c>
      <c r="C272" s="40" t="str">
        <f>IFERROR(INDEX(Personnel[Vatandaslik],$K272),"")</f>
        <v>УЗБЕКИСТАН</v>
      </c>
      <c r="D272" s="40" t="str">
        <f>IFERROR(INDEX(Personnel[Santiye],$K272),"")</f>
        <v>GPP Proje</v>
      </c>
      <c r="E272" s="40" t="str">
        <f>IFERROR(INDEX(Personnel[Ogretmen],$K272),"")</f>
        <v>Tyulina Natalya</v>
      </c>
      <c r="F272" s="41" t="str">
        <f>IFERROR(INDEX(Personnel[[Sinav ]],$K272),"")</f>
        <v>29.05.2026 Sineva gitti gecdi</v>
      </c>
      <c r="G272" s="41" t="str">
        <f>IFERROR(INDEX(Personnel[Egtim durumu],$K272),"")</f>
        <v>Dil egitimi tamamlandi sinavdan gecti</v>
      </c>
      <c r="H272" s="41" t="str">
        <f>IFERROR(INDEX(Personnel[Shohruh Not],$K272),"")</f>
        <v>-</v>
      </c>
      <c r="I272" s="42">
        <f ca="1">IFERROR(INDEX(Personnel[Дней в РФ],$K272),"")</f>
        <v>94</v>
      </c>
      <c r="K272" s="23">
        <f t="array" ref="K272">IFERROR(_xlfn.AGGREGATE(15,6,(ROW(Personnel[Egtim durumu])-MIN(ROW(Personnel[Egtim durumu]))+1)/((Personnel[Egtim durumu]="Dil egitimi tamamlandi sinavdan gecti")),ROWS($K$7:K272)),"")</f>
        <v>332</v>
      </c>
    </row>
    <row r="273" spans="1:11" x14ac:dyDescent="0.25">
      <c r="A273" s="18">
        <f>IFERROR(INDEX(Personnel[Sicil],$K273),"")</f>
        <v>616029</v>
      </c>
      <c r="B273" s="17" t="str">
        <f>IFERROR(INDEX(Personnel[Adi Soyadi],$K273),"")</f>
        <v>Худойкулов Низом Маматович</v>
      </c>
      <c r="C273" s="18" t="str">
        <f>IFERROR(INDEX(Personnel[Vatandaslik],$K273),"")</f>
        <v>УЗБЕКИСТАН</v>
      </c>
      <c r="D273" s="18" t="str">
        <f>IFERROR(INDEX(Personnel[Santiye],$K273),"")</f>
        <v>GPP Proje</v>
      </c>
      <c r="E273" s="18" t="str">
        <f>IFERROR(INDEX(Personnel[Ogretmen],$K273),"")</f>
        <v>Tyulina Natalya</v>
      </c>
      <c r="F273" s="17" t="str">
        <f>IFERROR(INDEX(Personnel[[Sinav ]],$K273),"")</f>
        <v>29.05.2026 Sineva gitti gecdi</v>
      </c>
      <c r="G273" s="17" t="str">
        <f>IFERROR(INDEX(Personnel[Egtim durumu],$K273),"")</f>
        <v>Dil egitimi tamamlandi sinavdan gecti</v>
      </c>
      <c r="H273" s="17" t="str">
        <f>IFERROR(INDEX(Personnel[Shohruh Not],$K273),"")</f>
        <v>-</v>
      </c>
      <c r="I273" s="22">
        <f ca="1">IFERROR(INDEX(Personnel[Дней в РФ],$K273),"")</f>
        <v>104</v>
      </c>
      <c r="K273" s="23">
        <f t="array" ref="K273">IFERROR(_xlfn.AGGREGATE(15,6,(ROW(Personnel[Egtim durumu])-MIN(ROW(Personnel[Egtim durumu]))+1)/((Personnel[Egtim durumu]="Dil egitimi tamamlandi sinavdan gecti")),ROWS($K$7:K273)),"")</f>
        <v>333</v>
      </c>
    </row>
    <row r="274" spans="1:11" ht="38.25" x14ac:dyDescent="0.25">
      <c r="A274" s="40">
        <f>IFERROR(INDEX(Personnel[Sicil],$K274),"")</f>
        <v>642439</v>
      </c>
      <c r="B274" s="41" t="str">
        <f>IFERROR(INDEX(Personnel[Adi Soyadi],$K274),"")</f>
        <v>Гурбанов Тогрул Акшин Оглы</v>
      </c>
      <c r="C274" s="40" t="str">
        <f>IFERROR(INDEX(Personnel[Vatandaslik],$K274),"")</f>
        <v>АЗЕРБАЙДЖАН</v>
      </c>
      <c r="D274" s="40" t="str">
        <f>IFERROR(INDEX(Personnel[Santiye],$K274),"")</f>
        <v>GPP Proje</v>
      </c>
      <c r="E274" s="40" t="str">
        <f>IFERROR(INDEX(Personnel[Ogretmen],$K274),"")</f>
        <v>Tyulina Natalya</v>
      </c>
      <c r="F274" s="41" t="str">
        <f>IFERROR(INDEX(Personnel[[Sinav ]],$K274),"")</f>
        <v>Ic testimizden gecemiyor(27.05.2026 egitime alindi) / 03.06.2026 sineva gitti gecdi</v>
      </c>
      <c r="G274" s="41" t="str">
        <f>IFERROR(INDEX(Personnel[Egtim durumu],$K274),"")</f>
        <v>Dil egitimi tamamlandi sinavdan gecti</v>
      </c>
      <c r="H274" s="41" t="str">
        <f>IFERROR(INDEX(Personnel[Shohruh Not],$K274),"")</f>
        <v>-</v>
      </c>
      <c r="I274" s="40" t="str">
        <f ca="1">IFERROR(INDEX(Personnel[Дней в РФ],$K274),"")</f>
        <v>-</v>
      </c>
      <c r="K274" s="23">
        <f t="array" ref="K274">IFERROR(_xlfn.AGGREGATE(15,6,(ROW(Personnel[Egtim durumu])-MIN(ROW(Personnel[Egtim durumu]))+1)/((Personnel[Egtim durumu]="Dil egitimi tamamlandi sinavdan gecti")),ROWS($K$7:K274)),"")</f>
        <v>334</v>
      </c>
    </row>
    <row r="275" spans="1:11" x14ac:dyDescent="0.25">
      <c r="A275" s="18">
        <f>IFERROR(INDEX(Personnel[Sicil],$K275),"")</f>
        <v>643944</v>
      </c>
      <c r="B275" s="17" t="str">
        <f>IFERROR(INDEX(Personnel[Adi Soyadi],$K275),"")</f>
        <v xml:space="preserve">Хужаназаров Дониёр Сабурбай Угли </v>
      </c>
      <c r="C275" s="18" t="str">
        <f>IFERROR(INDEX(Personnel[Vatandaslik],$K275),"")</f>
        <v>УЗБЕКИСТАН</v>
      </c>
      <c r="D275" s="18" t="str">
        <f>IFERROR(INDEX(Personnel[Santiye],$K275),"")</f>
        <v>GPP Proje</v>
      </c>
      <c r="E275" s="18" t="str">
        <f>IFERROR(INDEX(Personnel[Ogretmen],$K275),"")</f>
        <v xml:space="preserve">Ziazetdinov Arslan </v>
      </c>
      <c r="F275" s="17" t="str">
        <f>IFERROR(INDEX(Personnel[[Sinav ]],$K275),"")</f>
        <v>05.06.2026 Sineva gitti gecdi</v>
      </c>
      <c r="G275" s="17" t="str">
        <f>IFERROR(INDEX(Personnel[Egtim durumu],$K275),"")</f>
        <v>Dil egitimi tamamlandi sinavdan gecti</v>
      </c>
      <c r="H275" s="17" t="str">
        <f>IFERROR(INDEX(Personnel[Shohruh Not],$K275),"")</f>
        <v>-</v>
      </c>
      <c r="I275" s="22">
        <f ca="1">IFERROR(INDEX(Personnel[Дней в РФ],$K275),"")</f>
        <v>89</v>
      </c>
      <c r="K275" s="23">
        <f t="array" ref="K275">IFERROR(_xlfn.AGGREGATE(15,6,(ROW(Personnel[Egtim durumu])-MIN(ROW(Personnel[Egtim durumu]))+1)/((Personnel[Egtim durumu]="Dil egitimi tamamlandi sinavdan gecti")),ROWS($K$7:K275)),"")</f>
        <v>335</v>
      </c>
    </row>
    <row r="276" spans="1:11" x14ac:dyDescent="0.25">
      <c r="A276" s="40">
        <f>IFERROR(INDEX(Personnel[Sicil],$K276),"")</f>
        <v>634092</v>
      </c>
      <c r="B276" s="41" t="str">
        <f>IFERROR(INDEX(Personnel[Adi Soyadi],$K276),"")</f>
        <v>Абдуллаев Шерали Худайбердиевич</v>
      </c>
      <c r="C276" s="40" t="str">
        <f>IFERROR(INDEX(Personnel[Vatandaslik],$K276),"")</f>
        <v>УЗБЕКИСТАН</v>
      </c>
      <c r="D276" s="40" t="str">
        <f>IFERROR(INDEX(Personnel[Santiye],$K276),"")</f>
        <v>GPP Proje</v>
      </c>
      <c r="E276" s="40" t="str">
        <f>IFERROR(INDEX(Personnel[Ogretmen],$K276),"")</f>
        <v xml:space="preserve">Ziazetdinov Arslan </v>
      </c>
      <c r="F276" s="41" t="str">
        <f>IFERROR(INDEX(Personnel[[Sinav ]],$K276),"")</f>
        <v>05.06.2026 Sineva gitti gecdi</v>
      </c>
      <c r="G276" s="41" t="str">
        <f>IFERROR(INDEX(Personnel[Egtim durumu],$K276),"")</f>
        <v>Dil egitimi tamamlandi sinavdan gecti</v>
      </c>
      <c r="H276" s="41" t="str">
        <f>IFERROR(INDEX(Personnel[Shohruh Not],$K276),"")</f>
        <v>-</v>
      </c>
      <c r="I276" s="42">
        <f ca="1">IFERROR(INDEX(Personnel[Дней в РФ],$K276),"")</f>
        <v>429</v>
      </c>
      <c r="K276" s="23">
        <f t="array" ref="K276">IFERROR(_xlfn.AGGREGATE(15,6,(ROW(Personnel[Egtim durumu])-MIN(ROW(Personnel[Egtim durumu]))+1)/((Personnel[Egtim durumu]="Dil egitimi tamamlandi sinavdan gecti")),ROWS($K$7:K276)),"")</f>
        <v>336</v>
      </c>
    </row>
    <row r="277" spans="1:11" ht="25.5" x14ac:dyDescent="0.25">
      <c r="A277" s="18">
        <f>IFERROR(INDEX(Personnel[Sicil],$K277),"")</f>
        <v>579322</v>
      </c>
      <c r="B277" s="17" t="str">
        <f>IFERROR(INDEX(Personnel[Adi Soyadi],$K277),"")</f>
        <v>Дусмаматов Жураназар Эшкурбон Угли</v>
      </c>
      <c r="C277" s="18" t="str">
        <f>IFERROR(INDEX(Personnel[Vatandaslik],$K277),"")</f>
        <v>УЗБЕКИСТАН</v>
      </c>
      <c r="D277" s="18" t="str">
        <f>IFERROR(INDEX(Personnel[Santiye],$K277),"")</f>
        <v>GPP Proje</v>
      </c>
      <c r="E277" s="18" t="str">
        <f>IFERROR(INDEX(Personnel[Ogretmen],$K277),"")</f>
        <v xml:space="preserve">Ziazetdinov Arslan </v>
      </c>
      <c r="F277" s="17" t="str">
        <f>IFERROR(INDEX(Personnel[[Sinav ]],$K277),"")</f>
        <v>05.06.2026 Sineva gitti gecdi</v>
      </c>
      <c r="G277" s="17" t="str">
        <f>IFERROR(INDEX(Personnel[Egtim durumu],$K277),"")</f>
        <v>Dil egitimi tamamlandi sinavdan gecti</v>
      </c>
      <c r="H277" s="17" t="str">
        <f>IFERROR(INDEX(Personnel[Shohruh Not],$K277),"")</f>
        <v>-</v>
      </c>
      <c r="I277" s="22">
        <f ca="1">IFERROR(INDEX(Personnel[Дней в РФ],$K277),"")</f>
        <v>436</v>
      </c>
      <c r="K277" s="23">
        <f t="array" ref="K277">IFERROR(_xlfn.AGGREGATE(15,6,(ROW(Personnel[Egtim durumu])-MIN(ROW(Personnel[Egtim durumu]))+1)/((Personnel[Egtim durumu]="Dil egitimi tamamlandi sinavdan gecti")),ROWS($K$7:K277)),"")</f>
        <v>337</v>
      </c>
    </row>
    <row r="278" spans="1:11" ht="25.5" x14ac:dyDescent="0.25">
      <c r="A278" s="40">
        <f>IFERROR(INDEX(Personnel[Sicil],$K278),"")</f>
        <v>595134</v>
      </c>
      <c r="B278" s="41" t="str">
        <f>IFERROR(INDEX(Personnel[Adi Soyadi],$K278),"")</f>
        <v>Гойибова Гулзодахон Бурхоновна</v>
      </c>
      <c r="C278" s="40" t="str">
        <f>IFERROR(INDEX(Personnel[Vatandaslik],$K278),"")</f>
        <v>УЗБЕКИСТАН</v>
      </c>
      <c r="D278" s="40" t="str">
        <f>IFERROR(INDEX(Personnel[Santiye],$K278),"")</f>
        <v>GPP Proje</v>
      </c>
      <c r="E278" s="40" t="str">
        <f>IFERROR(INDEX(Personnel[Ogretmen],$K278),"")</f>
        <v xml:space="preserve">Ziazetdinov Arslan </v>
      </c>
      <c r="F278" s="41" t="str">
        <f>IFERROR(INDEX(Personnel[[Sinav ]],$K278),"")</f>
        <v>10.06.2026 Sineva gitti gecdi</v>
      </c>
      <c r="G278" s="41" t="str">
        <f>IFERROR(INDEX(Personnel[Egtim durumu],$K278),"")</f>
        <v>Dil egitimi tamamlandi sinavdan gecti</v>
      </c>
      <c r="H278" s="41" t="str">
        <f>IFERROR(INDEX(Personnel[Shohruh Not],$K278),"")</f>
        <v xml:space="preserve"> Tarih 01.05.2026 Kendisi petere gitmis</v>
      </c>
      <c r="I278" s="42">
        <f ca="1">IFERROR(INDEX(Personnel[Дней в РФ],$K278),"")</f>
        <v>437</v>
      </c>
      <c r="K278" s="23">
        <f t="array" ref="K278">IFERROR(_xlfn.AGGREGATE(15,6,(ROW(Personnel[Egtim durumu])-MIN(ROW(Personnel[Egtim durumu]))+1)/((Personnel[Egtim durumu]="Dil egitimi tamamlandi sinavdan gecti")),ROWS($K$7:K278)),"")</f>
        <v>338</v>
      </c>
    </row>
    <row r="279" spans="1:11" x14ac:dyDescent="0.25">
      <c r="A279" s="18">
        <f>IFERROR(INDEX(Personnel[Sicil],$K279),"")</f>
        <v>644004</v>
      </c>
      <c r="B279" s="17" t="str">
        <f>IFERROR(INDEX(Personnel[Adi Soyadi],$K279),"")</f>
        <v>Жахонов Диёрбек Нусратилло Угли</v>
      </c>
      <c r="C279" s="18" t="str">
        <f>IFERROR(INDEX(Personnel[Vatandaslik],$K279),"")</f>
        <v>УЗБЕКИСТАН</v>
      </c>
      <c r="D279" s="18" t="str">
        <f>IFERROR(INDEX(Personnel[Santiye],$K279),"")</f>
        <v>GPP Proje</v>
      </c>
      <c r="E279" s="18" t="str">
        <f>IFERROR(INDEX(Personnel[Ogretmen],$K279),"")</f>
        <v xml:space="preserve">Ziazetdinov Arslan </v>
      </c>
      <c r="F279" s="17" t="str">
        <f>IFERROR(INDEX(Personnel[[Sinav ]],$K279),"")</f>
        <v>03.06.2026 Sineva gitti gecdi</v>
      </c>
      <c r="G279" s="17" t="str">
        <f>IFERROR(INDEX(Personnel[Egtim durumu],$K279),"")</f>
        <v>Dil egitimi tamamlandi sinavdan gecti</v>
      </c>
      <c r="H279" s="17" t="str">
        <f>IFERROR(INDEX(Personnel[Shohruh Not],$K279),"")</f>
        <v>-</v>
      </c>
      <c r="I279" s="22">
        <f ca="1">IFERROR(INDEX(Personnel[Дней в РФ],$K279),"")</f>
        <v>90</v>
      </c>
      <c r="K279" s="23">
        <f t="array" ref="K279">IFERROR(_xlfn.AGGREGATE(15,6,(ROW(Personnel[Egtim durumu])-MIN(ROW(Personnel[Egtim durumu]))+1)/((Personnel[Egtim durumu]="Dil egitimi tamamlandi sinavdan gecti")),ROWS($K$7:K279)),"")</f>
        <v>340</v>
      </c>
    </row>
    <row r="280" spans="1:11" ht="25.5" x14ac:dyDescent="0.25">
      <c r="A280" s="40">
        <f>IFERROR(INDEX(Personnel[Sicil],$K280),"")</f>
        <v>601598</v>
      </c>
      <c r="B280" s="41" t="str">
        <f>IFERROR(INDEX(Personnel[Adi Soyadi],$K280),"")</f>
        <v>Каршибоев Отабек Улугбек Угли</v>
      </c>
      <c r="C280" s="40" t="str">
        <f>IFERROR(INDEX(Personnel[Vatandaslik],$K280),"")</f>
        <v>УЗБЕКИСТАН</v>
      </c>
      <c r="D280" s="40" t="str">
        <f>IFERROR(INDEX(Personnel[Santiye],$K280),"")</f>
        <v>GPP Proje</v>
      </c>
      <c r="E280" s="40" t="str">
        <f>IFERROR(INDEX(Personnel[Ogretmen],$K280),"")</f>
        <v xml:space="preserve">Ziazetdinov Arslan </v>
      </c>
      <c r="F280" s="41" t="str">
        <f>IFERROR(INDEX(Personnel[[Sinav ]],$K280),"")</f>
        <v>05.05.2026 Sineva gitti gecemedi / 10.06.2026 Sineva gitti gecdi</v>
      </c>
      <c r="G280" s="41" t="str">
        <f>IFERROR(INDEX(Personnel[Egtim durumu],$K280),"")</f>
        <v>Dil egitimi tamamlandi sinavdan gecti</v>
      </c>
      <c r="H280" s="41" t="str">
        <f>IFERROR(INDEX(Personnel[Shohruh Not],$K280),"")</f>
        <v xml:space="preserve">Tekrar egitime alinacak </v>
      </c>
      <c r="I280" s="42">
        <f ca="1">IFERROR(INDEX(Personnel[Дней в РФ],$K280),"")</f>
        <v>431</v>
      </c>
      <c r="K280" s="23">
        <f t="array" ref="K280">IFERROR(_xlfn.AGGREGATE(15,6,(ROW(Personnel[Egtim durumu])-MIN(ROW(Personnel[Egtim durumu]))+1)/((Personnel[Egtim durumu]="Dil egitimi tamamlandi sinavdan gecti")),ROWS($K$7:K280)),"")</f>
        <v>341</v>
      </c>
    </row>
    <row r="281" spans="1:11" x14ac:dyDescent="0.25">
      <c r="A281" s="18">
        <f>IFERROR(INDEX(Personnel[Sicil],$K281),"")</f>
        <v>643996</v>
      </c>
      <c r="B281" s="17" t="str">
        <f>IFERROR(INDEX(Personnel[Adi Soyadi],$K281),"")</f>
        <v>Келдиёров Шохзод Зафар Угли</v>
      </c>
      <c r="C281" s="18" t="str">
        <f>IFERROR(INDEX(Personnel[Vatandaslik],$K281),"")</f>
        <v>УЗБЕКИСТАН</v>
      </c>
      <c r="D281" s="18" t="str">
        <f>IFERROR(INDEX(Personnel[Santiye],$K281),"")</f>
        <v>GPP Proje</v>
      </c>
      <c r="E281" s="18" t="str">
        <f>IFERROR(INDEX(Personnel[Ogretmen],$K281),"")</f>
        <v xml:space="preserve">Ziazetdinov Arslan </v>
      </c>
      <c r="F281" s="17" t="str">
        <f>IFERROR(INDEX(Personnel[[Sinav ]],$K281),"")</f>
        <v>03.06.2026 Sineva gitti gecdi</v>
      </c>
      <c r="G281" s="17" t="str">
        <f>IFERROR(INDEX(Personnel[Egtim durumu],$K281),"")</f>
        <v>Dil egitimi tamamlandi sinavdan gecti</v>
      </c>
      <c r="H281" s="17" t="str">
        <f>IFERROR(INDEX(Personnel[Shohruh Not],$K281),"")</f>
        <v>-</v>
      </c>
      <c r="I281" s="22">
        <f ca="1">IFERROR(INDEX(Personnel[Дней в РФ],$K281),"")</f>
        <v>89</v>
      </c>
      <c r="K281" s="23">
        <f t="array" ref="K281">IFERROR(_xlfn.AGGREGATE(15,6,(ROW(Personnel[Egtim durumu])-MIN(ROW(Personnel[Egtim durumu]))+1)/((Personnel[Egtim durumu]="Dil egitimi tamamlandi sinavdan gecti")),ROWS($K$7:K281)),"")</f>
        <v>342</v>
      </c>
    </row>
    <row r="282" spans="1:11" ht="38.25" x14ac:dyDescent="0.25">
      <c r="A282" s="40">
        <f>IFERROR(INDEX(Personnel[Sicil],$K282),"")</f>
        <v>643989</v>
      </c>
      <c r="B282" s="41" t="str">
        <f>IFERROR(INDEX(Personnel[Adi Soyadi],$K282),"")</f>
        <v>Меликулов Нодир Кодирбердиевич</v>
      </c>
      <c r="C282" s="40" t="str">
        <f>IFERROR(INDEX(Personnel[Vatandaslik],$K282),"")</f>
        <v>УЗБЕКИСТАН</v>
      </c>
      <c r="D282" s="40" t="str">
        <f>IFERROR(INDEX(Personnel[Santiye],$K282),"")</f>
        <v>GPP Proje</v>
      </c>
      <c r="E282" s="40" t="str">
        <f>IFERROR(INDEX(Personnel[Ogretmen],$K282),"")</f>
        <v>Ziazetdinov Arslan / Ziazetdinov Arslan</v>
      </c>
      <c r="F282" s="41" t="str">
        <f>IFERROR(INDEX(Personnel[[Sinav ]],$K282),"")</f>
        <v>Ic testimizden gecemiyor (01.06.2026 egitime alindi)(09.06.2026 Sineva gitti gecdi)</v>
      </c>
      <c r="G282" s="41" t="str">
        <f>IFERROR(INDEX(Personnel[Egtim durumu],$K282),"")</f>
        <v>Dil egitimi tamamlandi sinavdan gecti</v>
      </c>
      <c r="H282" s="41" t="str">
        <f>IFERROR(INDEX(Personnel[Shohruh Not],$K282),"")</f>
        <v>-</v>
      </c>
      <c r="I282" s="42">
        <f ca="1">IFERROR(INDEX(Personnel[Дней в РФ],$K282),"")</f>
        <v>89</v>
      </c>
      <c r="K282" s="23">
        <f t="array" ref="K282">IFERROR(_xlfn.AGGREGATE(15,6,(ROW(Personnel[Egtim durumu])-MIN(ROW(Personnel[Egtim durumu]))+1)/((Personnel[Egtim durumu]="Dil egitimi tamamlandi sinavdan gecti")),ROWS($K$7:K282)),"")</f>
        <v>343</v>
      </c>
    </row>
    <row r="283" spans="1:11" x14ac:dyDescent="0.25">
      <c r="A283" s="18">
        <f>IFERROR(INDEX(Personnel[Sicil],$K283),"")</f>
        <v>268624</v>
      </c>
      <c r="B283" s="17" t="str">
        <f>IFERROR(INDEX(Personnel[Adi Soyadi],$K283),"")</f>
        <v>Янгибоев Икром Соатмурадович</v>
      </c>
      <c r="C283" s="18" t="str">
        <f>IFERROR(INDEX(Personnel[Vatandaslik],$K283),"")</f>
        <v>УЗБЕКИСТАН</v>
      </c>
      <c r="D283" s="18" t="str">
        <f>IFERROR(INDEX(Personnel[Santiye],$K283),"")</f>
        <v>GPP Proje</v>
      </c>
      <c r="E283" s="18" t="str">
        <f>IFERROR(INDEX(Personnel[Ogretmen],$K283),"")</f>
        <v xml:space="preserve">Ziazetdinov Arslan </v>
      </c>
      <c r="F283" s="17" t="str">
        <f>IFERROR(INDEX(Personnel[[Sinav ]],$K283),"")</f>
        <v>05.06.2026 Sineva gitti gecdi</v>
      </c>
      <c r="G283" s="17" t="str">
        <f>IFERROR(INDEX(Personnel[Egtim durumu],$K283),"")</f>
        <v>Dil egitimi tamamlandi sinavdan gecti</v>
      </c>
      <c r="H283" s="17" t="str">
        <f>IFERROR(INDEX(Personnel[Shohruh Not],$K283),"")</f>
        <v>-</v>
      </c>
      <c r="I283" s="22">
        <f ca="1">IFERROR(INDEX(Personnel[Дней в РФ],$K283),"")</f>
        <v>152</v>
      </c>
      <c r="K283" s="23">
        <f t="array" ref="K283">IFERROR(_xlfn.AGGREGATE(15,6,(ROW(Personnel[Egtim durumu])-MIN(ROW(Personnel[Egtim durumu]))+1)/((Personnel[Egtim durumu]="Dil egitimi tamamlandi sinavdan gecti")),ROWS($K$7:K283)),"")</f>
        <v>345</v>
      </c>
    </row>
    <row r="284" spans="1:11" ht="25.5" x14ac:dyDescent="0.25">
      <c r="A284" s="40">
        <f>IFERROR(INDEX(Personnel[Sicil],$K284),"")</f>
        <v>539284</v>
      </c>
      <c r="B284" s="41" t="str">
        <f>IFERROR(INDEX(Personnel[Adi Soyadi],$K284),"")</f>
        <v>Махмудов Одилжон Рахимжонович</v>
      </c>
      <c r="C284" s="40" t="str">
        <f>IFERROR(INDEX(Personnel[Vatandaslik],$K284),"")</f>
        <v>УЗБЕКИСТАН</v>
      </c>
      <c r="D284" s="40" t="str">
        <f>IFERROR(INDEX(Personnel[Santiye],$K284),"")</f>
        <v>GPP Proje</v>
      </c>
      <c r="E284" s="40" t="str">
        <f>IFERROR(INDEX(Personnel[Ogretmen],$K284),"")</f>
        <v xml:space="preserve">Ziazetdinov Arslan </v>
      </c>
      <c r="F284" s="41" t="str">
        <f>IFERROR(INDEX(Personnel[[Sinav ]],$K284),"")</f>
        <v>16.06.2026 Sineva gitti gecdi</v>
      </c>
      <c r="G284" s="41" t="str">
        <f>IFERROR(INDEX(Personnel[Egtim durumu],$K284),"")</f>
        <v>Dil egitimi tamamlandi sinavdan gecti</v>
      </c>
      <c r="H284" s="41" t="str">
        <f>IFERROR(INDEX(Personnel[Shohruh Not],$K284),"")</f>
        <v xml:space="preserve"> Tarih 10.06.2026 Sineve bilgi verildi gelmedi</v>
      </c>
      <c r="I284" s="42">
        <f ca="1">IFERROR(INDEX(Personnel[Дней в РФ],$K284),"")</f>
        <v>416</v>
      </c>
      <c r="K284" s="23">
        <f t="array" ref="K284">IFERROR(_xlfn.AGGREGATE(15,6,(ROW(Personnel[Egtim durumu])-MIN(ROW(Personnel[Egtim durumu]))+1)/((Personnel[Egtim durumu]="Dil egitimi tamamlandi sinavdan gecti")),ROWS($K$7:K284)),"")</f>
        <v>347</v>
      </c>
    </row>
    <row r="285" spans="1:11" x14ac:dyDescent="0.25">
      <c r="A285" s="18">
        <f>IFERROR(INDEX(Personnel[Sicil],$K285),"")</f>
        <v>433335</v>
      </c>
      <c r="B285" s="17" t="str">
        <f>IFERROR(INDEX(Personnel[Adi Soyadi],$K285),"")</f>
        <v>Аллаёров Хикматбек Ибрагимович</v>
      </c>
      <c r="C285" s="18" t="str">
        <f>IFERROR(INDEX(Personnel[Vatandaslik],$K285),"")</f>
        <v>УЗБЕКИСТАН</v>
      </c>
      <c r="D285" s="18" t="str">
        <f>IFERROR(INDEX(Personnel[Santiye],$K285),"")</f>
        <v>GPP Proje</v>
      </c>
      <c r="E285" s="18" t="str">
        <f>IFERROR(INDEX(Personnel[Ogretmen],$K285),"")</f>
        <v xml:space="preserve">Ziazetdinov Arslan </v>
      </c>
      <c r="F285" s="17" t="str">
        <f>IFERROR(INDEX(Personnel[[Sinav ]],$K285),"")</f>
        <v>05.06.2026 Sineva gitti gecdi</v>
      </c>
      <c r="G285" s="17" t="str">
        <f>IFERROR(INDEX(Personnel[Egtim durumu],$K285),"")</f>
        <v>Dil egitimi tamamlandi sinavdan gecti</v>
      </c>
      <c r="H285" s="17" t="str">
        <f>IFERROR(INDEX(Personnel[Shohruh Not],$K285),"")</f>
        <v>-</v>
      </c>
      <c r="I285" s="22">
        <f ca="1">IFERROR(INDEX(Personnel[Дней в РФ],$K285),"")</f>
        <v>404</v>
      </c>
      <c r="K285" s="23">
        <f t="array" ref="K285">IFERROR(_xlfn.AGGREGATE(15,6,(ROW(Personnel[Egtim durumu])-MIN(ROW(Personnel[Egtim durumu]))+1)/((Personnel[Egtim durumu]="Dil egitimi tamamlandi sinavdan gecti")),ROWS($K$7:K285)),"")</f>
        <v>348</v>
      </c>
    </row>
    <row r="286" spans="1:11" x14ac:dyDescent="0.25">
      <c r="A286" s="40">
        <f>IFERROR(INDEX(Personnel[Sicil],$K286),"")</f>
        <v>270142</v>
      </c>
      <c r="B286" s="41" t="str">
        <f>IFERROR(INDEX(Personnel[Adi Soyadi],$K286),"")</f>
        <v>Алмардонов Курбонмурод Чориевич</v>
      </c>
      <c r="C286" s="40" t="str">
        <f>IFERROR(INDEX(Personnel[Vatandaslik],$K286),"")</f>
        <v>УЗБЕКИСТАН</v>
      </c>
      <c r="D286" s="40" t="str">
        <f>IFERROR(INDEX(Personnel[Santiye],$K286),"")</f>
        <v>GPP Proje</v>
      </c>
      <c r="E286" s="40" t="str">
        <f>IFERROR(INDEX(Personnel[Ogretmen],$K286),"")</f>
        <v xml:space="preserve">Ziazetdinov Arslan </v>
      </c>
      <c r="F286" s="41" t="str">
        <f>IFERROR(INDEX(Personnel[[Sinav ]],$K286),"")</f>
        <v>05.06.2026 Sineva gitti gecdi</v>
      </c>
      <c r="G286" s="41" t="str">
        <f>IFERROR(INDEX(Personnel[Egtim durumu],$K286),"")</f>
        <v>Dil egitimi tamamlandi sinavdan gecti</v>
      </c>
      <c r="H286" s="41" t="str">
        <f>IFERROR(INDEX(Personnel[Shohruh Not],$K286),"")</f>
        <v>-</v>
      </c>
      <c r="I286" s="42">
        <f ca="1">IFERROR(INDEX(Personnel[Дней в РФ],$K286),"")</f>
        <v>415</v>
      </c>
      <c r="K286" s="23">
        <f t="array" ref="K286">IFERROR(_xlfn.AGGREGATE(15,6,(ROW(Personnel[Egtim durumu])-MIN(ROW(Personnel[Egtim durumu]))+1)/((Personnel[Egtim durumu]="Dil egitimi tamamlandi sinavdan gecti")),ROWS($K$7:K286)),"")</f>
        <v>349</v>
      </c>
    </row>
    <row r="287" spans="1:11" x14ac:dyDescent="0.25">
      <c r="A287" s="18">
        <f>IFERROR(INDEX(Personnel[Sicil],$K287),"")</f>
        <v>644022</v>
      </c>
      <c r="B287" s="17" t="str">
        <f>IFERROR(INDEX(Personnel[Adi Soyadi],$K287),"")</f>
        <v>Амиркулов Асадбек Баходир Угли</v>
      </c>
      <c r="C287" s="18" t="str">
        <f>IFERROR(INDEX(Personnel[Vatandaslik],$K287),"")</f>
        <v>УЗБЕКИСТАН</v>
      </c>
      <c r="D287" s="18" t="str">
        <f>IFERROR(INDEX(Personnel[Santiye],$K287),"")</f>
        <v>GPP Proje</v>
      </c>
      <c r="E287" s="18" t="str">
        <f>IFERROR(INDEX(Personnel[Ogretmen],$K287),"")</f>
        <v xml:space="preserve">Ziazetdinov Arslan </v>
      </c>
      <c r="F287" s="17" t="str">
        <f>IFERROR(INDEX(Personnel[[Sinav ]],$K287),"")</f>
        <v>05.06.2026 Sineva gitti gecdi</v>
      </c>
      <c r="G287" s="17" t="str">
        <f>IFERROR(INDEX(Personnel[Egtim durumu],$K287),"")</f>
        <v>Dil egitimi tamamlandi sinavdan gecti</v>
      </c>
      <c r="H287" s="17" t="str">
        <f>IFERROR(INDEX(Personnel[Shohruh Not],$K287),"")</f>
        <v>-</v>
      </c>
      <c r="I287" s="22">
        <f ca="1">IFERROR(INDEX(Personnel[Дней в РФ],$K287),"")</f>
        <v>88</v>
      </c>
      <c r="K287" s="23">
        <f t="array" ref="K287">IFERROR(_xlfn.AGGREGATE(15,6,(ROW(Personnel[Egtim durumu])-MIN(ROW(Personnel[Egtim durumu]))+1)/((Personnel[Egtim durumu]="Dil egitimi tamamlandi sinavdan gecti")),ROWS($K$7:K287)),"")</f>
        <v>350</v>
      </c>
    </row>
    <row r="288" spans="1:11" x14ac:dyDescent="0.25">
      <c r="A288" s="40">
        <f>IFERROR(INDEX(Personnel[Sicil],$K288),"")</f>
        <v>457435</v>
      </c>
      <c r="B288" s="41" t="str">
        <f>IFERROR(INDEX(Personnel[Adi Soyadi],$K288),"")</f>
        <v>Амиркулов Маруф Махаммади угли</v>
      </c>
      <c r="C288" s="40" t="str">
        <f>IFERROR(INDEX(Personnel[Vatandaslik],$K288),"")</f>
        <v>УЗБЕКИСТАН</v>
      </c>
      <c r="D288" s="40" t="str">
        <f>IFERROR(INDEX(Personnel[Santiye],$K288),"")</f>
        <v>GPP Proje</v>
      </c>
      <c r="E288" s="40" t="str">
        <f>IFERROR(INDEX(Personnel[Ogretmen],$K288),"")</f>
        <v xml:space="preserve">Ziazetdinov Arslan </v>
      </c>
      <c r="F288" s="41" t="str">
        <f>IFERROR(INDEX(Personnel[[Sinav ]],$K288),"")</f>
        <v>05.06.2026 Sineva gitti gecdi</v>
      </c>
      <c r="G288" s="41" t="str">
        <f>IFERROR(INDEX(Personnel[Egtim durumu],$K288),"")</f>
        <v>Dil egitimi tamamlandi sinavdan gecti</v>
      </c>
      <c r="H288" s="41" t="str">
        <f>IFERROR(INDEX(Personnel[Shohruh Not],$K288),"")</f>
        <v>-</v>
      </c>
      <c r="I288" s="42">
        <f ca="1">IFERROR(INDEX(Personnel[Дней в РФ],$K288),"")</f>
        <v>427</v>
      </c>
      <c r="K288" s="23">
        <f t="array" ref="K288">IFERROR(_xlfn.AGGREGATE(15,6,(ROW(Personnel[Egtim durumu])-MIN(ROW(Personnel[Egtim durumu]))+1)/((Personnel[Egtim durumu]="Dil egitimi tamamlandi sinavdan gecti")),ROWS($K$7:K288)),"")</f>
        <v>351</v>
      </c>
    </row>
    <row r="289" spans="1:11" x14ac:dyDescent="0.25">
      <c r="A289" s="18">
        <f>IFERROR(INDEX(Personnel[Sicil],$K289),"")</f>
        <v>547986</v>
      </c>
      <c r="B289" s="17" t="str">
        <f>IFERROR(INDEX(Personnel[Adi Soyadi],$K289),"")</f>
        <v>Гаффорова Шохиста Баходир Кизи</v>
      </c>
      <c r="C289" s="18" t="str">
        <f>IFERROR(INDEX(Personnel[Vatandaslik],$K289),"")</f>
        <v>УЗБЕКИСТАН</v>
      </c>
      <c r="D289" s="18" t="str">
        <f>IFERROR(INDEX(Personnel[Santiye],$K289),"")</f>
        <v>GPP Proje</v>
      </c>
      <c r="E289" s="18" t="str">
        <f>IFERROR(INDEX(Personnel[Ogretmen],$K289),"")</f>
        <v xml:space="preserve">Ziazetdinov Arslan </v>
      </c>
      <c r="F289" s="17" t="str">
        <f>IFERROR(INDEX(Personnel[[Sinav ]],$K289),"")</f>
        <v>03.06.2026 Sineva gitti gecdi</v>
      </c>
      <c r="G289" s="17" t="str">
        <f>IFERROR(INDEX(Personnel[Egtim durumu],$K289),"")</f>
        <v>Dil egitimi tamamlandi sinavdan gecti</v>
      </c>
      <c r="H289" s="17" t="str">
        <f>IFERROR(INDEX(Personnel[Shohruh Not],$K289),"")</f>
        <v>-</v>
      </c>
      <c r="I289" s="22">
        <f ca="1">IFERROR(INDEX(Personnel[Дней в РФ],$K289),"")</f>
        <v>426</v>
      </c>
      <c r="K289" s="23">
        <f t="array" ref="K289">IFERROR(_xlfn.AGGREGATE(15,6,(ROW(Personnel[Egtim durumu])-MIN(ROW(Personnel[Egtim durumu]))+1)/((Personnel[Egtim durumu]="Dil egitimi tamamlandi sinavdan gecti")),ROWS($K$7:K289)),"")</f>
        <v>352</v>
      </c>
    </row>
    <row r="290" spans="1:11" ht="25.5" x14ac:dyDescent="0.25">
      <c r="A290" s="40">
        <f>IFERROR(INDEX(Personnel[Sicil],$K290),"")</f>
        <v>634211</v>
      </c>
      <c r="B290" s="41" t="str">
        <f>IFERROR(INDEX(Personnel[Adi Soyadi],$K290),"")</f>
        <v>Каршиев Бахтиёр Шоди Угли</v>
      </c>
      <c r="C290" s="40" t="str">
        <f>IFERROR(INDEX(Personnel[Vatandaslik],$K290),"")</f>
        <v>УЗБЕКИСТАН</v>
      </c>
      <c r="D290" s="40" t="str">
        <f>IFERROR(INDEX(Personnel[Santiye],$K290),"")</f>
        <v>GPP Proje</v>
      </c>
      <c r="E290" s="40" t="str">
        <f>IFERROR(INDEX(Personnel[Ogretmen],$K290),"")</f>
        <v>-</v>
      </c>
      <c r="F290" s="41" t="str">
        <f>IFERROR(INDEX(Personnel[[Sinav ]],$K290),"")</f>
        <v>10.06.2026 Sineva gitti gecdi</v>
      </c>
      <c r="G290" s="41" t="str">
        <f>IFERROR(INDEX(Personnel[Egtim durumu],$K290),"")</f>
        <v>Dil egitimi tamamlandi sinavdan gecti</v>
      </c>
      <c r="H290" s="41" t="str">
        <f>IFERROR(INDEX(Personnel[Shohruh Not],$K290),"")</f>
        <v xml:space="preserve"> Tarih 01.06.2026 Bilgi verildi gelmedi</v>
      </c>
      <c r="I290" s="42">
        <f ca="1">IFERROR(INDEX(Personnel[Дней в РФ],$K290),"")</f>
        <v>421</v>
      </c>
      <c r="K290" s="23">
        <f t="array" ref="K290">IFERROR(_xlfn.AGGREGATE(15,6,(ROW(Personnel[Egtim durumu])-MIN(ROW(Personnel[Egtim durumu]))+1)/((Personnel[Egtim durumu]="Dil egitimi tamamlandi sinavdan gecti")),ROWS($K$7:K290)),"")</f>
        <v>353</v>
      </c>
    </row>
    <row r="291" spans="1:11" x14ac:dyDescent="0.25">
      <c r="A291" s="18">
        <f>IFERROR(INDEX(Personnel[Sicil],$K291),"")</f>
        <v>534793</v>
      </c>
      <c r="B291" s="17" t="str">
        <f>IFERROR(INDEX(Personnel[Adi Soyadi],$K291),"")</f>
        <v>Маммадли Гейсар Намиг оглы</v>
      </c>
      <c r="C291" s="18" t="str">
        <f>IFERROR(INDEX(Personnel[Vatandaslik],$K291),"")</f>
        <v>АЗЕРБАЙДЖАН</v>
      </c>
      <c r="D291" s="18" t="str">
        <f>IFERROR(INDEX(Personnel[Santiye],$K291),"")</f>
        <v>GPP Proje</v>
      </c>
      <c r="E291" s="18" t="str">
        <f>IFERROR(INDEX(Personnel[Ogretmen],$K291),"")</f>
        <v xml:space="preserve">Ziazetdinov Arslan </v>
      </c>
      <c r="F291" s="17" t="str">
        <f>IFERROR(INDEX(Personnel[[Sinav ]],$K291),"")</f>
        <v>05.06.2026 Sineva gitti gecdi</v>
      </c>
      <c r="G291" s="17" t="str">
        <f>IFERROR(INDEX(Personnel[Egtim durumu],$K291),"")</f>
        <v>Dil egitimi tamamlandi sinavdan gecti</v>
      </c>
      <c r="H291" s="17" t="str">
        <f>IFERROR(INDEX(Personnel[Shohruh Not],$K291),"")</f>
        <v>-</v>
      </c>
      <c r="I291" s="22">
        <f ca="1">IFERROR(INDEX(Personnel[Дней в РФ],$K291),"")</f>
        <v>132</v>
      </c>
      <c r="K291" s="23">
        <f t="array" ref="K291">IFERROR(_xlfn.AGGREGATE(15,6,(ROW(Personnel[Egtim durumu])-MIN(ROW(Personnel[Egtim durumu]))+1)/((Personnel[Egtim durumu]="Dil egitimi tamamlandi sinavdan gecti")),ROWS($K$7:K291)),"")</f>
        <v>355</v>
      </c>
    </row>
    <row r="292" spans="1:11" x14ac:dyDescent="0.25">
      <c r="A292" s="40">
        <f>IFERROR(INDEX(Personnel[Sicil],$K292),"")</f>
        <v>262919</v>
      </c>
      <c r="B292" s="41" t="str">
        <f>IFERROR(INDEX(Personnel[Adi Soyadi],$K292),"")</f>
        <v>Назаров Кувондик Кадамович</v>
      </c>
      <c r="C292" s="40" t="str">
        <f>IFERROR(INDEX(Personnel[Vatandaslik],$K292),"")</f>
        <v>УЗБЕКИСТАН</v>
      </c>
      <c r="D292" s="40" t="str">
        <f>IFERROR(INDEX(Personnel[Santiye],$K292),"")</f>
        <v>GPP Proje</v>
      </c>
      <c r="E292" s="40" t="str">
        <f>IFERROR(INDEX(Personnel[Ogretmen],$K292),"")</f>
        <v xml:space="preserve">Ziazetdinov Arslan </v>
      </c>
      <c r="F292" s="41" t="str">
        <f>IFERROR(INDEX(Personnel[[Sinav ]],$K292),"")</f>
        <v>05.06.2026 Sineva gitti gecdi</v>
      </c>
      <c r="G292" s="41" t="str">
        <f>IFERROR(INDEX(Personnel[Egtim durumu],$K292),"")</f>
        <v>Dil egitimi tamamlandi sinavdan gecti</v>
      </c>
      <c r="H292" s="41" t="str">
        <f>IFERROR(INDEX(Personnel[Shohruh Not],$K292),"")</f>
        <v>-</v>
      </c>
      <c r="I292" s="42">
        <f ca="1">IFERROR(INDEX(Personnel[Дней в РФ],$K292),"")</f>
        <v>248</v>
      </c>
      <c r="K292" s="23">
        <f t="array" ref="K292">IFERROR(_xlfn.AGGREGATE(15,6,(ROW(Personnel[Egtim durumu])-MIN(ROW(Personnel[Egtim durumu]))+1)/((Personnel[Egtim durumu]="Dil egitimi tamamlandi sinavdan gecti")),ROWS($K$7:K292)),"")</f>
        <v>356</v>
      </c>
    </row>
    <row r="293" spans="1:11" ht="25.5" x14ac:dyDescent="0.25">
      <c r="A293" s="18">
        <f>IFERROR(INDEX(Personnel[Sicil],$K293),"")</f>
        <v>289562</v>
      </c>
      <c r="B293" s="17" t="str">
        <f>IFERROR(INDEX(Personnel[Adi Soyadi],$K293),"")</f>
        <v>Нурматов Муроджон Рустамджонович</v>
      </c>
      <c r="C293" s="18" t="str">
        <f>IFERROR(INDEX(Personnel[Vatandaslik],$K293),"")</f>
        <v>ТАДЖИКИСТАН</v>
      </c>
      <c r="D293" s="18" t="str">
        <f>IFERROR(INDEX(Personnel[Santiye],$K293),"")</f>
        <v>GPP Proje</v>
      </c>
      <c r="E293" s="18" t="str">
        <f>IFERROR(INDEX(Personnel[Ogretmen],$K293),"")</f>
        <v xml:space="preserve">Ziazetdinov Arslan </v>
      </c>
      <c r="F293" s="17" t="str">
        <f>IFERROR(INDEX(Personnel[[Sinav ]],$K293),"")</f>
        <v>10.06.2026 Sineva gitti gecdi</v>
      </c>
      <c r="G293" s="17" t="str">
        <f>IFERROR(INDEX(Personnel[Egtim durumu],$K293),"")</f>
        <v>Dil egitimi tamamlandi sinavdan gecti</v>
      </c>
      <c r="H293" s="17" t="str">
        <f>IFERROR(INDEX(Personnel[Shohruh Not],$K293),"")</f>
        <v>-</v>
      </c>
      <c r="I293" s="22">
        <f ca="1">IFERROR(INDEX(Personnel[Дней в РФ],$K293),"")</f>
        <v>419</v>
      </c>
      <c r="K293" s="23">
        <f t="array" ref="K293">IFERROR(_xlfn.AGGREGATE(15,6,(ROW(Personnel[Egtim durumu])-MIN(ROW(Personnel[Egtim durumu]))+1)/((Personnel[Egtim durumu]="Dil egitimi tamamlandi sinavdan gecti")),ROWS($K$7:K293)),"")</f>
        <v>357</v>
      </c>
    </row>
    <row r="294" spans="1:11" ht="25.5" x14ac:dyDescent="0.25">
      <c r="A294" s="40">
        <f>IFERROR(INDEX(Personnel[Sicil],$K294),"")</f>
        <v>644116</v>
      </c>
      <c r="B294" s="41" t="str">
        <f>IFERROR(INDEX(Personnel[Adi Soyadi],$K294),"")</f>
        <v>Абдиев Равшанбек Бобомурот Угли</v>
      </c>
      <c r="C294" s="40" t="str">
        <f>IFERROR(INDEX(Personnel[Vatandaslik],$K294),"")</f>
        <v>УЗБЕКИСТАН</v>
      </c>
      <c r="D294" s="40" t="str">
        <f>IFERROR(INDEX(Personnel[Santiye],$K294),"")</f>
        <v>GPP Proje</v>
      </c>
      <c r="E294" s="40" t="str">
        <f>IFERROR(INDEX(Personnel[Ogretmen],$K294),"")</f>
        <v>Ziazetdinov Arslan / Ziazetdinov Arslan</v>
      </c>
      <c r="F294" s="41" t="str">
        <f>IFERROR(INDEX(Personnel[[Sinav ]],$K294),"")</f>
        <v>09.06.2026 Sineva gitti gecemedi /19.06.2026 Sineva gitti gecdi</v>
      </c>
      <c r="G294" s="41" t="str">
        <f>IFERROR(INDEX(Personnel[Egtim durumu],$K294),"")</f>
        <v>Dil egitimi tamamlandi sinavdan gecti</v>
      </c>
      <c r="H294" s="41" t="str">
        <f>IFERROR(INDEX(Personnel[Shohruh Not],$K294),"")</f>
        <v>-</v>
      </c>
      <c r="I294" s="42">
        <f ca="1">IFERROR(INDEX(Personnel[Дней в РФ],$K294),"")</f>
        <v>85</v>
      </c>
      <c r="K294" s="23">
        <f t="array" ref="K294">IFERROR(_xlfn.AGGREGATE(15,6,(ROW(Personnel[Egtim durumu])-MIN(ROW(Personnel[Egtim durumu]))+1)/((Personnel[Egtim durumu]="Dil egitimi tamamlandi sinavdan gecti")),ROWS($K$7:K294)),"")</f>
        <v>359</v>
      </c>
    </row>
    <row r="295" spans="1:11" x14ac:dyDescent="0.25">
      <c r="A295" s="18">
        <f>IFERROR(INDEX(Personnel[Sicil],$K295),"")</f>
        <v>465563</v>
      </c>
      <c r="B295" s="17" t="str">
        <f>IFERROR(INDEX(Personnel[Adi Soyadi],$K295),"")</f>
        <v>Сапарбаев Гафур Исламбаевич</v>
      </c>
      <c r="C295" s="18" t="str">
        <f>IFERROR(INDEX(Personnel[Vatandaslik],$K295),"")</f>
        <v>УЗБЕКИСТАН</v>
      </c>
      <c r="D295" s="18" t="str">
        <f>IFERROR(INDEX(Personnel[Santiye],$K295),"")</f>
        <v>GPP Proje</v>
      </c>
      <c r="E295" s="18" t="str">
        <f>IFERROR(INDEX(Personnel[Ogretmen],$K295),"")</f>
        <v xml:space="preserve">Ziazetdinov Arslan </v>
      </c>
      <c r="F295" s="17" t="str">
        <f>IFERROR(INDEX(Personnel[[Sinav ]],$K295),"")</f>
        <v>10.06.2026 Sineva gitti gecdi</v>
      </c>
      <c r="G295" s="17" t="str">
        <f>IFERROR(INDEX(Personnel[Egtim durumu],$K295),"")</f>
        <v>Dil egitimi tamamlandi sinavdan gecti</v>
      </c>
      <c r="H295" s="17" t="str">
        <f>IFERROR(INDEX(Personnel[Shohruh Not],$K295),"")</f>
        <v>-</v>
      </c>
      <c r="I295" s="22">
        <f ca="1">IFERROR(INDEX(Personnel[Дней в РФ],$K295),"")</f>
        <v>407</v>
      </c>
      <c r="K295" s="23">
        <f t="array" ref="K295">IFERROR(_xlfn.AGGREGATE(15,6,(ROW(Personnel[Egtim durumu])-MIN(ROW(Personnel[Egtim durumu]))+1)/((Personnel[Egtim durumu]="Dil egitimi tamamlandi sinavdan gecti")),ROWS($K$7:K295)),"")</f>
        <v>360</v>
      </c>
    </row>
    <row r="296" spans="1:11" x14ac:dyDescent="0.25">
      <c r="A296" s="40">
        <f>IFERROR(INDEX(Personnel[Sicil],$K296),"")</f>
        <v>529422</v>
      </c>
      <c r="B296" s="41" t="str">
        <f>IFERROR(INDEX(Personnel[Adi Soyadi],$K296),"")</f>
        <v>Хуррамов Захириддин Хусан угли</v>
      </c>
      <c r="C296" s="40" t="str">
        <f>IFERROR(INDEX(Personnel[Vatandaslik],$K296),"")</f>
        <v>УЗБЕКИСТАН</v>
      </c>
      <c r="D296" s="40" t="str">
        <f>IFERROR(INDEX(Personnel[Santiye],$K296),"")</f>
        <v>GPP Proje</v>
      </c>
      <c r="E296" s="40" t="str">
        <f>IFERROR(INDEX(Personnel[Ogretmen],$K296),"")</f>
        <v xml:space="preserve">Ziazetdinov Arslan </v>
      </c>
      <c r="F296" s="41" t="str">
        <f>IFERROR(INDEX(Personnel[[Sinav ]],$K296),"")</f>
        <v>10.06.2026 Sineva gitti gecdi</v>
      </c>
      <c r="G296" s="41" t="str">
        <f>IFERROR(INDEX(Personnel[Egtim durumu],$K296),"")</f>
        <v>Dil egitimi tamamlandi sinavdan gecti</v>
      </c>
      <c r="H296" s="41" t="str">
        <f>IFERROR(INDEX(Personnel[Shohruh Not],$K296),"")</f>
        <v>-</v>
      </c>
      <c r="I296" s="42">
        <f ca="1">IFERROR(INDEX(Personnel[Дней в РФ],$K296),"")</f>
        <v>407</v>
      </c>
      <c r="K296" s="23">
        <f t="array" ref="K296">IFERROR(_xlfn.AGGREGATE(15,6,(ROW(Personnel[Egtim durumu])-MIN(ROW(Personnel[Egtim durumu]))+1)/((Personnel[Egtim durumu]="Dil egitimi tamamlandi sinavdan gecti")),ROWS($K$7:K296)),"")</f>
        <v>363</v>
      </c>
    </row>
    <row r="297" spans="1:11" x14ac:dyDescent="0.25">
      <c r="A297" s="18">
        <f>IFERROR(INDEX(Personnel[Sicil],$K297),"")</f>
        <v>608726</v>
      </c>
      <c r="B297" s="17" t="str">
        <f>IFERROR(INDEX(Personnel[Adi Soyadi],$K297),"")</f>
        <v>Сафарзода Суфинаботи Саъдулло</v>
      </c>
      <c r="C297" s="18" t="str">
        <f>IFERROR(INDEX(Personnel[Vatandaslik],$K297),"")</f>
        <v>ТАДЖИКИСТАН</v>
      </c>
      <c r="D297" s="18" t="str">
        <f>IFERROR(INDEX(Personnel[Santiye],$K297),"")</f>
        <v>GPP Proje</v>
      </c>
      <c r="E297" s="18" t="str">
        <f>IFERROR(INDEX(Personnel[Ogretmen],$K297),"")</f>
        <v xml:space="preserve">Ziazetdinov Arslan </v>
      </c>
      <c r="F297" s="17" t="str">
        <f>IFERROR(INDEX(Personnel[[Sinav ]],$K297),"")</f>
        <v>19.06.2026 Sineva gitti gecdi</v>
      </c>
      <c r="G297" s="17" t="str">
        <f>IFERROR(INDEX(Personnel[Egtim durumu],$K297),"")</f>
        <v>Dil egitimi tamamlandi sinavdan gecti</v>
      </c>
      <c r="H297" s="17" t="str">
        <f>IFERROR(INDEX(Personnel[Shohruh Not],$K297),"")</f>
        <v>-</v>
      </c>
      <c r="I297" s="22">
        <f ca="1">IFERROR(INDEX(Personnel[Дней в РФ],$K297),"")</f>
        <v>413</v>
      </c>
      <c r="K297" s="23">
        <f t="array" ref="K297">IFERROR(_xlfn.AGGREGATE(15,6,(ROW(Personnel[Egtim durumu])-MIN(ROW(Personnel[Egtim durumu]))+1)/((Personnel[Egtim durumu]="Dil egitimi tamamlandi sinavdan gecti")),ROWS($K$7:K297)),"")</f>
        <v>364</v>
      </c>
    </row>
    <row r="298" spans="1:11" x14ac:dyDescent="0.25">
      <c r="A298" s="40">
        <f>IFERROR(INDEX(Personnel[Sicil],$K298),"")</f>
        <v>614714</v>
      </c>
      <c r="B298" s="41" t="str">
        <f>IFERROR(INDEX(Personnel[Adi Soyadi],$K298),"")</f>
        <v>Эшкобилов Озодбек Панжи угли</v>
      </c>
      <c r="C298" s="40" t="str">
        <f>IFERROR(INDEX(Personnel[Vatandaslik],$K298),"")</f>
        <v>УЗБЕКИСТАН</v>
      </c>
      <c r="D298" s="40" t="str">
        <f>IFERROR(INDEX(Personnel[Santiye],$K298),"")</f>
        <v>Ust Luga Ana Kamp 1</v>
      </c>
      <c r="E298" s="40" t="str">
        <f>IFERROR(INDEX(Personnel[Ogretmen],$K298),"")</f>
        <v xml:space="preserve">Ziazetdinov Arslan </v>
      </c>
      <c r="F298" s="41" t="str">
        <f>IFERROR(INDEX(Personnel[[Sinav ]],$K298),"")</f>
        <v>10.06.2026 Sineva gitti gecdi</v>
      </c>
      <c r="G298" s="41" t="str">
        <f>IFERROR(INDEX(Personnel[Egtim durumu],$K298),"")</f>
        <v>Dil egitimi tamamlandi sinavdan gecti</v>
      </c>
      <c r="H298" s="41" t="str">
        <f>IFERROR(INDEX(Personnel[Shohruh Not],$K298),"")</f>
        <v>-</v>
      </c>
      <c r="I298" s="42">
        <f ca="1">IFERROR(INDEX(Personnel[Дней в РФ],$K298),"")</f>
        <v>805</v>
      </c>
      <c r="K298" s="23">
        <f t="array" ref="K298">IFERROR(_xlfn.AGGREGATE(15,6,(ROW(Personnel[Egtim durumu])-MIN(ROW(Personnel[Egtim durumu]))+1)/((Personnel[Egtim durumu]="Dil egitimi tamamlandi sinavdan gecti")),ROWS($K$7:K298)),"")</f>
        <v>365</v>
      </c>
    </row>
    <row r="299" spans="1:11" ht="25.5" x14ac:dyDescent="0.25">
      <c r="A299" s="18">
        <f>IFERROR(INDEX(Personnel[Sicil],$K299),"")</f>
        <v>260715</v>
      </c>
      <c r="B299" s="17" t="str">
        <f>IFERROR(INDEX(Personnel[Adi Soyadi],$K299),"")</f>
        <v>Якубов Умарбек Алимбаевич</v>
      </c>
      <c r="C299" s="18" t="str">
        <f>IFERROR(INDEX(Personnel[Vatandaslik],$K299),"")</f>
        <v>УЗБЕКИСТАН</v>
      </c>
      <c r="D299" s="18" t="str">
        <f>IFERROR(INDEX(Personnel[Santiye],$K299),"")</f>
        <v>Ust Luga Ana Kamp 1</v>
      </c>
      <c r="E299" s="18" t="str">
        <f>IFERROR(INDEX(Personnel[Ogretmen],$K299),"")</f>
        <v>Ziazetdinov Arslan / Ziazetdinov Arslan</v>
      </c>
      <c r="F299" s="17" t="str">
        <f>IFERROR(INDEX(Personnel[[Sinav ]],$K299),"")</f>
        <v>05.05.2026 Sineva gitti gecemedi / 10.06.2026 Sineva gitti gecdi</v>
      </c>
      <c r="G299" s="17" t="str">
        <f>IFERROR(INDEX(Personnel[Egtim durumu],$K299),"")</f>
        <v>Dil egitimi tamamlandi sinavdan gecti</v>
      </c>
      <c r="H299" s="17" t="str">
        <f>IFERROR(INDEX(Personnel[Shohruh Not],$K299),"")</f>
        <v>-</v>
      </c>
      <c r="I299" s="22">
        <f ca="1">IFERROR(INDEX(Personnel[Дней в РФ],$K299),"")</f>
        <v>486</v>
      </c>
      <c r="K299" s="23">
        <f t="array" ref="K299">IFERROR(_xlfn.AGGREGATE(15,6,(ROW(Personnel[Egtim durumu])-MIN(ROW(Personnel[Egtim durumu]))+1)/((Personnel[Egtim durumu]="Dil egitimi tamamlandi sinavdan gecti")),ROWS($K$7:K299)),"")</f>
        <v>367</v>
      </c>
    </row>
    <row r="300" spans="1:11" x14ac:dyDescent="0.25">
      <c r="A300" s="40">
        <f>IFERROR(INDEX(Personnel[Sicil],$K300),"")</f>
        <v>247618</v>
      </c>
      <c r="B300" s="41" t="str">
        <f>IFERROR(INDEX(Personnel[Adi Soyadi],$K300),"")</f>
        <v>Рахимов Бахром Баходирович</v>
      </c>
      <c r="C300" s="40" t="str">
        <f>IFERROR(INDEX(Personnel[Vatandaslik],$K300),"")</f>
        <v>УЗБЕКИСТАН</v>
      </c>
      <c r="D300" s="40" t="str">
        <f>IFERROR(INDEX(Personnel[Santiye],$K300),"")</f>
        <v>GPP Proje</v>
      </c>
      <c r="E300" s="40" t="str">
        <f>IFERROR(INDEX(Personnel[Ogretmen],$K300),"")</f>
        <v>-</v>
      </c>
      <c r="F300" s="41" t="str">
        <f>IFERROR(INDEX(Personnel[[Sinav ]],$K300),"")</f>
        <v>09.06.2026 Sineva gitti gecdi</v>
      </c>
      <c r="G300" s="41" t="str">
        <f>IFERROR(INDEX(Personnel[Egtim durumu],$K300),"")</f>
        <v>Dil egitimi tamamlandi sinavdan gecti</v>
      </c>
      <c r="H300" s="41" t="str">
        <f>IFERROR(INDEX(Personnel[Shohruh Not],$K300),"")</f>
        <v>-</v>
      </c>
      <c r="I300" s="42">
        <f ca="1">IFERROR(INDEX(Personnel[Дней в РФ],$K300),"")</f>
        <v>213</v>
      </c>
      <c r="K300" s="23">
        <f t="array" ref="K300">IFERROR(_xlfn.AGGREGATE(15,6,(ROW(Personnel[Egtim durumu])-MIN(ROW(Personnel[Egtim durumu]))+1)/((Personnel[Egtim durumu]="Dil egitimi tamamlandi sinavdan gecti")),ROWS($K$7:K300)),"")</f>
        <v>368</v>
      </c>
    </row>
    <row r="301" spans="1:11" x14ac:dyDescent="0.25">
      <c r="A301" s="18">
        <f>IFERROR(INDEX(Personnel[Sicil],$K301),"")</f>
        <v>644170</v>
      </c>
      <c r="B301" s="17" t="str">
        <f>IFERROR(INDEX(Personnel[Adi Soyadi],$K301),"")</f>
        <v>Бекбоев Фахриддин Умбарович</v>
      </c>
      <c r="C301" s="18" t="str">
        <f>IFERROR(INDEX(Personnel[Vatandaslik],$K301),"")</f>
        <v>УЗБЕКИСТАН</v>
      </c>
      <c r="D301" s="18" t="str">
        <f>IFERROR(INDEX(Personnel[Santiye],$K301),"")</f>
        <v>GPP Proje</v>
      </c>
      <c r="E301" s="18" t="str">
        <f>IFERROR(INDEX(Personnel[Ogretmen],$K301),"")</f>
        <v xml:space="preserve">Ziazetdinov Arslan </v>
      </c>
      <c r="F301" s="17" t="str">
        <f>IFERROR(INDEX(Personnel[[Sinav ]],$K301),"")</f>
        <v>09.06.2026 Sineva gitti gecdi</v>
      </c>
      <c r="G301" s="17" t="str">
        <f>IFERROR(INDEX(Personnel[Egtim durumu],$K301),"")</f>
        <v>Dil egitimi tamamlandi sinavdan gecti</v>
      </c>
      <c r="H301" s="17" t="str">
        <f>IFERROR(INDEX(Personnel[Shohruh Not],$K301),"")</f>
        <v>-</v>
      </c>
      <c r="I301" s="22">
        <f ca="1">IFERROR(INDEX(Personnel[Дней в РФ],$K301),"")</f>
        <v>82</v>
      </c>
      <c r="K301" s="23">
        <f t="array" ref="K301">IFERROR(_xlfn.AGGREGATE(15,6,(ROW(Personnel[Egtim durumu])-MIN(ROW(Personnel[Egtim durumu]))+1)/((Personnel[Egtim durumu]="Dil egitimi tamamlandi sinavdan gecti")),ROWS($K$7:K301)),"")</f>
        <v>369</v>
      </c>
    </row>
    <row r="302" spans="1:11" x14ac:dyDescent="0.25">
      <c r="A302" s="40">
        <f>IFERROR(INDEX(Personnel[Sicil],$K302),"")</f>
        <v>644160</v>
      </c>
      <c r="B302" s="41" t="str">
        <f>IFERROR(INDEX(Personnel[Adi Soyadi],$K302),"")</f>
        <v xml:space="preserve">Халбаев Умиджон Халжигитович </v>
      </c>
      <c r="C302" s="40" t="str">
        <f>IFERROR(INDEX(Personnel[Vatandaslik],$K302),"")</f>
        <v>УЗБЕКИСТАН</v>
      </c>
      <c r="D302" s="40" t="str">
        <f>IFERROR(INDEX(Personnel[Santiye],$K302),"")</f>
        <v>GPP Proje</v>
      </c>
      <c r="E302" s="40" t="str">
        <f>IFERROR(INDEX(Personnel[Ogretmen],$K302),"")</f>
        <v>-</v>
      </c>
      <c r="F302" s="41" t="str">
        <f>IFERROR(INDEX(Personnel[[Sinav ]],$K302),"")</f>
        <v>10.06.2026 Sineva gitti gecdi</v>
      </c>
      <c r="G302" s="41" t="str">
        <f>IFERROR(INDEX(Personnel[Egtim durumu],$K302),"")</f>
        <v>Dil egitimi tamamlandi sinavdan gecti</v>
      </c>
      <c r="H302" s="41" t="str">
        <f>IFERROR(INDEX(Personnel[Shohruh Not],$K302),"")</f>
        <v>-</v>
      </c>
      <c r="I302" s="42">
        <f ca="1">IFERROR(INDEX(Personnel[Дней в РФ],$K302),"")</f>
        <v>82</v>
      </c>
      <c r="K302" s="23">
        <f t="array" ref="K302">IFERROR(_xlfn.AGGREGATE(15,6,(ROW(Personnel[Egtim durumu])-MIN(ROW(Personnel[Egtim durumu]))+1)/((Personnel[Egtim durumu]="Dil egitimi tamamlandi sinavdan gecti")),ROWS($K$7:K302)),"")</f>
        <v>371</v>
      </c>
    </row>
    <row r="303" spans="1:11" x14ac:dyDescent="0.25">
      <c r="A303" s="18">
        <f>IFERROR(INDEX(Personnel[Sicil],$K303),"")</f>
        <v>644162</v>
      </c>
      <c r="B303" s="17" t="str">
        <f>IFERROR(INDEX(Personnel[Adi Soyadi],$K303),"")</f>
        <v xml:space="preserve">Сайфуллаев Алишер Зафар Угли </v>
      </c>
      <c r="C303" s="18" t="str">
        <f>IFERROR(INDEX(Personnel[Vatandaslik],$K303),"")</f>
        <v>УЗБЕКИСТАН</v>
      </c>
      <c r="D303" s="18" t="str">
        <f>IFERROR(INDEX(Personnel[Santiye],$K303),"")</f>
        <v>GPP Proje</v>
      </c>
      <c r="E303" s="18" t="str">
        <f>IFERROR(INDEX(Personnel[Ogretmen],$K303),"")</f>
        <v xml:space="preserve">Ziazetdinov Arslan </v>
      </c>
      <c r="F303" s="17" t="str">
        <f>IFERROR(INDEX(Personnel[[Sinav ]],$K303),"")</f>
        <v>09.06.2026 Sineva gitti gecdi</v>
      </c>
      <c r="G303" s="17" t="str">
        <f>IFERROR(INDEX(Personnel[Egtim durumu],$K303),"")</f>
        <v>Dil egitimi tamamlandi sinavdan gecti</v>
      </c>
      <c r="H303" s="17" t="str">
        <f>IFERROR(INDEX(Personnel[Shohruh Not],$K303),"")</f>
        <v>-</v>
      </c>
      <c r="I303" s="22">
        <f ca="1">IFERROR(INDEX(Personnel[Дней в РФ],$K303),"")</f>
        <v>82</v>
      </c>
      <c r="K303" s="23">
        <f t="array" ref="K303">IFERROR(_xlfn.AGGREGATE(15,6,(ROW(Personnel[Egtim durumu])-MIN(ROW(Personnel[Egtim durumu]))+1)/((Personnel[Egtim durumu]="Dil egitimi tamamlandi sinavdan gecti")),ROWS($K$7:K303)),"")</f>
        <v>372</v>
      </c>
    </row>
    <row r="304" spans="1:11" x14ac:dyDescent="0.25">
      <c r="A304" s="40">
        <f>IFERROR(INDEX(Personnel[Sicil],$K304),"")</f>
        <v>606909</v>
      </c>
      <c r="B304" s="41" t="str">
        <f>IFERROR(INDEX(Personnel[Adi Soyadi],$K304),"")</f>
        <v>Балтаев Рахмонберди Рахимович</v>
      </c>
      <c r="C304" s="40" t="str">
        <f>IFERROR(INDEX(Personnel[Vatandaslik],$K304),"")</f>
        <v>УЗБЕКИСТАН</v>
      </c>
      <c r="D304" s="40" t="str">
        <f>IFERROR(INDEX(Personnel[Santiye],$K304),"")</f>
        <v>GPP Proje</v>
      </c>
      <c r="E304" s="40" t="str">
        <f>IFERROR(INDEX(Personnel[Ogretmen],$K304),"")</f>
        <v xml:space="preserve">Ziazetdinov Arslan </v>
      </c>
      <c r="F304" s="41" t="str">
        <f>IFERROR(INDEX(Personnel[[Sinav ]],$K304),"")</f>
        <v>09.06.2026 Sineva gitti gecdi</v>
      </c>
      <c r="G304" s="41" t="str">
        <f>IFERROR(INDEX(Personnel[Egtim durumu],$K304),"")</f>
        <v>Dil egitimi tamamlandi sinavdan gecti</v>
      </c>
      <c r="H304" s="41" t="str">
        <f>IFERROR(INDEX(Personnel[Shohruh Not],$K304),"")</f>
        <v>-</v>
      </c>
      <c r="I304" s="42">
        <f ca="1">IFERROR(INDEX(Personnel[Дней в РФ],$K304),"")</f>
        <v>81</v>
      </c>
      <c r="K304" s="23">
        <f t="array" ref="K304">IFERROR(_xlfn.AGGREGATE(15,6,(ROW(Personnel[Egtim durumu])-MIN(ROW(Personnel[Egtim durumu]))+1)/((Personnel[Egtim durumu]="Dil egitimi tamamlandi sinavdan gecti")),ROWS($K$7:K304)),"")</f>
        <v>375</v>
      </c>
    </row>
    <row r="305" spans="1:11" ht="25.5" x14ac:dyDescent="0.25">
      <c r="A305" s="18">
        <f>IFERROR(INDEX(Personnel[Sicil],$K305),"")</f>
        <v>644206</v>
      </c>
      <c r="B305" s="17" t="str">
        <f>IFERROR(INDEX(Personnel[Adi Soyadi],$K305),"")</f>
        <v>Болтаев Жасурбек Жумабоевич</v>
      </c>
      <c r="C305" s="18" t="str">
        <f>IFERROR(INDEX(Personnel[Vatandaslik],$K305),"")</f>
        <v>УЗБЕКИСТАН</v>
      </c>
      <c r="D305" s="18" t="str">
        <f>IFERROR(INDEX(Personnel[Santiye],$K305),"")</f>
        <v>GPP Proje</v>
      </c>
      <c r="E305" s="18" t="str">
        <f>IFERROR(INDEX(Personnel[Ogretmen],$K305),"")</f>
        <v xml:space="preserve">Ziazetdinov Arslan </v>
      </c>
      <c r="F305" s="17" t="str">
        <f>IFERROR(INDEX(Personnel[[Sinav ]],$K305),"")</f>
        <v>Ic testimizden gecemiyor (06.06.2026 egitime alindi)</v>
      </c>
      <c r="G305" s="17" t="str">
        <f>IFERROR(INDEX(Personnel[Egtim durumu],$K305),"")</f>
        <v>Dil egitimi tamamlandi sinavdan gecti</v>
      </c>
      <c r="H305" s="17" t="str">
        <f>IFERROR(INDEX(Personnel[Shohruh Not],$K305),"")</f>
        <v>-</v>
      </c>
      <c r="I305" s="22">
        <f ca="1">IFERROR(INDEX(Personnel[Дней в РФ],$K305),"")</f>
        <v>81</v>
      </c>
      <c r="K305" s="23">
        <f t="array" ref="K305">IFERROR(_xlfn.AGGREGATE(15,6,(ROW(Personnel[Egtim durumu])-MIN(ROW(Personnel[Egtim durumu]))+1)/((Personnel[Egtim durumu]="Dil egitimi tamamlandi sinavdan gecti")),ROWS($K$7:K305)),"")</f>
        <v>376</v>
      </c>
    </row>
    <row r="306" spans="1:11" ht="25.5" x14ac:dyDescent="0.25">
      <c r="A306" s="40">
        <f>IFERROR(INDEX(Personnel[Sicil],$K306),"")</f>
        <v>577489</v>
      </c>
      <c r="B306" s="41" t="str">
        <f>IFERROR(INDEX(Personnel[Adi Soyadi],$K306),"")</f>
        <v>Давлатов Аскарали Режаб угли</v>
      </c>
      <c r="C306" s="40" t="str">
        <f>IFERROR(INDEX(Personnel[Vatandaslik],$K306),"")</f>
        <v>УЗБЕКИСТАН</v>
      </c>
      <c r="D306" s="40" t="str">
        <f>IFERROR(INDEX(Personnel[Santiye],$K306),"")</f>
        <v>GPP Proje</v>
      </c>
      <c r="E306" s="40" t="str">
        <f>IFERROR(INDEX(Personnel[Ogretmen],$K306),"")</f>
        <v>Ziazetdinov Arslan / Ziazetdinov Arslan</v>
      </c>
      <c r="F306" s="41" t="str">
        <f>IFERROR(INDEX(Personnel[[Sinav ]],$K306),"")</f>
        <v>09.06.2026 Sineva gitti gecemedi /19.06.2026 Sineva gitti gecdi</v>
      </c>
      <c r="G306" s="41" t="str">
        <f>IFERROR(INDEX(Personnel[Egtim durumu],$K306),"")</f>
        <v>Dil egitimi tamamlandi sinavdan gecti</v>
      </c>
      <c r="H306" s="41" t="str">
        <f>IFERROR(INDEX(Personnel[Shohruh Not],$K306),"")</f>
        <v>-</v>
      </c>
      <c r="I306" s="42">
        <f ca="1">IFERROR(INDEX(Personnel[Дней в РФ],$K306),"")</f>
        <v>81</v>
      </c>
      <c r="K306" s="23">
        <f t="array" ref="K306">IFERROR(_xlfn.AGGREGATE(15,6,(ROW(Personnel[Egtim durumu])-MIN(ROW(Personnel[Egtim durumu]))+1)/((Personnel[Egtim durumu]="Dil egitimi tamamlandi sinavdan gecti")),ROWS($K$7:K306)),"")</f>
        <v>377</v>
      </c>
    </row>
    <row r="307" spans="1:11" x14ac:dyDescent="0.25">
      <c r="A307" s="18">
        <f>IFERROR(INDEX(Personnel[Sicil],$K307),"")</f>
        <v>644161</v>
      </c>
      <c r="B307" s="17" t="str">
        <f>IFERROR(INDEX(Personnel[Adi Soyadi],$K307),"")</f>
        <v>Хасанов Элёр Зиядуллаевич</v>
      </c>
      <c r="C307" s="18" t="str">
        <f>IFERROR(INDEX(Personnel[Vatandaslik],$K307),"")</f>
        <v>УЗБЕКИСТАН</v>
      </c>
      <c r="D307" s="18" t="str">
        <f>IFERROR(INDEX(Personnel[Santiye],$K307),"")</f>
        <v>GPP Proje</v>
      </c>
      <c r="E307" s="18" t="str">
        <f>IFERROR(INDEX(Personnel[Ogretmen],$K307),"")</f>
        <v xml:space="preserve">Ziazetdinov Arslan </v>
      </c>
      <c r="F307" s="17" t="str">
        <f>IFERROR(INDEX(Personnel[[Sinav ]],$K307),"")</f>
        <v>09.06.2026 Sineva gitti gecdi</v>
      </c>
      <c r="G307" s="17" t="str">
        <f>IFERROR(INDEX(Personnel[Egtim durumu],$K307),"")</f>
        <v>Dil egitimi tamamlandi sinavdan gecti</v>
      </c>
      <c r="H307" s="17" t="str">
        <f>IFERROR(INDEX(Personnel[Shohruh Not],$K307),"")</f>
        <v>-</v>
      </c>
      <c r="I307" s="22">
        <f ca="1">IFERROR(INDEX(Personnel[Дней в РФ],$K307),"")</f>
        <v>82</v>
      </c>
      <c r="K307" s="23">
        <f t="array" ref="K307">IFERROR(_xlfn.AGGREGATE(15,6,(ROW(Personnel[Egtim durumu])-MIN(ROW(Personnel[Egtim durumu]))+1)/((Personnel[Egtim durumu]="Dil egitimi tamamlandi sinavdan gecti")),ROWS($K$7:K307)),"")</f>
        <v>378</v>
      </c>
    </row>
    <row r="308" spans="1:11" ht="38.25" x14ac:dyDescent="0.25">
      <c r="A308" s="40">
        <f>IFERROR(INDEX(Personnel[Sicil],$K308),"")</f>
        <v>644188</v>
      </c>
      <c r="B308" s="41" t="str">
        <f>IFERROR(INDEX(Personnel[Adi Soyadi],$K308),"")</f>
        <v>Машрипов Жамолбек Равшанбекович</v>
      </c>
      <c r="C308" s="40" t="str">
        <f>IFERROR(INDEX(Personnel[Vatandaslik],$K308),"")</f>
        <v>УЗБЕКИСТАН</v>
      </c>
      <c r="D308" s="40" t="str">
        <f>IFERROR(INDEX(Personnel[Santiye],$K308),"")</f>
        <v>GPP Proje</v>
      </c>
      <c r="E308" s="40" t="str">
        <f>IFERROR(INDEX(Personnel[Ogretmen],$K308),"")</f>
        <v xml:space="preserve">Ziazetdinov Arslan </v>
      </c>
      <c r="F308" s="41" t="str">
        <f>IFERROR(INDEX(Personnel[[Sinav ]],$K308),"")</f>
        <v>Ic testimizden gecemiyor (06.06.2026 egitime alindi)16.06.2026 Sineva gitti gecemedi</v>
      </c>
      <c r="G308" s="41" t="str">
        <f>IFERROR(INDEX(Personnel[Egtim durumu],$K308),"")</f>
        <v>Dil egitimi tamamlandi sinavdan gecti</v>
      </c>
      <c r="H308" s="41" t="str">
        <f>IFERROR(INDEX(Personnel[Shohruh Not],$K308),"")</f>
        <v>Kendi imkanları ile sınava girecek</v>
      </c>
      <c r="I308" s="42">
        <f ca="1">IFERROR(INDEX(Personnel[Дней в РФ],$K308),"")</f>
        <v>81</v>
      </c>
      <c r="K308" s="23">
        <f t="array" ref="K308">IFERROR(_xlfn.AGGREGATE(15,6,(ROW(Personnel[Egtim durumu])-MIN(ROW(Personnel[Egtim durumu]))+1)/((Personnel[Egtim durumu]="Dil egitimi tamamlandi sinavdan gecti")),ROWS($K$7:K308)),"")</f>
        <v>379</v>
      </c>
    </row>
    <row r="309" spans="1:11" ht="25.5" x14ac:dyDescent="0.25">
      <c r="A309" s="18">
        <f>IFERROR(INDEX(Personnel[Sicil],$K309),"")</f>
        <v>644187</v>
      </c>
      <c r="B309" s="17" t="str">
        <f>IFERROR(INDEX(Personnel[Adi Soyadi],$K309),"")</f>
        <v>Маткоримов Жавлонбек Давронбек Угли</v>
      </c>
      <c r="C309" s="18" t="str">
        <f>IFERROR(INDEX(Personnel[Vatandaslik],$K309),"")</f>
        <v>УЗБЕКИСТАН</v>
      </c>
      <c r="D309" s="18" t="str">
        <f>IFERROR(INDEX(Personnel[Santiye],$K309),"")</f>
        <v>GPP Proje</v>
      </c>
      <c r="E309" s="18" t="str">
        <f>IFERROR(INDEX(Personnel[Ogretmen],$K309),"")</f>
        <v xml:space="preserve">Ziazetdinov Arslan </v>
      </c>
      <c r="F309" s="17" t="str">
        <f>IFERROR(INDEX(Personnel[[Sinav ]],$K309),"")</f>
        <v>16.06.2026 Sineva gitti gecdi</v>
      </c>
      <c r="G309" s="17" t="str">
        <f>IFERROR(INDEX(Personnel[Egtim durumu],$K309),"")</f>
        <v>Dil egitimi tamamlandi sinavdan gecti</v>
      </c>
      <c r="H309" s="17" t="str">
        <f>IFERROR(INDEX(Personnel[Shohruh Not],$K309),"")</f>
        <v>-</v>
      </c>
      <c r="I309" s="22">
        <f ca="1">IFERROR(INDEX(Personnel[Дней в РФ],$K309),"")</f>
        <v>81</v>
      </c>
      <c r="K309" s="23">
        <f t="array" ref="K309">IFERROR(_xlfn.AGGREGATE(15,6,(ROW(Personnel[Egtim durumu])-MIN(ROW(Personnel[Egtim durumu]))+1)/((Personnel[Egtim durumu]="Dil egitimi tamamlandi sinavdan gecti")),ROWS($K$7:K309)),"")</f>
        <v>380</v>
      </c>
    </row>
    <row r="310" spans="1:11" x14ac:dyDescent="0.25">
      <c r="A310" s="40">
        <f>IFERROR(INDEX(Personnel[Sicil],$K310),"")</f>
        <v>505232</v>
      </c>
      <c r="B310" s="41" t="str">
        <f>IFERROR(INDEX(Personnel[Adi Soyadi],$K310),"")</f>
        <v>Менглиев Хасан Махмареджаб угли</v>
      </c>
      <c r="C310" s="40" t="str">
        <f>IFERROR(INDEX(Personnel[Vatandaslik],$K310),"")</f>
        <v>УЗБЕКИСТАН</v>
      </c>
      <c r="D310" s="40" t="str">
        <f>IFERROR(INDEX(Personnel[Santiye],$K310),"")</f>
        <v>GPP Proje</v>
      </c>
      <c r="E310" s="40" t="str">
        <f>IFERROR(INDEX(Personnel[Ogretmen],$K310),"")</f>
        <v xml:space="preserve">Ziazetdinov Arslan </v>
      </c>
      <c r="F310" s="41" t="str">
        <f>IFERROR(INDEX(Personnel[[Sinav ]],$K310),"")</f>
        <v>09.06.2026 Sineva gitti gecdi</v>
      </c>
      <c r="G310" s="41" t="str">
        <f>IFERROR(INDEX(Personnel[Egtim durumu],$K310),"")</f>
        <v>Dil egitimi tamamlandi sinavdan gecti</v>
      </c>
      <c r="H310" s="41" t="str">
        <f>IFERROR(INDEX(Personnel[Shohruh Not],$K310),"")</f>
        <v>-</v>
      </c>
      <c r="I310" s="42">
        <f ca="1">IFERROR(INDEX(Personnel[Дней в РФ],$K310),"")</f>
        <v>81</v>
      </c>
      <c r="K310" s="23">
        <f t="array" ref="K310">IFERROR(_xlfn.AGGREGATE(15,6,(ROW(Personnel[Egtim durumu])-MIN(ROW(Personnel[Egtim durumu]))+1)/((Personnel[Egtim durumu]="Dil egitimi tamamlandi sinavdan gecti")),ROWS($K$7:K310)),"")</f>
        <v>381</v>
      </c>
    </row>
    <row r="311" spans="1:11" x14ac:dyDescent="0.25">
      <c r="A311" s="18">
        <f>IFERROR(INDEX(Personnel[Sicil],$K311),"")</f>
        <v>573639</v>
      </c>
      <c r="B311" s="17" t="str">
        <f>IFERROR(INDEX(Personnel[Adi Soyadi],$K311),"")</f>
        <v>Норбоев Акбар Махматкобилович</v>
      </c>
      <c r="C311" s="18" t="str">
        <f>IFERROR(INDEX(Personnel[Vatandaslik],$K311),"")</f>
        <v>УЗБЕКИСТАН</v>
      </c>
      <c r="D311" s="18" t="str">
        <f>IFERROR(INDEX(Personnel[Santiye],$K311),"")</f>
        <v>GPP Proje</v>
      </c>
      <c r="E311" s="18" t="str">
        <f>IFERROR(INDEX(Personnel[Ogretmen],$K311),"")</f>
        <v xml:space="preserve">Ziazetdinov Arslan </v>
      </c>
      <c r="F311" s="17" t="str">
        <f>IFERROR(INDEX(Personnel[[Sinav ]],$K311),"")</f>
        <v>09.06.2026 Sineva gitti gecdi</v>
      </c>
      <c r="G311" s="17" t="str">
        <f>IFERROR(INDEX(Personnel[Egtim durumu],$K311),"")</f>
        <v>Dil egitimi tamamlandi sinavdan gecti</v>
      </c>
      <c r="H311" s="17" t="str">
        <f>IFERROR(INDEX(Personnel[Shohruh Not],$K311),"")</f>
        <v>-</v>
      </c>
      <c r="I311" s="22">
        <f ca="1">IFERROR(INDEX(Personnel[Дней в РФ],$K311),"")</f>
        <v>81</v>
      </c>
      <c r="K311" s="23">
        <f t="array" ref="K311">IFERROR(_xlfn.AGGREGATE(15,6,(ROW(Personnel[Egtim durumu])-MIN(ROW(Personnel[Egtim durumu]))+1)/((Personnel[Egtim durumu]="Dil egitimi tamamlandi sinavdan gecti")),ROWS($K$7:K311)),"")</f>
        <v>382</v>
      </c>
    </row>
    <row r="312" spans="1:11" x14ac:dyDescent="0.25">
      <c r="A312" s="40">
        <f>IFERROR(INDEX(Personnel[Sicil],$K312),"")</f>
        <v>408545</v>
      </c>
      <c r="B312" s="41" t="str">
        <f>IFERROR(INDEX(Personnel[Adi Soyadi],$K312),"")</f>
        <v>Наврузов Фуркат Бахром угли</v>
      </c>
      <c r="C312" s="40" t="str">
        <f>IFERROR(INDEX(Personnel[Vatandaslik],$K312),"")</f>
        <v>УЗБЕКИСТАН</v>
      </c>
      <c r="D312" s="40" t="str">
        <f>IFERROR(INDEX(Personnel[Santiye],$K312),"")</f>
        <v>GPP Proje</v>
      </c>
      <c r="E312" s="40" t="str">
        <f>IFERROR(INDEX(Personnel[Ogretmen],$K312),"")</f>
        <v xml:space="preserve">Ziazetdinov Arslan </v>
      </c>
      <c r="F312" s="41" t="str">
        <f>IFERROR(INDEX(Personnel[[Sinav ]],$K312),"")</f>
        <v>10.06.2026 Sineva gitti gecdi</v>
      </c>
      <c r="G312" s="41" t="str">
        <f>IFERROR(INDEX(Personnel[Egtim durumu],$K312),"")</f>
        <v>Dil egitimi tamamlandi sinavdan gecti</v>
      </c>
      <c r="H312" s="41" t="str">
        <f>IFERROR(INDEX(Personnel[Shohruh Not],$K312),"")</f>
        <v>-</v>
      </c>
      <c r="I312" s="42">
        <f ca="1">IFERROR(INDEX(Personnel[Дней в РФ],$K312),"")</f>
        <v>81</v>
      </c>
      <c r="K312" s="23">
        <f t="array" ref="K312">IFERROR(_xlfn.AGGREGATE(15,6,(ROW(Personnel[Egtim durumu])-MIN(ROW(Personnel[Egtim durumu]))+1)/((Personnel[Egtim durumu]="Dil egitimi tamamlandi sinavdan gecti")),ROWS($K$7:K312)),"")</f>
        <v>383</v>
      </c>
    </row>
    <row r="313" spans="1:11" x14ac:dyDescent="0.25">
      <c r="A313" s="18">
        <f>IFERROR(INDEX(Personnel[Sicil],$K313),"")</f>
        <v>644190</v>
      </c>
      <c r="B313" s="17" t="str">
        <f>IFERROR(INDEX(Personnel[Adi Soyadi],$K313),"")</f>
        <v>Омонов Рахмонбек Бахтиёр Угли</v>
      </c>
      <c r="C313" s="18" t="str">
        <f>IFERROR(INDEX(Personnel[Vatandaslik],$K313),"")</f>
        <v>УЗБЕКИСТАН</v>
      </c>
      <c r="D313" s="18" t="str">
        <f>IFERROR(INDEX(Personnel[Santiye],$K313),"")</f>
        <v>GPP Proje</v>
      </c>
      <c r="E313" s="18" t="str">
        <f>IFERROR(INDEX(Personnel[Ogretmen],$K313),"")</f>
        <v xml:space="preserve">Ziazetdinov Arslan </v>
      </c>
      <c r="F313" s="17" t="str">
        <f>IFERROR(INDEX(Personnel[[Sinav ]],$K313),"")</f>
        <v>10.06.2026 Sineva gitti gecdi</v>
      </c>
      <c r="G313" s="17" t="str">
        <f>IFERROR(INDEX(Personnel[Egtim durumu],$K313),"")</f>
        <v>Dil egitimi tamamlandi sinavdan gecti</v>
      </c>
      <c r="H313" s="17" t="str">
        <f>IFERROR(INDEX(Personnel[Shohruh Not],$K313),"")</f>
        <v>-</v>
      </c>
      <c r="I313" s="22">
        <f ca="1">IFERROR(INDEX(Personnel[Дней в РФ],$K313),"")</f>
        <v>81</v>
      </c>
      <c r="K313" s="23">
        <f t="array" ref="K313">IFERROR(_xlfn.AGGREGATE(15,6,(ROW(Personnel[Egtim durumu])-MIN(ROW(Personnel[Egtim durumu]))+1)/((Personnel[Egtim durumu]="Dil egitimi tamamlandi sinavdan gecti")),ROWS($K$7:K313)),"")</f>
        <v>384</v>
      </c>
    </row>
    <row r="314" spans="1:11" x14ac:dyDescent="0.25">
      <c r="A314" s="40">
        <f>IFERROR(INDEX(Personnel[Sicil],$K314),"")</f>
        <v>644183</v>
      </c>
      <c r="B314" s="41" t="str">
        <f>IFERROR(INDEX(Personnel[Adi Soyadi],$K314),"")</f>
        <v>Икромов Умиджон Бахтиёржон Угли</v>
      </c>
      <c r="C314" s="40" t="str">
        <f>IFERROR(INDEX(Personnel[Vatandaslik],$K314),"")</f>
        <v>УЗБЕКИСТАН</v>
      </c>
      <c r="D314" s="40" t="str">
        <f>IFERROR(INDEX(Personnel[Santiye],$K314),"")</f>
        <v>GPP Proje</v>
      </c>
      <c r="E314" s="40" t="str">
        <f>IFERROR(INDEX(Personnel[Ogretmen],$K314),"")</f>
        <v xml:space="preserve">Ziazetdinov Arslan </v>
      </c>
      <c r="F314" s="41" t="str">
        <f>IFERROR(INDEX(Personnel[[Sinav ]],$K314),"")</f>
        <v>16.06.2026 Sineva gitti gecdi</v>
      </c>
      <c r="G314" s="41" t="str">
        <f>IFERROR(INDEX(Personnel[Egtim durumu],$K314),"")</f>
        <v>Dil egitimi tamamlandi sinavdan gecti</v>
      </c>
      <c r="H314" s="41" t="str">
        <f>IFERROR(INDEX(Personnel[Shohruh Not],$K314),"")</f>
        <v>-</v>
      </c>
      <c r="I314" s="42">
        <f ca="1">IFERROR(INDEX(Personnel[Дней в РФ],$K314),"")</f>
        <v>81</v>
      </c>
      <c r="K314" s="23">
        <f t="array" ref="K314">IFERROR(_xlfn.AGGREGATE(15,6,(ROW(Personnel[Egtim durumu])-MIN(ROW(Personnel[Egtim durumu]))+1)/((Personnel[Egtim durumu]="Dil egitimi tamamlandi sinavdan gecti")),ROWS($K$7:K314)),"")</f>
        <v>387</v>
      </c>
    </row>
    <row r="315" spans="1:11" x14ac:dyDescent="0.25">
      <c r="A315" s="18">
        <f>IFERROR(INDEX(Personnel[Sicil],$K315),"")</f>
        <v>644179</v>
      </c>
      <c r="B315" s="17" t="str">
        <f>IFERROR(INDEX(Personnel[Adi Soyadi],$K315),"")</f>
        <v>Жамилов Гайрат Салим Угли</v>
      </c>
      <c r="C315" s="18" t="str">
        <f>IFERROR(INDEX(Personnel[Vatandaslik],$K315),"")</f>
        <v>УЗБЕКИСТАН</v>
      </c>
      <c r="D315" s="18" t="str">
        <f>IFERROR(INDEX(Personnel[Santiye],$K315),"")</f>
        <v>GPP Proje</v>
      </c>
      <c r="E315" s="18" t="str">
        <f>IFERROR(INDEX(Personnel[Ogretmen],$K315),"")</f>
        <v xml:space="preserve">Ziazetdinov Arslan </v>
      </c>
      <c r="F315" s="17" t="str">
        <f>IFERROR(INDEX(Personnel[[Sinav ]],$K315),"")</f>
        <v>16.06.2026 Sineva gitti gecdi</v>
      </c>
      <c r="G315" s="17" t="str">
        <f>IFERROR(INDEX(Personnel[Egtim durumu],$K315),"")</f>
        <v>Dil egitimi tamamlandi sinavdan gecti</v>
      </c>
      <c r="H315" s="17" t="str">
        <f>IFERROR(INDEX(Personnel[Shohruh Not],$K315),"")</f>
        <v>-</v>
      </c>
      <c r="I315" s="22">
        <f ca="1">IFERROR(INDEX(Personnel[Дней в РФ],$K315),"")</f>
        <v>81</v>
      </c>
      <c r="K315" s="23">
        <f t="array" ref="K315">IFERROR(_xlfn.AGGREGATE(15,6,(ROW(Personnel[Egtim durumu])-MIN(ROW(Personnel[Egtim durumu]))+1)/((Personnel[Egtim durumu]="Dil egitimi tamamlandi sinavdan gecti")),ROWS($K$7:K315)),"")</f>
        <v>388</v>
      </c>
    </row>
    <row r="316" spans="1:11" ht="25.5" x14ac:dyDescent="0.25">
      <c r="A316" s="40">
        <f>IFERROR(INDEX(Personnel[Sicil],$K316),"")</f>
        <v>633143</v>
      </c>
      <c r="B316" s="41" t="str">
        <f>IFERROR(INDEX(Personnel[Adi Soyadi],$K316),"")</f>
        <v>Холманов Илхом Расул Угли</v>
      </c>
      <c r="C316" s="40" t="str">
        <f>IFERROR(INDEX(Personnel[Vatandaslik],$K316),"")</f>
        <v>УЗБЕКИСТАН</v>
      </c>
      <c r="D316" s="40" t="str">
        <f>IFERROR(INDEX(Personnel[Santiye],$K316),"")</f>
        <v>GPP Proje</v>
      </c>
      <c r="E316" s="40" t="str">
        <f>IFERROR(INDEX(Personnel[Ogretmen],$K316),"")</f>
        <v>Ziazetdinov Arslan / Ziazetdinov Arslan</v>
      </c>
      <c r="F316" s="41" t="str">
        <f>IFERROR(INDEX(Personnel[[Sinav ]],$K316),"")</f>
        <v>16.06.2026 Sineva gitti gecemedi /19.06.2026 Sineva gitti gecdi</v>
      </c>
      <c r="G316" s="41" t="str">
        <f>IFERROR(INDEX(Personnel[Egtim durumu],$K316),"")</f>
        <v>Dil egitimi tamamlandi sinavdan gecti</v>
      </c>
      <c r="H316" s="41" t="str">
        <f>IFERROR(INDEX(Personnel[Shohruh Not],$K316),"")</f>
        <v>-</v>
      </c>
      <c r="I316" s="42">
        <f ca="1">IFERROR(INDEX(Personnel[Дней в РФ],$K316),"")</f>
        <v>81</v>
      </c>
      <c r="K316" s="23">
        <f t="array" ref="K316">IFERROR(_xlfn.AGGREGATE(15,6,(ROW(Personnel[Egtim durumu])-MIN(ROW(Personnel[Egtim durumu]))+1)/((Personnel[Egtim durumu]="Dil egitimi tamamlandi sinavdan gecti")),ROWS($K$7:K316)),"")</f>
        <v>389</v>
      </c>
    </row>
    <row r="317" spans="1:11" x14ac:dyDescent="0.25">
      <c r="A317" s="18">
        <f>IFERROR(INDEX(Personnel[Sicil],$K317),"")</f>
        <v>644184</v>
      </c>
      <c r="B317" s="17" t="str">
        <f>IFERROR(INDEX(Personnel[Adi Soyadi],$K317),"")</f>
        <v>Коржавов Аббос Рахматали Угли</v>
      </c>
      <c r="C317" s="18" t="str">
        <f>IFERROR(INDEX(Personnel[Vatandaslik],$K317),"")</f>
        <v>УЗБЕКИСТАН</v>
      </c>
      <c r="D317" s="18" t="str">
        <f>IFERROR(INDEX(Personnel[Santiye],$K317),"")</f>
        <v>GPP Proje</v>
      </c>
      <c r="E317" s="18" t="str">
        <f>IFERROR(INDEX(Personnel[Ogretmen],$K317),"")</f>
        <v xml:space="preserve">Ziazetdinov Arslan </v>
      </c>
      <c r="F317" s="17" t="str">
        <f>IFERROR(INDEX(Personnel[[Sinav ]],$K317),"")</f>
        <v>16.06.2026 Sineva gitti gecdi</v>
      </c>
      <c r="G317" s="17" t="str">
        <f>IFERROR(INDEX(Personnel[Egtim durumu],$K317),"")</f>
        <v>Dil egitimi tamamlandi sinavdan gecti</v>
      </c>
      <c r="H317" s="17" t="str">
        <f>IFERROR(INDEX(Personnel[Shohruh Not],$K317),"")</f>
        <v>-</v>
      </c>
      <c r="I317" s="22">
        <f ca="1">IFERROR(INDEX(Personnel[Дней в РФ],$K317),"")</f>
        <v>81</v>
      </c>
      <c r="K317" s="23">
        <f t="array" ref="K317">IFERROR(_xlfn.AGGREGATE(15,6,(ROW(Personnel[Egtim durumu])-MIN(ROW(Personnel[Egtim durumu]))+1)/((Personnel[Egtim durumu]="Dil egitimi tamamlandi sinavdan gecti")),ROWS($K$7:K317)),"")</f>
        <v>390</v>
      </c>
    </row>
    <row r="318" spans="1:11" x14ac:dyDescent="0.25">
      <c r="A318" s="40">
        <f>IFERROR(INDEX(Personnel[Sicil],$K318),"")</f>
        <v>644186</v>
      </c>
      <c r="B318" s="41" t="str">
        <f>IFERROR(INDEX(Personnel[Adi Soyadi],$K318),"")</f>
        <v>Куролов Сардор Хошимжон Угли</v>
      </c>
      <c r="C318" s="40" t="str">
        <f>IFERROR(INDEX(Personnel[Vatandaslik],$K318),"")</f>
        <v>УЗБЕКИСТАН</v>
      </c>
      <c r="D318" s="40" t="str">
        <f>IFERROR(INDEX(Personnel[Santiye],$K318),"")</f>
        <v>GPP Proje</v>
      </c>
      <c r="E318" s="40" t="str">
        <f>IFERROR(INDEX(Personnel[Ogretmen],$K318),"")</f>
        <v xml:space="preserve">Ziazetdinov Arslan </v>
      </c>
      <c r="F318" s="41" t="str">
        <f>IFERROR(INDEX(Personnel[[Sinav ]],$K318),"")</f>
        <v>16.06.2026 Sineva gitti gecdi</v>
      </c>
      <c r="G318" s="41" t="str">
        <f>IFERROR(INDEX(Personnel[Egtim durumu],$K318),"")</f>
        <v>Dil egitimi tamamlandi sinavdan gecti</v>
      </c>
      <c r="H318" s="41" t="str">
        <f>IFERROR(INDEX(Personnel[Shohruh Not],$K318),"")</f>
        <v>-</v>
      </c>
      <c r="I318" s="42">
        <f ca="1">IFERROR(INDEX(Personnel[Дней в РФ],$K318),"")</f>
        <v>81</v>
      </c>
      <c r="K318" s="23">
        <f t="array" ref="K318">IFERROR(_xlfn.AGGREGATE(15,6,(ROW(Personnel[Egtim durumu])-MIN(ROW(Personnel[Egtim durumu]))+1)/((Personnel[Egtim durumu]="Dil egitimi tamamlandi sinavdan gecti")),ROWS($K$7:K318)),"")</f>
        <v>391</v>
      </c>
    </row>
    <row r="319" spans="1:11" ht="25.5" x14ac:dyDescent="0.25">
      <c r="A319" s="18">
        <f>IFERROR(INDEX(Personnel[Sicil],$K319),"")</f>
        <v>644193</v>
      </c>
      <c r="B319" s="17" t="str">
        <f>IFERROR(INDEX(Personnel[Adi Soyadi],$K319),"")</f>
        <v>Салохиддинов Абдумалик Туймурод Угли</v>
      </c>
      <c r="C319" s="18" t="str">
        <f>IFERROR(INDEX(Personnel[Vatandaslik],$K319),"")</f>
        <v>УЗБЕКИСТАН</v>
      </c>
      <c r="D319" s="18" t="str">
        <f>IFERROR(INDEX(Personnel[Santiye],$K319),"")</f>
        <v>GPP Proje</v>
      </c>
      <c r="E319" s="18" t="str">
        <f>IFERROR(INDEX(Personnel[Ogretmen],$K319),"")</f>
        <v xml:space="preserve">Ziazetdinov Arslan </v>
      </c>
      <c r="F319" s="17" t="str">
        <f>IFERROR(INDEX(Personnel[[Sinav ]],$K319),"")</f>
        <v>16.06.2026 Sineva gitti gecdi</v>
      </c>
      <c r="G319" s="17" t="str">
        <f>IFERROR(INDEX(Personnel[Egtim durumu],$K319),"")</f>
        <v>Dil egitimi tamamlandi sinavdan gecti</v>
      </c>
      <c r="H319" s="17" t="str">
        <f>IFERROR(INDEX(Personnel[Shohruh Not],$K319),"")</f>
        <v>-</v>
      </c>
      <c r="I319" s="22">
        <f ca="1">IFERROR(INDEX(Personnel[Дней в РФ],$K319),"")</f>
        <v>81</v>
      </c>
      <c r="K319" s="23">
        <f t="array" ref="K319">IFERROR(_xlfn.AGGREGATE(15,6,(ROW(Personnel[Egtim durumu])-MIN(ROW(Personnel[Egtim durumu]))+1)/((Personnel[Egtim durumu]="Dil egitimi tamamlandi sinavdan gecti")),ROWS($K$7:K319)),"")</f>
        <v>392</v>
      </c>
    </row>
    <row r="320" spans="1:11" x14ac:dyDescent="0.25">
      <c r="A320" s="40">
        <f>IFERROR(INDEX(Personnel[Sicil],$K320),"")</f>
        <v>608103</v>
      </c>
      <c r="B320" s="41" t="str">
        <f>IFERROR(INDEX(Personnel[Adi Soyadi],$K320),"")</f>
        <v>Тураев Ойбек Туйгун Угли</v>
      </c>
      <c r="C320" s="40" t="str">
        <f>IFERROR(INDEX(Personnel[Vatandaslik],$K320),"")</f>
        <v>УЗБЕКИСТАН</v>
      </c>
      <c r="D320" s="40" t="str">
        <f>IFERROR(INDEX(Personnel[Santiye],$K320),"")</f>
        <v>GPP Proje</v>
      </c>
      <c r="E320" s="40" t="str">
        <f>IFERROR(INDEX(Personnel[Ogretmen],$K320),"")</f>
        <v xml:space="preserve">Ziazetdinov Arslan </v>
      </c>
      <c r="F320" s="41" t="str">
        <f>IFERROR(INDEX(Personnel[[Sinav ]],$K320),"")</f>
        <v>16.06.2026 Sineva gitti gecdi</v>
      </c>
      <c r="G320" s="41" t="str">
        <f>IFERROR(INDEX(Personnel[Egtim durumu],$K320),"")</f>
        <v>Dil egitimi tamamlandi sinavdan gecti</v>
      </c>
      <c r="H320" s="41" t="str">
        <f>IFERROR(INDEX(Personnel[Shohruh Not],$K320),"")</f>
        <v>-</v>
      </c>
      <c r="I320" s="42">
        <f ca="1">IFERROR(INDEX(Personnel[Дней в РФ],$K320),"")</f>
        <v>81</v>
      </c>
      <c r="K320" s="23">
        <f t="array" ref="K320">IFERROR(_xlfn.AGGREGATE(15,6,(ROW(Personnel[Egtim durumu])-MIN(ROW(Personnel[Egtim durumu]))+1)/((Personnel[Egtim durumu]="Dil egitimi tamamlandi sinavdan gecti")),ROWS($K$7:K320)),"")</f>
        <v>393</v>
      </c>
    </row>
    <row r="321" spans="1:11" x14ac:dyDescent="0.25">
      <c r="A321" s="18">
        <f>IFERROR(INDEX(Personnel[Sicil],$K321),"")</f>
        <v>644196</v>
      </c>
      <c r="B321" s="17" t="str">
        <f>IFERROR(INDEX(Personnel[Adi Soyadi],$K321),"")</f>
        <v>Умаров Азизбек Темур Угли</v>
      </c>
      <c r="C321" s="18" t="str">
        <f>IFERROR(INDEX(Personnel[Vatandaslik],$K321),"")</f>
        <v>УЗБЕКИСТАН</v>
      </c>
      <c r="D321" s="18" t="str">
        <f>IFERROR(INDEX(Personnel[Santiye],$K321),"")</f>
        <v>GPP Proje</v>
      </c>
      <c r="E321" s="18" t="str">
        <f>IFERROR(INDEX(Personnel[Ogretmen],$K321),"")</f>
        <v xml:space="preserve">Ziazetdinov Arslan </v>
      </c>
      <c r="F321" s="17" t="str">
        <f>IFERROR(INDEX(Personnel[[Sinav ]],$K321),"")</f>
        <v>16.06.2026 Sineva gitti gecdi</v>
      </c>
      <c r="G321" s="17" t="str">
        <f>IFERROR(INDEX(Personnel[Egtim durumu],$K321),"")</f>
        <v>Dil egitimi tamamlandi sinavdan gecti</v>
      </c>
      <c r="H321" s="17" t="str">
        <f>IFERROR(INDEX(Personnel[Shohruh Not],$K321),"")</f>
        <v>-</v>
      </c>
      <c r="I321" s="22">
        <f ca="1">IFERROR(INDEX(Personnel[Дней в РФ],$K321),"")</f>
        <v>81</v>
      </c>
      <c r="K321" s="23">
        <f t="array" ref="K321">IFERROR(_xlfn.AGGREGATE(15,6,(ROW(Personnel[Egtim durumu])-MIN(ROW(Personnel[Egtim durumu]))+1)/((Personnel[Egtim durumu]="Dil egitimi tamamlandi sinavdan gecti")),ROWS($K$7:K321)),"")</f>
        <v>394</v>
      </c>
    </row>
    <row r="322" spans="1:11" x14ac:dyDescent="0.25">
      <c r="A322" s="40">
        <f>IFERROR(INDEX(Personnel[Sicil],$K322),"")</f>
        <v>644195</v>
      </c>
      <c r="B322" s="41" t="str">
        <f>IFERROR(INDEX(Personnel[Adi Soyadi],$K322),"")</f>
        <v>Узаков Хабибулло Нуманович</v>
      </c>
      <c r="C322" s="40" t="str">
        <f>IFERROR(INDEX(Personnel[Vatandaslik],$K322),"")</f>
        <v>УЗБЕКИСТАН</v>
      </c>
      <c r="D322" s="40" t="str">
        <f>IFERROR(INDEX(Personnel[Santiye],$K322),"")</f>
        <v>GPP Proje</v>
      </c>
      <c r="E322" s="40" t="str">
        <f>IFERROR(INDEX(Personnel[Ogretmen],$K322),"")</f>
        <v xml:space="preserve">Ziazetdinov Arslan </v>
      </c>
      <c r="F322" s="41" t="str">
        <f>IFERROR(INDEX(Personnel[[Sinav ]],$K322),"")</f>
        <v>16.06.2026 Sineva gitti gecdi</v>
      </c>
      <c r="G322" s="41" t="str">
        <f>IFERROR(INDEX(Personnel[Egtim durumu],$K322),"")</f>
        <v>Dil egitimi tamamlandi sinavdan gecti</v>
      </c>
      <c r="H322" s="41" t="str">
        <f>IFERROR(INDEX(Personnel[Shohruh Not],$K322),"")</f>
        <v>-</v>
      </c>
      <c r="I322" s="42">
        <f ca="1">IFERROR(INDEX(Personnel[Дней в РФ],$K322),"")</f>
        <v>81</v>
      </c>
      <c r="K322" s="23">
        <f t="array" ref="K322">IFERROR(_xlfn.AGGREGATE(15,6,(ROW(Personnel[Egtim durumu])-MIN(ROW(Personnel[Egtim durumu]))+1)/((Personnel[Egtim durumu]="Dil egitimi tamamlandi sinavdan gecti")),ROWS($K$7:K322)),"")</f>
        <v>395</v>
      </c>
    </row>
    <row r="323" spans="1:11" x14ac:dyDescent="0.25">
      <c r="A323" s="18">
        <f>IFERROR(INDEX(Personnel[Sicil],$K323),"")</f>
        <v>644200</v>
      </c>
      <c r="B323" s="17" t="str">
        <f>IFERROR(INDEX(Personnel[Adi Soyadi],$K323),"")</f>
        <v>Юлчибоев Жахонгир Рохатали Угли</v>
      </c>
      <c r="C323" s="18" t="str">
        <f>IFERROR(INDEX(Personnel[Vatandaslik],$K323),"")</f>
        <v>УЗБЕКИСТАН</v>
      </c>
      <c r="D323" s="18" t="str">
        <f>IFERROR(INDEX(Personnel[Santiye],$K323),"")</f>
        <v>GPP Proje</v>
      </c>
      <c r="E323" s="18" t="str">
        <f>IFERROR(INDEX(Personnel[Ogretmen],$K323),"")</f>
        <v xml:space="preserve">Ziazetdinov Arslan </v>
      </c>
      <c r="F323" s="17" t="str">
        <f>IFERROR(INDEX(Personnel[[Sinav ]],$K323),"")</f>
        <v>16.06.2026 Sineva gitti gecdi</v>
      </c>
      <c r="G323" s="17" t="str">
        <f>IFERROR(INDEX(Personnel[Egtim durumu],$K323),"")</f>
        <v>Dil egitimi tamamlandi sinavdan gecti</v>
      </c>
      <c r="H323" s="17" t="str">
        <f>IFERROR(INDEX(Personnel[Shohruh Not],$K323),"")</f>
        <v>-</v>
      </c>
      <c r="I323" s="22">
        <f ca="1">IFERROR(INDEX(Personnel[Дней в РФ],$K323),"")</f>
        <v>81</v>
      </c>
      <c r="K323" s="23">
        <f t="array" ref="K323">IFERROR(_xlfn.AGGREGATE(15,6,(ROW(Personnel[Egtim durumu])-MIN(ROW(Personnel[Egtim durumu]))+1)/((Personnel[Egtim durumu]="Dil egitimi tamamlandi sinavdan gecti")),ROWS($K$7:K323)),"")</f>
        <v>396</v>
      </c>
    </row>
    <row r="324" spans="1:11" ht="25.5" x14ac:dyDescent="0.25">
      <c r="A324" s="40">
        <f>IFERROR(INDEX(Personnel[Sicil],$K324),"")</f>
        <v>644256</v>
      </c>
      <c r="B324" s="41" t="str">
        <f>IFERROR(INDEX(Personnel[Adi Soyadi],$K324),"")</f>
        <v>Матёкубов Мухаммад Максудбекович</v>
      </c>
      <c r="C324" s="40" t="str">
        <f>IFERROR(INDEX(Personnel[Vatandaslik],$K324),"")</f>
        <v>УЗБЕКИСТАН</v>
      </c>
      <c r="D324" s="40" t="str">
        <f>IFERROR(INDEX(Personnel[Santiye],$K324),"")</f>
        <v>GPP Proje</v>
      </c>
      <c r="E324" s="40" t="str">
        <f>IFERROR(INDEX(Personnel[Ogretmen],$K324),"")</f>
        <v xml:space="preserve">Ziazetdinov Arslan </v>
      </c>
      <c r="F324" s="41" t="str">
        <f>IFERROR(INDEX(Personnel[[Sinav ]],$K324),"")</f>
        <v>19.06.2026 Sineva gitti gecdi</v>
      </c>
      <c r="G324" s="41" t="str">
        <f>IFERROR(INDEX(Personnel[Egtim durumu],$K324),"")</f>
        <v>Dil egitimi tamamlandi sinavdan gecti</v>
      </c>
      <c r="H324" s="41" t="str">
        <f>IFERROR(INDEX(Personnel[Shohruh Not],$K324),"")</f>
        <v>-</v>
      </c>
      <c r="I324" s="42">
        <f ca="1">IFERROR(INDEX(Personnel[Дней в РФ],$K324),"")</f>
        <v>78</v>
      </c>
      <c r="K324" s="23">
        <f t="array" ref="K324">IFERROR(_xlfn.AGGREGATE(15,6,(ROW(Personnel[Egtim durumu])-MIN(ROW(Personnel[Egtim durumu]))+1)/((Personnel[Egtim durumu]="Dil egitimi tamamlandi sinavdan gecti")),ROWS($K$7:K324)),"")</f>
        <v>397</v>
      </c>
    </row>
    <row r="325" spans="1:11" x14ac:dyDescent="0.25">
      <c r="A325" s="18">
        <f>IFERROR(INDEX(Personnel[Sicil],$K325),"")</f>
        <v>644257</v>
      </c>
      <c r="B325" s="17" t="str">
        <f>IFERROR(INDEX(Personnel[Adi Soyadi],$K325),"")</f>
        <v xml:space="preserve">Султамуратов Матмурат Кемал Улы </v>
      </c>
      <c r="C325" s="18" t="str">
        <f>IFERROR(INDEX(Personnel[Vatandaslik],$K325),"")</f>
        <v>УЗБЕКИСТАН</v>
      </c>
      <c r="D325" s="18" t="str">
        <f>IFERROR(INDEX(Personnel[Santiye],$K325),"")</f>
        <v>GPP Proje</v>
      </c>
      <c r="E325" s="18" t="str">
        <f>IFERROR(INDEX(Personnel[Ogretmen],$K325),"")</f>
        <v xml:space="preserve">Ziazetdinov Arslan </v>
      </c>
      <c r="F325" s="17" t="str">
        <f>IFERROR(INDEX(Personnel[[Sinav ]],$K325),"")</f>
        <v>19.06.2026 Sineva gitti gecdi</v>
      </c>
      <c r="G325" s="17" t="str">
        <f>IFERROR(INDEX(Personnel[Egtim durumu],$K325),"")</f>
        <v>Dil egitimi tamamlandi sinavdan gecti</v>
      </c>
      <c r="H325" s="17" t="str">
        <f>IFERROR(INDEX(Personnel[Shohruh Not],$K325),"")</f>
        <v>-</v>
      </c>
      <c r="I325" s="22">
        <f ca="1">IFERROR(INDEX(Personnel[Дней в РФ],$K325),"")</f>
        <v>78</v>
      </c>
      <c r="K325" s="23">
        <f t="array" ref="K325">IFERROR(_xlfn.AGGREGATE(15,6,(ROW(Personnel[Egtim durumu])-MIN(ROW(Personnel[Egtim durumu]))+1)/((Personnel[Egtim durumu]="Dil egitimi tamamlandi sinavdan gecti")),ROWS($K$7:K325)),"")</f>
        <v>399</v>
      </c>
    </row>
    <row r="326" spans="1:11" ht="25.5" x14ac:dyDescent="0.25">
      <c r="A326" s="40">
        <f>IFERROR(INDEX(Personnel[Sicil],$K326),"")</f>
        <v>629084</v>
      </c>
      <c r="B326" s="41" t="str">
        <f>IFERROR(INDEX(Personnel[Adi Soyadi],$K326),"")</f>
        <v>Эгамбердиев Мухиддин Фахриддин Угли</v>
      </c>
      <c r="C326" s="40" t="str">
        <f>IFERROR(INDEX(Personnel[Vatandaslik],$K326),"")</f>
        <v>УЗБЕКИСТАН</v>
      </c>
      <c r="D326" s="40" t="str">
        <f>IFERROR(INDEX(Personnel[Santiye],$K326),"")</f>
        <v>GPP Proje</v>
      </c>
      <c r="E326" s="40" t="str">
        <f>IFERROR(INDEX(Personnel[Ogretmen],$K326),"")</f>
        <v xml:space="preserve">Ziazetdinov Arslan </v>
      </c>
      <c r="F326" s="41" t="str">
        <f>IFERROR(INDEX(Personnel[[Sinav ]],$K326),"")</f>
        <v>10.06.2026 Sineva gitti gecdi</v>
      </c>
      <c r="G326" s="41" t="str">
        <f>IFERROR(INDEX(Personnel[Egtim durumu],$K326),"")</f>
        <v>Dil egitimi tamamlandi sinavdan gecti</v>
      </c>
      <c r="H326" s="41" t="str">
        <f>IFERROR(INDEX(Personnel[Shohruh Not],$K326),"")</f>
        <v>-</v>
      </c>
      <c r="I326" s="40" t="str">
        <f ca="1">IFERROR(INDEX(Personnel[Дней в РФ],$K326),"")</f>
        <v>-</v>
      </c>
      <c r="K326" s="23">
        <f t="array" ref="K326">IFERROR(_xlfn.AGGREGATE(15,6,(ROW(Personnel[Egtim durumu])-MIN(ROW(Personnel[Egtim durumu]))+1)/((Personnel[Egtim durumu]="Dil egitimi tamamlandi sinavdan gecti")),ROWS($K$7:K326)),"")</f>
        <v>401</v>
      </c>
    </row>
    <row r="327" spans="1:11" ht="25.5" x14ac:dyDescent="0.25">
      <c r="A327" s="18">
        <f>IFERROR(INDEX(Personnel[Sicil],$K327),"")</f>
        <v>644202</v>
      </c>
      <c r="B327" s="17" t="str">
        <f>IFERROR(INDEX(Personnel[Adi Soyadi],$K327),"")</f>
        <v>Аллаяров Олимжон Толибович</v>
      </c>
      <c r="C327" s="18" t="str">
        <f>IFERROR(INDEX(Personnel[Vatandaslik],$K327),"")</f>
        <v>УЗБЕКИСТАН</v>
      </c>
      <c r="D327" s="18" t="str">
        <f>IFERROR(INDEX(Personnel[Santiye],$K327),"")</f>
        <v>GPP Proje</v>
      </c>
      <c r="E327" s="18" t="str">
        <f>IFERROR(INDEX(Personnel[Ogretmen],$K327),"")</f>
        <v xml:space="preserve">Ziazetdinov Arslan </v>
      </c>
      <c r="F327" s="17" t="str">
        <f>IFERROR(INDEX(Personnel[[Sinav ]],$K327),"")</f>
        <v>19.06.2026 Sineva gitti gecdi</v>
      </c>
      <c r="G327" s="17" t="str">
        <f>IFERROR(INDEX(Personnel[Egtim durumu],$K327),"")</f>
        <v>Dil egitimi tamamlandi sinavdan gecti</v>
      </c>
      <c r="H327" s="17" t="str">
        <f>IFERROR(INDEX(Personnel[Shohruh Not],$K327),"")</f>
        <v>Kendi sertifikada baba adi yanlis yazilmis</v>
      </c>
      <c r="I327" s="22">
        <f ca="1">IFERROR(INDEX(Personnel[Дней в РФ],$K327),"")</f>
        <v>81</v>
      </c>
      <c r="K327" s="23">
        <f t="array" ref="K327">IFERROR(_xlfn.AGGREGATE(15,6,(ROW(Personnel[Egtim durumu])-MIN(ROW(Personnel[Egtim durumu]))+1)/((Personnel[Egtim durumu]="Dil egitimi tamamlandi sinavdan gecti")),ROWS($K$7:K327)),"")</f>
        <v>402</v>
      </c>
    </row>
    <row r="328" spans="1:11" x14ac:dyDescent="0.25">
      <c r="A328" s="40">
        <f>IFERROR(INDEX(Personnel[Sicil],$K328),"")</f>
        <v>257357</v>
      </c>
      <c r="B328" s="41" t="str">
        <f>IFERROR(INDEX(Personnel[Adi Soyadi],$K328),"")</f>
        <v>Бакиев Бахадир Турсинбаевич</v>
      </c>
      <c r="C328" s="40" t="str">
        <f>IFERROR(INDEX(Personnel[Vatandaslik],$K328),"")</f>
        <v>УЗБЕКИСТАН</v>
      </c>
      <c r="D328" s="40" t="str">
        <f>IFERROR(INDEX(Personnel[Santiye],$K328),"")</f>
        <v>GPP Proje</v>
      </c>
      <c r="E328" s="40" t="str">
        <f>IFERROR(INDEX(Personnel[Ogretmen],$K328),"")</f>
        <v>-</v>
      </c>
      <c r="F328" s="41" t="str">
        <f>IFERROR(INDEX(Personnel[[Sinav ]],$K328),"")</f>
        <v>16.06.2026 Sineva gitti gecdi</v>
      </c>
      <c r="G328" s="41" t="str">
        <f>IFERROR(INDEX(Personnel[Egtim durumu],$K328),"")</f>
        <v>Dil egitimi tamamlandi sinavdan gecti</v>
      </c>
      <c r="H328" s="41" t="str">
        <f>IFERROR(INDEX(Personnel[Shohruh Not],$K328),"")</f>
        <v>-</v>
      </c>
      <c r="I328" s="42">
        <f ca="1">IFERROR(INDEX(Personnel[Дней в РФ],$K328),"")</f>
        <v>82</v>
      </c>
      <c r="K328" s="23">
        <f t="array" ref="K328">IFERROR(_xlfn.AGGREGATE(15,6,(ROW(Personnel[Egtim durumu])-MIN(ROW(Personnel[Egtim durumu]))+1)/((Personnel[Egtim durumu]="Dil egitimi tamamlandi sinavdan gecti")),ROWS($K$7:K328)),"")</f>
        <v>403</v>
      </c>
    </row>
    <row r="329" spans="1:11" x14ac:dyDescent="0.25">
      <c r="A329" s="18">
        <f>IFERROR(INDEX(Personnel[Sicil],$K329),"")</f>
        <v>537847</v>
      </c>
      <c r="B329" s="17" t="str">
        <f>IFERROR(INDEX(Personnel[Adi Soyadi],$K329),"")</f>
        <v>Очилдиев Хусанбой Жалил угли</v>
      </c>
      <c r="C329" s="18" t="str">
        <f>IFERROR(INDEX(Personnel[Vatandaslik],$K329),"")</f>
        <v>УЗБЕКИСТАН</v>
      </c>
      <c r="D329" s="18" t="str">
        <f>IFERROR(INDEX(Personnel[Santiye],$K329),"")</f>
        <v>GPP Proje</v>
      </c>
      <c r="E329" s="18" t="str">
        <f>IFERROR(INDEX(Personnel[Ogretmen],$K329),"")</f>
        <v xml:space="preserve">Ziazetdinov Arslan </v>
      </c>
      <c r="F329" s="17" t="str">
        <f>IFERROR(INDEX(Personnel[[Sinav ]],$K329),"")</f>
        <v>19.06.2026 Sineva gitti gecdi</v>
      </c>
      <c r="G329" s="17" t="str">
        <f>IFERROR(INDEX(Personnel[Egtim durumu],$K329),"")</f>
        <v>Dil egitimi tamamlandi sinavdan gecti</v>
      </c>
      <c r="H329" s="17" t="str">
        <f>IFERROR(INDEX(Personnel[Shohruh Not],$K329),"")</f>
        <v>Sertifikasi sahte</v>
      </c>
      <c r="I329" s="22">
        <f ca="1">IFERROR(INDEX(Personnel[Дней в РФ],$K329),"")</f>
        <v>81</v>
      </c>
      <c r="K329" s="23">
        <f t="array" ref="K329">IFERROR(_xlfn.AGGREGATE(15,6,(ROW(Personnel[Egtim durumu])-MIN(ROW(Personnel[Egtim durumu]))+1)/((Personnel[Egtim durumu]="Dil egitimi tamamlandi sinavdan gecti")),ROWS($K$7:K329)),"")</f>
        <v>405</v>
      </c>
    </row>
    <row r="330" spans="1:11" x14ac:dyDescent="0.25">
      <c r="A330" s="40">
        <f>IFERROR(INDEX(Personnel[Sicil],$K330),"")</f>
        <v>644293</v>
      </c>
      <c r="B330" s="41" t="str">
        <f>IFERROR(INDEX(Personnel[Adi Soyadi],$K330),"")</f>
        <v xml:space="preserve">Адинаев Жавохир Бобомурот Угли </v>
      </c>
      <c r="C330" s="40" t="str">
        <f>IFERROR(INDEX(Personnel[Vatandaslik],$K330),"")</f>
        <v>УЗБЕКИСТАН</v>
      </c>
      <c r="D330" s="40" t="str">
        <f>IFERROR(INDEX(Personnel[Santiye],$K330),"")</f>
        <v>GPP Proje</v>
      </c>
      <c r="E330" s="40" t="str">
        <f>IFERROR(INDEX(Personnel[Ogretmen],$K330),"")</f>
        <v xml:space="preserve">Ziazetdinov Arslan </v>
      </c>
      <c r="F330" s="41" t="str">
        <f>IFERROR(INDEX(Personnel[[Sinav ]],$K330),"")</f>
        <v>19.06.2026 Sineva gitti gecdi</v>
      </c>
      <c r="G330" s="41" t="str">
        <f>IFERROR(INDEX(Personnel[Egtim durumu],$K330),"")</f>
        <v>Dil egitimi tamamlandi sinavdan gecti</v>
      </c>
      <c r="H330" s="41" t="str">
        <f>IFERROR(INDEX(Personnel[Shohruh Not],$K330),"")</f>
        <v>-</v>
      </c>
      <c r="I330" s="42">
        <f ca="1">IFERROR(INDEX(Personnel[Дней в РФ],$K330),"")</f>
        <v>75</v>
      </c>
      <c r="K330" s="23">
        <f t="array" ref="K330">IFERROR(_xlfn.AGGREGATE(15,6,(ROW(Personnel[Egtim durumu])-MIN(ROW(Personnel[Egtim durumu]))+1)/((Personnel[Egtim durumu]="Dil egitimi tamamlandi sinavdan gecti")),ROWS($K$7:K330)),"")</f>
        <v>406</v>
      </c>
    </row>
    <row r="331" spans="1:11" x14ac:dyDescent="0.25">
      <c r="A331" s="18">
        <f>IFERROR(INDEX(Personnel[Sicil],$K331),"")</f>
        <v>607581</v>
      </c>
      <c r="B331" s="17" t="str">
        <f>IFERROR(INDEX(Personnel[Adi Soyadi],$K331),"")</f>
        <v>Хазратов Бахрам Халикович</v>
      </c>
      <c r="C331" s="18" t="str">
        <f>IFERROR(INDEX(Personnel[Vatandaslik],$K331),"")</f>
        <v>УЗБЕКИСТАН</v>
      </c>
      <c r="D331" s="18" t="str">
        <f>IFERROR(INDEX(Personnel[Santiye],$K331),"")</f>
        <v>GPP Proje</v>
      </c>
      <c r="E331" s="18" t="str">
        <f>IFERROR(INDEX(Personnel[Ogretmen],$K331),"")</f>
        <v xml:space="preserve">Ziazetdinov Arslan </v>
      </c>
      <c r="F331" s="17" t="str">
        <f>IFERROR(INDEX(Personnel[[Sinav ]],$K331),"")</f>
        <v>19.06.2026 Sineva gitti gecdi</v>
      </c>
      <c r="G331" s="17" t="str">
        <f>IFERROR(INDEX(Personnel[Egtim durumu],$K331),"")</f>
        <v>Dil egitimi tamamlandi sinavdan gecti</v>
      </c>
      <c r="H331" s="17" t="str">
        <f>IFERROR(INDEX(Personnel[Shohruh Not],$K331),"")</f>
        <v>-</v>
      </c>
      <c r="I331" s="22">
        <f ca="1">IFERROR(INDEX(Personnel[Дней в РФ],$K331),"")</f>
        <v>75</v>
      </c>
      <c r="K331" s="23">
        <f t="array" ref="K331">IFERROR(_xlfn.AGGREGATE(15,6,(ROW(Personnel[Egtim durumu])-MIN(ROW(Personnel[Egtim durumu]))+1)/((Personnel[Egtim durumu]="Dil egitimi tamamlandi sinavdan gecti")),ROWS($K$7:K331)),"")</f>
        <v>408</v>
      </c>
    </row>
    <row r="332" spans="1:11" x14ac:dyDescent="0.25">
      <c r="A332" s="40">
        <f>IFERROR(INDEX(Personnel[Sicil],$K332),"")</f>
        <v>602154</v>
      </c>
      <c r="B332" s="41" t="str">
        <f>IFERROR(INDEX(Personnel[Adi Soyadi],$K332),"")</f>
        <v xml:space="preserve">Холикулов Зафарджон Раджабович </v>
      </c>
      <c r="C332" s="40" t="str">
        <f>IFERROR(INDEX(Personnel[Vatandaslik],$K332),"")</f>
        <v>УЗБЕКИСТАН</v>
      </c>
      <c r="D332" s="40" t="str">
        <f>IFERROR(INDEX(Personnel[Santiye],$K332),"")</f>
        <v>GPP Proje</v>
      </c>
      <c r="E332" s="40" t="str">
        <f>IFERROR(INDEX(Personnel[Ogretmen],$K332),"")</f>
        <v>-</v>
      </c>
      <c r="F332" s="41" t="str">
        <f>IFERROR(INDEX(Personnel[[Sinav ]],$K332),"")</f>
        <v>16.06.2026 Sineva gitti gecdi</v>
      </c>
      <c r="G332" s="41" t="str">
        <f>IFERROR(INDEX(Personnel[Egtim durumu],$K332),"")</f>
        <v>Dil egitimi tamamlandi sinavdan gecti</v>
      </c>
      <c r="H332" s="41" t="str">
        <f>IFERROR(INDEX(Personnel[Shohruh Not],$K332),"")</f>
        <v>-</v>
      </c>
      <c r="I332" s="42">
        <f ca="1">IFERROR(INDEX(Personnel[Дней в РФ],$K332),"")</f>
        <v>75</v>
      </c>
      <c r="K332" s="23">
        <f t="array" ref="K332">IFERROR(_xlfn.AGGREGATE(15,6,(ROW(Personnel[Egtim durumu])-MIN(ROW(Personnel[Egtim durumu]))+1)/((Personnel[Egtim durumu]="Dil egitimi tamamlandi sinavdan gecti")),ROWS($K$7:K332)),"")</f>
        <v>409</v>
      </c>
    </row>
    <row r="333" spans="1:11" x14ac:dyDescent="0.25">
      <c r="A333" s="18">
        <f>IFERROR(INDEX(Personnel[Sicil],$K333),"")</f>
        <v>539114</v>
      </c>
      <c r="B333" s="17" t="str">
        <f>IFERROR(INDEX(Personnel[Adi Soyadi],$K333),"")</f>
        <v>Худжаёров Муродилло Сапарович</v>
      </c>
      <c r="C333" s="18" t="str">
        <f>IFERROR(INDEX(Personnel[Vatandaslik],$K333),"")</f>
        <v>УЗБЕКИСТАН</v>
      </c>
      <c r="D333" s="18" t="str">
        <f>IFERROR(INDEX(Personnel[Santiye],$K333),"")</f>
        <v>GPP Proje</v>
      </c>
      <c r="E333" s="18" t="str">
        <f>IFERROR(INDEX(Personnel[Ogretmen],$K333),"")</f>
        <v xml:space="preserve">Ziazetdinov Arslan </v>
      </c>
      <c r="F333" s="17" t="str">
        <f>IFERROR(INDEX(Personnel[[Sinav ]],$K333),"")</f>
        <v>19.06.2026 Sineva gitti gecdi</v>
      </c>
      <c r="G333" s="17" t="str">
        <f>IFERROR(INDEX(Personnel[Egtim durumu],$K333),"")</f>
        <v>Dil egitimi tamamlandi sinavdan gecti</v>
      </c>
      <c r="H333" s="17" t="str">
        <f>IFERROR(INDEX(Personnel[Shohruh Not],$K333),"")</f>
        <v>-</v>
      </c>
      <c r="I333" s="22">
        <f ca="1">IFERROR(INDEX(Personnel[Дней в РФ],$K333),"")</f>
        <v>75</v>
      </c>
      <c r="K333" s="23">
        <f t="array" ref="K333">IFERROR(_xlfn.AGGREGATE(15,6,(ROW(Personnel[Egtim durumu])-MIN(ROW(Personnel[Egtim durumu]))+1)/((Personnel[Egtim durumu]="Dil egitimi tamamlandi sinavdan gecti")),ROWS($K$7:K333)),"")</f>
        <v>410</v>
      </c>
    </row>
    <row r="334" spans="1:11" x14ac:dyDescent="0.25">
      <c r="A334" s="40">
        <f>IFERROR(INDEX(Personnel[Sicil],$K334),"")</f>
        <v>644173</v>
      </c>
      <c r="B334" s="41" t="str">
        <f>IFERROR(INDEX(Personnel[Adi Soyadi],$K334),"")</f>
        <v xml:space="preserve">Холматов Арслон Мустофаевич </v>
      </c>
      <c r="C334" s="40" t="str">
        <f>IFERROR(INDEX(Personnel[Vatandaslik],$K334),"")</f>
        <v>УЗБЕКИСТАН</v>
      </c>
      <c r="D334" s="40" t="str">
        <f>IFERROR(INDEX(Personnel[Santiye],$K334),"")</f>
        <v>GPP Proje</v>
      </c>
      <c r="E334" s="40" t="str">
        <f>IFERROR(INDEX(Personnel[Ogretmen],$K334),"")</f>
        <v xml:space="preserve">Ziazetdinov Arslan </v>
      </c>
      <c r="F334" s="41" t="str">
        <f>IFERROR(INDEX(Personnel[[Sinav ]],$K334),"")</f>
        <v>19.06.2026 Sineva gitti gecdi</v>
      </c>
      <c r="G334" s="41" t="str">
        <f>IFERROR(INDEX(Personnel[Egtim durumu],$K334),"")</f>
        <v>Dil egitimi tamamlandi sinavdan gecti</v>
      </c>
      <c r="H334" s="41" t="str">
        <f>IFERROR(INDEX(Personnel[Shohruh Not],$K334),"")</f>
        <v>Sertifikasi sahte</v>
      </c>
      <c r="I334" s="42">
        <f ca="1">IFERROR(INDEX(Personnel[Дней в РФ],$K334),"")</f>
        <v>82</v>
      </c>
      <c r="K334" s="23">
        <f t="array" ref="K334">IFERROR(_xlfn.AGGREGATE(15,6,(ROW(Personnel[Egtim durumu])-MIN(ROW(Personnel[Egtim durumu]))+1)/((Personnel[Egtim durumu]="Dil egitimi tamamlandi sinavdan gecti")),ROWS($K$7:K334)),"")</f>
        <v>411</v>
      </c>
    </row>
    <row r="335" spans="1:11" x14ac:dyDescent="0.25">
      <c r="A335" s="18">
        <f>IFERROR(INDEX(Personnel[Sicil],$K335),"")</f>
        <v>260041</v>
      </c>
      <c r="B335" s="17" t="str">
        <f>IFERROR(INDEX(Personnel[Adi Soyadi],$K335),"")</f>
        <v>Султанов Шухрат Кошаевич</v>
      </c>
      <c r="C335" s="18" t="str">
        <f>IFERROR(INDEX(Personnel[Vatandaslik],$K335),"")</f>
        <v>УЗБЕКИСТАН</v>
      </c>
      <c r="D335" s="18" t="str">
        <f>IFERROR(INDEX(Personnel[Santiye],$K335),"")</f>
        <v>GPP Proje</v>
      </c>
      <c r="E335" s="18" t="str">
        <f>IFERROR(INDEX(Personnel[Ogretmen],$K335),"")</f>
        <v xml:space="preserve">Ziazetdinov Arslan </v>
      </c>
      <c r="F335" s="17" t="str">
        <f>IFERROR(INDEX(Personnel[[Sinav ]],$K335),"")</f>
        <v>19.06.2026 Sineva gitti gecdi</v>
      </c>
      <c r="G335" s="17" t="str">
        <f>IFERROR(INDEX(Personnel[Egtim durumu],$K335),"")</f>
        <v>Dil egitimi tamamlandi sinavdan gecti</v>
      </c>
      <c r="H335" s="17" t="str">
        <f>IFERROR(INDEX(Personnel[Shohruh Not],$K335),"")</f>
        <v>atestatini UFMS kabul etmedi</v>
      </c>
      <c r="I335" s="22">
        <f ca="1">IFERROR(INDEX(Personnel[Дней в РФ],$K335),"")</f>
        <v>84</v>
      </c>
      <c r="K335" s="23">
        <f t="array" ref="K335">IFERROR(_xlfn.AGGREGATE(15,6,(ROW(Personnel[Egtim durumu])-MIN(ROW(Personnel[Egtim durumu]))+1)/((Personnel[Egtim durumu]="Dil egitimi tamamlandi sinavdan gecti")),ROWS($K$7:K335)),"")</f>
        <v>412</v>
      </c>
    </row>
    <row r="336" spans="1:11" x14ac:dyDescent="0.25">
      <c r="A336" s="40">
        <f>IFERROR(INDEX(Personnel[Sicil],$K336),"")</f>
        <v>644317</v>
      </c>
      <c r="B336" s="41" t="str">
        <f>IFERROR(INDEX(Personnel[Adi Soyadi],$K336),"")</f>
        <v xml:space="preserve">Эгамбердиев Фарид Шухрат Угли </v>
      </c>
      <c r="C336" s="40" t="str">
        <f>IFERROR(INDEX(Personnel[Vatandaslik],$K336),"")</f>
        <v>УЗБЕКИСТАН</v>
      </c>
      <c r="D336" s="40" t="str">
        <f>IFERROR(INDEX(Personnel[Santiye],$K336),"")</f>
        <v>GPP Proje</v>
      </c>
      <c r="E336" s="40" t="str">
        <f>IFERROR(INDEX(Personnel[Ogretmen],$K336),"")</f>
        <v xml:space="preserve">Ziazetdinov Arslan </v>
      </c>
      <c r="F336" s="41" t="str">
        <f>IFERROR(INDEX(Personnel[[Sinav ]],$K336),"")</f>
        <v>19.06.2026 Sineva gitti gecdi</v>
      </c>
      <c r="G336" s="41" t="str">
        <f>IFERROR(INDEX(Personnel[Egtim durumu],$K336),"")</f>
        <v>Dil egitimi tamamlandi sinavdan gecti</v>
      </c>
      <c r="H336" s="41" t="str">
        <f>IFERROR(INDEX(Personnel[Shohruh Not],$K336),"")</f>
        <v>-</v>
      </c>
      <c r="I336" s="42">
        <f ca="1">IFERROR(INDEX(Personnel[Дней в РФ],$K336),"")</f>
        <v>74</v>
      </c>
      <c r="K336" s="23">
        <f t="array" ref="K336">IFERROR(_xlfn.AGGREGATE(15,6,(ROW(Personnel[Egtim durumu])-MIN(ROW(Personnel[Egtim durumu]))+1)/((Personnel[Egtim durumu]="Dil egitimi tamamlandi sinavdan gecti")),ROWS($K$7:K336)),"")</f>
        <v>413</v>
      </c>
    </row>
    <row r="337" spans="1:11" ht="25.5" x14ac:dyDescent="0.25">
      <c r="A337" s="18">
        <f>IFERROR(INDEX(Personnel[Sicil],$K337),"")</f>
        <v>607990</v>
      </c>
      <c r="B337" s="17" t="str">
        <f>IFERROR(INDEX(Personnel[Adi Soyadi],$K337),"")</f>
        <v>Эримбетова Шахида Муратбаевна</v>
      </c>
      <c r="C337" s="18" t="str">
        <f>IFERROR(INDEX(Personnel[Vatandaslik],$K337),"")</f>
        <v>УЗБЕКИСТАН</v>
      </c>
      <c r="D337" s="18" t="str">
        <f>IFERROR(INDEX(Personnel[Santiye],$K337),"")</f>
        <v>GPP Proje</v>
      </c>
      <c r="E337" s="18" t="str">
        <f>IFERROR(INDEX(Personnel[Ogretmen],$K337),"")</f>
        <v>Ziazetdinov Arslan / Ziazetdinov Arslan</v>
      </c>
      <c r="F337" s="17" t="str">
        <f>IFERROR(INDEX(Personnel[[Sinav ]],$K337),"")</f>
        <v>23.06.2026 Sineva gitti gecemedi /30.06.2026 Sineva gitti gecdi</v>
      </c>
      <c r="G337" s="17" t="str">
        <f>IFERROR(INDEX(Personnel[Egtim durumu],$K337),"")</f>
        <v>Dil egitimi tamamlandi sinavdan gecti</v>
      </c>
      <c r="H337" s="17" t="str">
        <f>IFERROR(INDEX(Personnel[Shohruh Not],$K337),"")</f>
        <v>-</v>
      </c>
      <c r="I337" s="22">
        <f ca="1">IFERROR(INDEX(Personnel[Дней в РФ],$K337),"")</f>
        <v>214</v>
      </c>
      <c r="K337" s="23">
        <f t="array" ref="K337">IFERROR(_xlfn.AGGREGATE(15,6,(ROW(Personnel[Egtim durumu])-MIN(ROW(Personnel[Egtim durumu]))+1)/((Personnel[Egtim durumu]="Dil egitimi tamamlandi sinavdan gecti")),ROWS($K$7:K337)),"")</f>
        <v>414</v>
      </c>
    </row>
    <row r="338" spans="1:11" x14ac:dyDescent="0.25">
      <c r="A338" s="40">
        <f>IFERROR(INDEX(Personnel[Sicil],$K338),"")</f>
        <v>644319</v>
      </c>
      <c r="B338" s="41" t="str">
        <f>IFERROR(INDEX(Personnel[Adi Soyadi],$K338),"")</f>
        <v xml:space="preserve">Хожиев Икболбек Иброхимович </v>
      </c>
      <c r="C338" s="40" t="str">
        <f>IFERROR(INDEX(Personnel[Vatandaslik],$K338),"")</f>
        <v>УЗБЕКИСТАН</v>
      </c>
      <c r="D338" s="40" t="str">
        <f>IFERROR(INDEX(Personnel[Santiye],$K338),"")</f>
        <v>GPP Proje</v>
      </c>
      <c r="E338" s="40" t="str">
        <f>IFERROR(INDEX(Personnel[Ogretmen],$K338),"")</f>
        <v xml:space="preserve">Ziazetdinov Arslan </v>
      </c>
      <c r="F338" s="41" t="str">
        <f>IFERROR(INDEX(Personnel[[Sinav ]],$K338),"")</f>
        <v>19.06.2026 Sineva gitti gecdi</v>
      </c>
      <c r="G338" s="41" t="str">
        <f>IFERROR(INDEX(Personnel[Egtim durumu],$K338),"")</f>
        <v>Dil egitimi tamamlandi sinavdan gecti</v>
      </c>
      <c r="H338" s="41" t="str">
        <f>IFERROR(INDEX(Personnel[Shohruh Not],$K338),"")</f>
        <v>-</v>
      </c>
      <c r="I338" s="42">
        <f ca="1">IFERROR(INDEX(Personnel[Дней в РФ],$K338),"")</f>
        <v>74</v>
      </c>
      <c r="K338" s="23">
        <f t="array" ref="K338">IFERROR(_xlfn.AGGREGATE(15,6,(ROW(Personnel[Egtim durumu])-MIN(ROW(Personnel[Egtim durumu]))+1)/((Personnel[Egtim durumu]="Dil egitimi tamamlandi sinavdan gecti")),ROWS($K$7:K338)),"")</f>
        <v>415</v>
      </c>
    </row>
    <row r="339" spans="1:11" ht="25.5" x14ac:dyDescent="0.25">
      <c r="A339" s="18">
        <f>IFERROR(INDEX(Personnel[Sicil],$K339),"")</f>
        <v>644312</v>
      </c>
      <c r="B339" s="17" t="str">
        <f>IFERROR(INDEX(Personnel[Adi Soyadi],$K339),"")</f>
        <v xml:space="preserve">Мамадалиев Шохрухбек Асадулла Угли </v>
      </c>
      <c r="C339" s="18" t="str">
        <f>IFERROR(INDEX(Personnel[Vatandaslik],$K339),"")</f>
        <v>УЗБЕКИСТАН</v>
      </c>
      <c r="D339" s="18" t="str">
        <f>IFERROR(INDEX(Personnel[Santiye],$K339),"")</f>
        <v>GPP Proje</v>
      </c>
      <c r="E339" s="18" t="str">
        <f>IFERROR(INDEX(Personnel[Ogretmen],$K339),"")</f>
        <v xml:space="preserve">Ziazetdinov Arslan </v>
      </c>
      <c r="F339" s="17" t="str">
        <f>IFERROR(INDEX(Personnel[[Sinav ]],$K339),"")</f>
        <v>19.06.2026 Sineva gitti gecdi</v>
      </c>
      <c r="G339" s="17" t="str">
        <f>IFERROR(INDEX(Personnel[Egtim durumu],$K339),"")</f>
        <v>Dil egitimi tamamlandi sinavdan gecti</v>
      </c>
      <c r="H339" s="17" t="str">
        <f>IFERROR(INDEX(Personnel[Shohruh Not],$K339),"")</f>
        <v>-</v>
      </c>
      <c r="I339" s="22">
        <f ca="1">IFERROR(INDEX(Personnel[Дней в РФ],$K339),"")</f>
        <v>74</v>
      </c>
      <c r="K339" s="23">
        <f t="array" ref="K339">IFERROR(_xlfn.AGGREGATE(15,6,(ROW(Personnel[Egtim durumu])-MIN(ROW(Personnel[Egtim durumu]))+1)/((Personnel[Egtim durumu]="Dil egitimi tamamlandi sinavdan gecti")),ROWS($K$7:K339)),"")</f>
        <v>416</v>
      </c>
    </row>
    <row r="340" spans="1:11" x14ac:dyDescent="0.25">
      <c r="A340" s="40">
        <f>IFERROR(INDEX(Personnel[Sicil],$K340),"")</f>
        <v>644308</v>
      </c>
      <c r="B340" s="41" t="str">
        <f>IFERROR(INDEX(Personnel[Adi Soyadi],$K340),"")</f>
        <v xml:space="preserve">Мустафаев Камал Бахман Оглы </v>
      </c>
      <c r="C340" s="40" t="str">
        <f>IFERROR(INDEX(Personnel[Vatandaslik],$K340),"")</f>
        <v>АЗЕРБАЙДЖАН</v>
      </c>
      <c r="D340" s="40" t="str">
        <f>IFERROR(INDEX(Personnel[Santiye],$K340),"")</f>
        <v>GPP Proje</v>
      </c>
      <c r="E340" s="40" t="str">
        <f>IFERROR(INDEX(Personnel[Ogretmen],$K340),"")</f>
        <v xml:space="preserve">Ziazetdinov Arslan </v>
      </c>
      <c r="F340" s="41" t="str">
        <f>IFERROR(INDEX(Personnel[[Sinav ]],$K340),"")</f>
        <v>19.06.2026 Sineva gitti gecdi</v>
      </c>
      <c r="G340" s="41" t="str">
        <f>IFERROR(INDEX(Personnel[Egtim durumu],$K340),"")</f>
        <v>Dil egitimi tamamlandi sinavdan gecti</v>
      </c>
      <c r="H340" s="41" t="str">
        <f>IFERROR(INDEX(Personnel[Shohruh Not],$K340),"")</f>
        <v>-</v>
      </c>
      <c r="I340" s="42">
        <f ca="1">IFERROR(INDEX(Personnel[Дней в РФ],$K340),"")</f>
        <v>75</v>
      </c>
      <c r="K340" s="23">
        <f t="array" ref="K340">IFERROR(_xlfn.AGGREGATE(15,6,(ROW(Personnel[Egtim durumu])-MIN(ROW(Personnel[Egtim durumu]))+1)/((Personnel[Egtim durumu]="Dil egitimi tamamlandi sinavdan gecti")),ROWS($K$7:K340)),"")</f>
        <v>417</v>
      </c>
    </row>
    <row r="341" spans="1:11" x14ac:dyDescent="0.25">
      <c r="A341" s="18">
        <f>IFERROR(INDEX(Personnel[Sicil],$K341),"")</f>
        <v>613080</v>
      </c>
      <c r="B341" s="17" t="str">
        <f>IFERROR(INDEX(Personnel[Adi Soyadi],$K341),"")</f>
        <v>Шарипов Нураддин Хажибаевич</v>
      </c>
      <c r="C341" s="18" t="str">
        <f>IFERROR(INDEX(Personnel[Vatandaslik],$K341),"")</f>
        <v>УЗБЕКИСТАН</v>
      </c>
      <c r="D341" s="18" t="str">
        <f>IFERROR(INDEX(Personnel[Santiye],$K341),"")</f>
        <v>GPP Proje</v>
      </c>
      <c r="E341" s="18" t="str">
        <f>IFERROR(INDEX(Personnel[Ogretmen],$K341),"")</f>
        <v xml:space="preserve">Ziazetdinov Arslan </v>
      </c>
      <c r="F341" s="17" t="str">
        <f>IFERROR(INDEX(Personnel[[Sinav ]],$K341),"")</f>
        <v>19.06.2026 Sineva gitti gecdi</v>
      </c>
      <c r="G341" s="17" t="str">
        <f>IFERROR(INDEX(Personnel[Egtim durumu],$K341),"")</f>
        <v>Dil egitimi tamamlandi sinavdan gecti</v>
      </c>
      <c r="H341" s="17" t="str">
        <f>IFERROR(INDEX(Personnel[Shohruh Not],$K341),"")</f>
        <v>-</v>
      </c>
      <c r="I341" s="22">
        <f ca="1">IFERROR(INDEX(Personnel[Дней в РФ],$K341),"")</f>
        <v>74</v>
      </c>
      <c r="K341" s="23">
        <f t="array" ref="K341">IFERROR(_xlfn.AGGREGATE(15,6,(ROW(Personnel[Egtim durumu])-MIN(ROW(Personnel[Egtim durumu]))+1)/((Personnel[Egtim durumu]="Dil egitimi tamamlandi sinavdan gecti")),ROWS($K$7:K341)),"")</f>
        <v>418</v>
      </c>
    </row>
    <row r="342" spans="1:11" ht="25.5" x14ac:dyDescent="0.25">
      <c r="A342" s="40">
        <f>IFERROR(INDEX(Personnel[Sicil],$K342),"")</f>
        <v>615183</v>
      </c>
      <c r="B342" s="41" t="str">
        <f>IFERROR(INDEX(Personnel[Adi Soyadi],$K342),"")</f>
        <v>Тоджибоев Салохиддин Низомидинович</v>
      </c>
      <c r="C342" s="40" t="str">
        <f>IFERROR(INDEX(Personnel[Vatandaslik],$K342),"")</f>
        <v>УЗБЕКИСТАН</v>
      </c>
      <c r="D342" s="40" t="str">
        <f>IFERROR(INDEX(Personnel[Santiye],$K342),"")</f>
        <v>GPP Proje</v>
      </c>
      <c r="E342" s="40" t="str">
        <f>IFERROR(INDEX(Personnel[Ogretmen],$K342),"")</f>
        <v xml:space="preserve">Ziazetdinov Arslan </v>
      </c>
      <c r="F342" s="41" t="str">
        <f>IFERROR(INDEX(Personnel[[Sinav ]],$K342),"")</f>
        <v>19.06.2026 Sineva gitti gecdi</v>
      </c>
      <c r="G342" s="41" t="str">
        <f>IFERROR(INDEX(Personnel[Egtim durumu],$K342),"")</f>
        <v>Dil egitimi tamamlandi sinavdan gecti</v>
      </c>
      <c r="H342" s="41" t="str">
        <f>IFERROR(INDEX(Personnel[Shohruh Not],$K342),"")</f>
        <v>-</v>
      </c>
      <c r="I342" s="42">
        <f ca="1">IFERROR(INDEX(Personnel[Дней в РФ],$K342),"")</f>
        <v>74</v>
      </c>
      <c r="K342" s="23">
        <f t="array" ref="K342">IFERROR(_xlfn.AGGREGATE(15,6,(ROW(Personnel[Egtim durumu])-MIN(ROW(Personnel[Egtim durumu]))+1)/((Personnel[Egtim durumu]="Dil egitimi tamamlandi sinavdan gecti")),ROWS($K$7:K342)),"")</f>
        <v>419</v>
      </c>
    </row>
    <row r="343" spans="1:11" x14ac:dyDescent="0.25">
      <c r="A343" s="18">
        <f>IFERROR(INDEX(Personnel[Sicil],$K343),"")</f>
        <v>403489</v>
      </c>
      <c r="B343" s="17" t="str">
        <f>IFERROR(INDEX(Personnel[Adi Soyadi],$K343),"")</f>
        <v>Вапаев Даниер Дурдибаевич</v>
      </c>
      <c r="C343" s="18" t="str">
        <f>IFERROR(INDEX(Personnel[Vatandaslik],$K343),"")</f>
        <v>УЗБЕКИСТАН</v>
      </c>
      <c r="D343" s="18" t="str">
        <f>IFERROR(INDEX(Personnel[Santiye],$K343),"")</f>
        <v>GPP Proje</v>
      </c>
      <c r="E343" s="18" t="str">
        <f>IFERROR(INDEX(Personnel[Ogretmen],$K343),"")</f>
        <v xml:space="preserve">Ziazetdinov Arslan </v>
      </c>
      <c r="F343" s="17" t="str">
        <f>IFERROR(INDEX(Personnel[[Sinav ]],$K343),"")</f>
        <v>23.06.2026 Sineva gitti gecdi</v>
      </c>
      <c r="G343" s="17" t="str">
        <f>IFERROR(INDEX(Personnel[Egtim durumu],$K343),"")</f>
        <v>Dil egitimi tamamlandi sinavdan gecti</v>
      </c>
      <c r="H343" s="17" t="str">
        <f>IFERROR(INDEX(Personnel[Shohruh Not],$K343),"")</f>
        <v>-</v>
      </c>
      <c r="I343" s="22">
        <f ca="1">IFERROR(INDEX(Personnel[Дней в РФ],$K343),"")</f>
        <v>77</v>
      </c>
      <c r="K343" s="23">
        <f t="array" ref="K343">IFERROR(_xlfn.AGGREGATE(15,6,(ROW(Personnel[Egtim durumu])-MIN(ROW(Personnel[Egtim durumu]))+1)/((Personnel[Egtim durumu]="Dil egitimi tamamlandi sinavdan gecti")),ROWS($K$7:K343)),"")</f>
        <v>420</v>
      </c>
    </row>
    <row r="344" spans="1:11" ht="25.5" x14ac:dyDescent="0.25">
      <c r="A344" s="40">
        <f>IFERROR(INDEX(Personnel[Sicil],$K344),"")</f>
        <v>643985</v>
      </c>
      <c r="B344" s="41" t="str">
        <f>IFERROR(INDEX(Personnel[Adi Soyadi],$K344),"")</f>
        <v xml:space="preserve">Культураев Икром Рузибоевич </v>
      </c>
      <c r="C344" s="40" t="str">
        <f>IFERROR(INDEX(Personnel[Vatandaslik],$K344),"")</f>
        <v>УЗБЕКИСТАН</v>
      </c>
      <c r="D344" s="40" t="str">
        <f>IFERROR(INDEX(Personnel[Santiye],$K344),"")</f>
        <v>GPP Proje</v>
      </c>
      <c r="E344" s="40" t="str">
        <f>IFERROR(INDEX(Personnel[Ogretmen],$K344),"")</f>
        <v>Ziazetdinov Arslan / Ziazetdinov Arslan</v>
      </c>
      <c r="F344" s="41" t="str">
        <f>IFERROR(INDEX(Personnel[[Sinav ]],$K344),"")</f>
        <v>19.06.2026 Sineva gitti gecemedi /23.06.2026 Sineva gitti gecdi</v>
      </c>
      <c r="G344" s="41" t="str">
        <f>IFERROR(INDEX(Personnel[Egtim durumu],$K344),"")</f>
        <v>Dil egitimi tamamlandi sinavdan gecti</v>
      </c>
      <c r="H344" s="41" t="str">
        <f>IFERROR(INDEX(Personnel[Shohruh Not],$K344),"")</f>
        <v>-</v>
      </c>
      <c r="I344" s="42">
        <f ca="1">IFERROR(INDEX(Personnel[Дней в РФ],$K344),"")</f>
        <v>73</v>
      </c>
      <c r="K344" s="23">
        <f t="array" ref="K344">IFERROR(_xlfn.AGGREGATE(15,6,(ROW(Personnel[Egtim durumu])-MIN(ROW(Personnel[Egtim durumu]))+1)/((Personnel[Egtim durumu]="Dil egitimi tamamlandi sinavdan gecti")),ROWS($K$7:K344)),"")</f>
        <v>421</v>
      </c>
    </row>
    <row r="345" spans="1:11" x14ac:dyDescent="0.25">
      <c r="A345" s="18">
        <f>IFERROR(INDEX(Personnel[Sicil],$K345),"")</f>
        <v>644631</v>
      </c>
      <c r="B345" s="17" t="str">
        <f>IFERROR(INDEX(Personnel[Adi Soyadi],$K345),"")</f>
        <v xml:space="preserve">Улмасов Махсаджон Солижонович </v>
      </c>
      <c r="C345" s="18" t="str">
        <f>IFERROR(INDEX(Personnel[Vatandaslik],$K345),"")</f>
        <v>УЗБЕКИСТАН</v>
      </c>
      <c r="D345" s="18" t="str">
        <f>IFERROR(INDEX(Personnel[Santiye],$K345),"")</f>
        <v>GPP Proje</v>
      </c>
      <c r="E345" s="18" t="str">
        <f>IFERROR(INDEX(Personnel[Ogretmen],$K345),"")</f>
        <v xml:space="preserve">Ziazetdinov Arslan </v>
      </c>
      <c r="F345" s="17" t="str">
        <f>IFERROR(INDEX(Personnel[[Sinav ]],$K345),"")</f>
        <v>19.06.2026 Sineva gitti gecdi</v>
      </c>
      <c r="G345" s="17" t="str">
        <f>IFERROR(INDEX(Personnel[Egtim durumu],$K345),"")</f>
        <v>Dil egitimi tamamlandi sinavdan gecti</v>
      </c>
      <c r="H345" s="17" t="str">
        <f>IFERROR(INDEX(Personnel[Shohruh Not],$K345),"")</f>
        <v>-</v>
      </c>
      <c r="I345" s="22">
        <f ca="1">IFERROR(INDEX(Personnel[Дней в РФ],$K345),"")</f>
        <v>73</v>
      </c>
      <c r="K345" s="23">
        <f t="array" ref="K345">IFERROR(_xlfn.AGGREGATE(15,6,(ROW(Personnel[Egtim durumu])-MIN(ROW(Personnel[Egtim durumu]))+1)/((Personnel[Egtim durumu]="Dil egitimi tamamlandi sinavdan gecti")),ROWS($K$7:K345)),"")</f>
        <v>422</v>
      </c>
    </row>
    <row r="346" spans="1:11" x14ac:dyDescent="0.25">
      <c r="A346" s="40">
        <f>IFERROR(INDEX(Personnel[Sicil],$K346),"")</f>
        <v>622445</v>
      </c>
      <c r="B346" s="41" t="str">
        <f>IFERROR(INDEX(Personnel[Adi Soyadi],$K346),"")</f>
        <v>Ибрагимов Марахим Интигам оглы</v>
      </c>
      <c r="C346" s="40" t="str">
        <f>IFERROR(INDEX(Personnel[Vatandaslik],$K346),"")</f>
        <v>АЗЕРБАЙДЖАН</v>
      </c>
      <c r="D346" s="40" t="str">
        <f>IFERROR(INDEX(Personnel[Santiye],$K346),"")</f>
        <v>GPP Proje</v>
      </c>
      <c r="E346" s="40" t="str">
        <f>IFERROR(INDEX(Personnel[Ogretmen],$K346),"")</f>
        <v xml:space="preserve">Ziazetdinov Arslan </v>
      </c>
      <c r="F346" s="41" t="str">
        <f>IFERROR(INDEX(Personnel[[Sinav ]],$K346),"")</f>
        <v>23.06.2026 Sineva gitti gecdi</v>
      </c>
      <c r="G346" s="41" t="str">
        <f>IFERROR(INDEX(Personnel[Egtim durumu],$K346),"")</f>
        <v>Dil egitimi tamamlandi sinavdan gecti</v>
      </c>
      <c r="H346" s="41" t="str">
        <f>IFERROR(INDEX(Personnel[Shohruh Not],$K346),"")</f>
        <v>-</v>
      </c>
      <c r="I346" s="42">
        <f ca="1">IFERROR(INDEX(Personnel[Дней в РФ],$K346),"")</f>
        <v>479</v>
      </c>
      <c r="K346" s="23">
        <f t="array" ref="K346">IFERROR(_xlfn.AGGREGATE(15,6,(ROW(Personnel[Egtim durumu])-MIN(ROW(Personnel[Egtim durumu]))+1)/((Personnel[Egtim durumu]="Dil egitimi tamamlandi sinavdan gecti")),ROWS($K$7:K346)),"")</f>
        <v>423</v>
      </c>
    </row>
    <row r="347" spans="1:11" x14ac:dyDescent="0.25">
      <c r="A347" s="18">
        <f>IFERROR(INDEX(Personnel[Sicil],$K347),"")</f>
        <v>627344</v>
      </c>
      <c r="B347" s="17" t="str">
        <f>IFERROR(INDEX(Personnel[Adi Soyadi],$K347),"")</f>
        <v>Маммедов Орхан Эльман оглы</v>
      </c>
      <c r="C347" s="18" t="str">
        <f>IFERROR(INDEX(Personnel[Vatandaslik],$K347),"")</f>
        <v>АЗЕРБАЙДЖАН</v>
      </c>
      <c r="D347" s="18" t="str">
        <f>IFERROR(INDEX(Personnel[Santiye],$K347),"")</f>
        <v>Ust Luga Fabrika - GPC</v>
      </c>
      <c r="E347" s="18" t="str">
        <f>IFERROR(INDEX(Personnel[Ogretmen],$K347),"")</f>
        <v xml:space="preserve">Ziazetdinov Arslan </v>
      </c>
      <c r="F347" s="17" t="str">
        <f>IFERROR(INDEX(Personnel[[Sinav ]],$K347),"")</f>
        <v>23.06.2026 Sineva gitti gecdi</v>
      </c>
      <c r="G347" s="17" t="str">
        <f>IFERROR(INDEX(Personnel[Egtim durumu],$K347),"")</f>
        <v>Dil egitimi tamamlandi sinavdan gecti</v>
      </c>
      <c r="H347" s="17" t="str">
        <f>IFERROR(INDEX(Personnel[Shohruh Not],$K347),"")</f>
        <v>-</v>
      </c>
      <c r="I347" s="22">
        <f ca="1">IFERROR(INDEX(Personnel[Дней в РФ],$K347),"")</f>
        <v>764</v>
      </c>
      <c r="K347" s="23">
        <f t="array" ref="K347">IFERROR(_xlfn.AGGREGATE(15,6,(ROW(Personnel[Egtim durumu])-MIN(ROW(Personnel[Egtim durumu]))+1)/((Personnel[Egtim durumu]="Dil egitimi tamamlandi sinavdan gecti")),ROWS($K$7:K347)),"")</f>
        <v>424</v>
      </c>
    </row>
    <row r="348" spans="1:11" x14ac:dyDescent="0.25">
      <c r="A348" s="40">
        <f>IFERROR(INDEX(Personnel[Sicil],$K348),"")</f>
        <v>623283</v>
      </c>
      <c r="B348" s="41" t="str">
        <f>IFERROR(INDEX(Personnel[Adi Soyadi],$K348),"")</f>
        <v>Матсапаев Содикжон Куранбаевич</v>
      </c>
      <c r="C348" s="40" t="str">
        <f>IFERROR(INDEX(Personnel[Vatandaslik],$K348),"")</f>
        <v>УЗБЕКИСТАН</v>
      </c>
      <c r="D348" s="40" t="str">
        <f>IFERROR(INDEX(Personnel[Santiye],$K348),"")</f>
        <v>GPP Proje</v>
      </c>
      <c r="E348" s="40" t="str">
        <f>IFERROR(INDEX(Personnel[Ogretmen],$K348),"")</f>
        <v xml:space="preserve">Ziazetdinov Arslan </v>
      </c>
      <c r="F348" s="41" t="str">
        <f>IFERROR(INDEX(Personnel[[Sinav ]],$K348),"")</f>
        <v>19.06.2026 Sineva gitti gecdi</v>
      </c>
      <c r="G348" s="41" t="str">
        <f>IFERROR(INDEX(Personnel[Egtim durumu],$K348),"")</f>
        <v>Dil egitimi tamamlandi sinavdan gecti</v>
      </c>
      <c r="H348" s="41" t="str">
        <f>IFERROR(INDEX(Personnel[Shohruh Not],$K348),"")</f>
        <v>-</v>
      </c>
      <c r="I348" s="42">
        <f ca="1">IFERROR(INDEX(Personnel[Дней в РФ],$K348),"")</f>
        <v>74</v>
      </c>
      <c r="K348" s="23">
        <f t="array" ref="K348">IFERROR(_xlfn.AGGREGATE(15,6,(ROW(Personnel[Egtim durumu])-MIN(ROW(Personnel[Egtim durumu]))+1)/((Personnel[Egtim durumu]="Dil egitimi tamamlandi sinavdan gecti")),ROWS($K$7:K348)),"")</f>
        <v>425</v>
      </c>
    </row>
    <row r="349" spans="1:11" ht="38.25" x14ac:dyDescent="0.25">
      <c r="A349" s="18">
        <f>IFERROR(INDEX(Personnel[Sicil],$K349),"")</f>
        <v>581044</v>
      </c>
      <c r="B349" s="17" t="str">
        <f>IFERROR(INDEX(Personnel[Adi Soyadi],$K349),"")</f>
        <v>Аптикаримов Абдукарим Джуманиязович</v>
      </c>
      <c r="C349" s="18" t="str">
        <f>IFERROR(INDEX(Personnel[Vatandaslik],$K349),"")</f>
        <v>УЗБЕКИСТАН</v>
      </c>
      <c r="D349" s="18" t="str">
        <f>IFERROR(INDEX(Personnel[Santiye],$K349),"")</f>
        <v>GPP Proje</v>
      </c>
      <c r="E349" s="18" t="str">
        <f>IFERROR(INDEX(Personnel[Ogretmen],$K349),"")</f>
        <v>Ziazetdinov Arslan / Ziazetdinov Arslan</v>
      </c>
      <c r="F349" s="17" t="str">
        <f>IFERROR(INDEX(Personnel[[Sinav ]],$K349),"")</f>
        <v>23.06.2026 Sineva gitti gecemedi /Ic testimizden gecemedi 27.06.2026 /09.07.2026 Sineva gitti gecdi</v>
      </c>
      <c r="G349" s="17" t="str">
        <f>IFERROR(INDEX(Personnel[Egtim durumu],$K349),"")</f>
        <v>Dil egitimi tamamlandi sinavdan gecti</v>
      </c>
      <c r="H349" s="17" t="str">
        <f>IFERROR(INDEX(Personnel[Shohruh Not],$K349),"")</f>
        <v xml:space="preserve">son gun gelmedi 30.06.2026 Moskva ser </v>
      </c>
      <c r="I349" s="22">
        <f ca="1">IFERROR(INDEX(Personnel[Дней в РФ],$K349),"")</f>
        <v>68</v>
      </c>
      <c r="K349" s="23">
        <f t="array" ref="K349">IFERROR(_xlfn.AGGREGATE(15,6,(ROW(Personnel[Egtim durumu])-MIN(ROW(Personnel[Egtim durumu]))+1)/((Personnel[Egtim durumu]="Dil egitimi tamamlandi sinavdan gecti")),ROWS($K$7:K349)),"")</f>
        <v>426</v>
      </c>
    </row>
    <row r="350" spans="1:11" x14ac:dyDescent="0.25">
      <c r="A350" s="40">
        <f>IFERROR(INDEX(Personnel[Sicil],$K350),"")</f>
        <v>644744</v>
      </c>
      <c r="B350" s="41" t="str">
        <f>IFERROR(INDEX(Personnel[Adi Soyadi],$K350),"")</f>
        <v>Кахаров Хасанбай Рахманалиевич</v>
      </c>
      <c r="C350" s="40" t="str">
        <f>IFERROR(INDEX(Personnel[Vatandaslik],$K350),"")</f>
        <v>УЗБЕКИСТАН</v>
      </c>
      <c r="D350" s="40" t="str">
        <f>IFERROR(INDEX(Personnel[Santiye],$K350),"")</f>
        <v>GPP Proje</v>
      </c>
      <c r="E350" s="40" t="str">
        <f>IFERROR(INDEX(Personnel[Ogretmen],$K350),"")</f>
        <v xml:space="preserve">Ziazetdinov Arslan </v>
      </c>
      <c r="F350" s="41" t="str">
        <f>IFERROR(INDEX(Personnel[[Sinav ]],$K350),"")</f>
        <v>23.06.2026 Sineva gitti gecdi</v>
      </c>
      <c r="G350" s="41" t="str">
        <f>IFERROR(INDEX(Personnel[Egtim durumu],$K350),"")</f>
        <v>Dil egitimi tamamlandi sinavdan gecti</v>
      </c>
      <c r="H350" s="41" t="str">
        <f>IFERROR(INDEX(Personnel[Shohruh Not],$K350),"")</f>
        <v>-</v>
      </c>
      <c r="I350" s="42">
        <f ca="1">IFERROR(INDEX(Personnel[Дней в РФ],$K350),"")</f>
        <v>68</v>
      </c>
      <c r="K350" s="23">
        <f t="array" ref="K350">IFERROR(_xlfn.AGGREGATE(15,6,(ROW(Personnel[Egtim durumu])-MIN(ROW(Personnel[Egtim durumu]))+1)/((Personnel[Egtim durumu]="Dil egitimi tamamlandi sinavdan gecti")),ROWS($K$7:K350)),"")</f>
        <v>427</v>
      </c>
    </row>
    <row r="351" spans="1:11" x14ac:dyDescent="0.25">
      <c r="A351" s="18">
        <f>IFERROR(INDEX(Personnel[Sicil],$K351),"")</f>
        <v>644738</v>
      </c>
      <c r="B351" s="17" t="str">
        <f>IFERROR(INDEX(Personnel[Adi Soyadi],$K351),"")</f>
        <v>Кенжаев Шерзодбек Фарходович</v>
      </c>
      <c r="C351" s="18" t="str">
        <f>IFERROR(INDEX(Personnel[Vatandaslik],$K351),"")</f>
        <v>УЗБЕКИСТАН</v>
      </c>
      <c r="D351" s="18" t="str">
        <f>IFERROR(INDEX(Personnel[Santiye],$K351),"")</f>
        <v>GPP Proje</v>
      </c>
      <c r="E351" s="18" t="str">
        <f>IFERROR(INDEX(Personnel[Ogretmen],$K351),"")</f>
        <v xml:space="preserve">Ziazetdinov Arslan </v>
      </c>
      <c r="F351" s="17" t="str">
        <f>IFERROR(INDEX(Personnel[[Sinav ]],$K351),"")</f>
        <v>23.06.2026 Sineva gitti gecdi</v>
      </c>
      <c r="G351" s="17" t="str">
        <f>IFERROR(INDEX(Personnel[Egtim durumu],$K351),"")</f>
        <v>Dil egitimi tamamlandi sinavdan gecti</v>
      </c>
      <c r="H351" s="17" t="str">
        <f>IFERROR(INDEX(Personnel[Shohruh Not],$K351),"")</f>
        <v>-</v>
      </c>
      <c r="I351" s="22">
        <f ca="1">IFERROR(INDEX(Personnel[Дней в РФ],$K351),"")</f>
        <v>68</v>
      </c>
      <c r="K351" s="23">
        <f t="array" ref="K351">IFERROR(_xlfn.AGGREGATE(15,6,(ROW(Personnel[Egtim durumu])-MIN(ROW(Personnel[Egtim durumu]))+1)/((Personnel[Egtim durumu]="Dil egitimi tamamlandi sinavdan gecti")),ROWS($K$7:K351)),"")</f>
        <v>428</v>
      </c>
    </row>
    <row r="352" spans="1:11" x14ac:dyDescent="0.25">
      <c r="A352" s="40">
        <f>IFERROR(INDEX(Personnel[Sicil],$K352),"")</f>
        <v>644748</v>
      </c>
      <c r="B352" s="41" t="str">
        <f>IFERROR(INDEX(Personnel[Adi Soyadi],$K352),"")</f>
        <v>Машарипов Аббос Абдурахманович</v>
      </c>
      <c r="C352" s="40" t="str">
        <f>IFERROR(INDEX(Personnel[Vatandaslik],$K352),"")</f>
        <v>УЗБЕКИСТАН</v>
      </c>
      <c r="D352" s="40" t="str">
        <f>IFERROR(INDEX(Personnel[Santiye],$K352),"")</f>
        <v>GPP Proje</v>
      </c>
      <c r="E352" s="40" t="str">
        <f>IFERROR(INDEX(Personnel[Ogretmen],$K352),"")</f>
        <v xml:space="preserve">Ziazetdinov Arslan </v>
      </c>
      <c r="F352" s="41" t="str">
        <f>IFERROR(INDEX(Personnel[[Sinav ]],$K352),"")</f>
        <v>23.06.2026 Sineva gitti gecdi</v>
      </c>
      <c r="G352" s="41" t="str">
        <f>IFERROR(INDEX(Personnel[Egtim durumu],$K352),"")</f>
        <v>Dil egitimi tamamlandi sinavdan gecti</v>
      </c>
      <c r="H352" s="41" t="str">
        <f>IFERROR(INDEX(Personnel[Shohruh Not],$K352),"")</f>
        <v>-</v>
      </c>
      <c r="I352" s="42">
        <f ca="1">IFERROR(INDEX(Personnel[Дней в РФ],$K352),"")</f>
        <v>68</v>
      </c>
      <c r="K352" s="23">
        <f t="array" ref="K352">IFERROR(_xlfn.AGGREGATE(15,6,(ROW(Personnel[Egtim durumu])-MIN(ROW(Personnel[Egtim durumu]))+1)/((Personnel[Egtim durumu]="Dil egitimi tamamlandi sinavdan gecti")),ROWS($K$7:K352)),"")</f>
        <v>429</v>
      </c>
    </row>
    <row r="353" spans="1:11" ht="25.5" x14ac:dyDescent="0.25">
      <c r="A353" s="18">
        <f>IFERROR(INDEX(Personnel[Sicil],$K353),"")</f>
        <v>594412</v>
      </c>
      <c r="B353" s="17" t="str">
        <f>IFERROR(INDEX(Personnel[Adi Soyadi],$K353),"")</f>
        <v>Мирзакулов Сайид Абдусамадович</v>
      </c>
      <c r="C353" s="18" t="str">
        <f>IFERROR(INDEX(Personnel[Vatandaslik],$K353),"")</f>
        <v>УЗБЕКИСТАН</v>
      </c>
      <c r="D353" s="18" t="str">
        <f>IFERROR(INDEX(Personnel[Santiye],$K353),"")</f>
        <v>GPP Proje</v>
      </c>
      <c r="E353" s="18" t="str">
        <f>IFERROR(INDEX(Personnel[Ogretmen],$K353),"")</f>
        <v>Ziazetdinov Arslan / Ziazetdinov Arslan</v>
      </c>
      <c r="F353" s="17" t="str">
        <f>IFERROR(INDEX(Personnel[[Sinav ]],$K353),"")</f>
        <v>23.06.2026 Sineva gitti gecemedi /30.06.2026 Sineva gitti gecdi</v>
      </c>
      <c r="G353" s="17" t="str">
        <f>IFERROR(INDEX(Personnel[Egtim durumu],$K353),"")</f>
        <v>Dil egitimi tamamlandi sinavdan gecti</v>
      </c>
      <c r="H353" s="17" t="str">
        <f>IFERROR(INDEX(Personnel[Shohruh Not],$K353),"")</f>
        <v>-</v>
      </c>
      <c r="I353" s="18" t="str">
        <f ca="1">IFERROR(INDEX(Personnel[Дней в РФ],$K353),"")</f>
        <v>-</v>
      </c>
      <c r="K353" s="23">
        <f t="array" ref="K353">IFERROR(_xlfn.AGGREGATE(15,6,(ROW(Personnel[Egtim durumu])-MIN(ROW(Personnel[Egtim durumu]))+1)/((Personnel[Egtim durumu]="Dil egitimi tamamlandi sinavdan gecti")),ROWS($K$7:K353)),"")</f>
        <v>430</v>
      </c>
    </row>
    <row r="354" spans="1:11" x14ac:dyDescent="0.25">
      <c r="A354" s="40">
        <f>IFERROR(INDEX(Personnel[Sicil],$K354),"")</f>
        <v>644723</v>
      </c>
      <c r="B354" s="41" t="str">
        <f>IFERROR(INDEX(Personnel[Adi Soyadi],$K354),"")</f>
        <v>Мирзохакимов Умид Тешаджонович</v>
      </c>
      <c r="C354" s="40" t="str">
        <f>IFERROR(INDEX(Personnel[Vatandaslik],$K354),"")</f>
        <v>ТАДЖИКИСТАН</v>
      </c>
      <c r="D354" s="40" t="str">
        <f>IFERROR(INDEX(Personnel[Santiye],$K354),"")</f>
        <v>GPP Proje</v>
      </c>
      <c r="E354" s="40" t="str">
        <f>IFERROR(INDEX(Personnel[Ogretmen],$K354),"")</f>
        <v xml:space="preserve">Ziazetdinov Arslan </v>
      </c>
      <c r="F354" s="41" t="str">
        <f>IFERROR(INDEX(Personnel[[Sinav ]],$K354),"")</f>
        <v>23.06.2026 Sineva gitti gecdi</v>
      </c>
      <c r="G354" s="41" t="str">
        <f>IFERROR(INDEX(Personnel[Egtim durumu],$K354),"")</f>
        <v>Dil egitimi tamamlandi sinavdan gecti</v>
      </c>
      <c r="H354" s="41" t="str">
        <f>IFERROR(INDEX(Personnel[Shohruh Not],$K354),"")</f>
        <v>-</v>
      </c>
      <c r="I354" s="42">
        <f ca="1">IFERROR(INDEX(Personnel[Дней в РФ],$K354),"")</f>
        <v>68</v>
      </c>
      <c r="K354" s="23">
        <f t="array" ref="K354">IFERROR(_xlfn.AGGREGATE(15,6,(ROW(Personnel[Egtim durumu])-MIN(ROW(Personnel[Egtim durumu]))+1)/((Personnel[Egtim durumu]="Dil egitimi tamamlandi sinavdan gecti")),ROWS($K$7:K354)),"")</f>
        <v>431</v>
      </c>
    </row>
    <row r="355" spans="1:11" ht="25.5" x14ac:dyDescent="0.25">
      <c r="A355" s="18">
        <f>IFERROR(INDEX(Personnel[Sicil],$K355),"")</f>
        <v>573695</v>
      </c>
      <c r="B355" s="17" t="str">
        <f>IFERROR(INDEX(Personnel[Adi Soyadi],$K355),"")</f>
        <v>Пирназаров Кахрамон Шомуратович</v>
      </c>
      <c r="C355" s="18" t="str">
        <f>IFERROR(INDEX(Personnel[Vatandaslik],$K355),"")</f>
        <v>УЗБЕКИСТАН</v>
      </c>
      <c r="D355" s="18" t="str">
        <f>IFERROR(INDEX(Personnel[Santiye],$K355),"")</f>
        <v>GPP Proje</v>
      </c>
      <c r="E355" s="18" t="str">
        <f>IFERROR(INDEX(Personnel[Ogretmen],$K355),"")</f>
        <v xml:space="preserve">Ziazetdinov Arslan </v>
      </c>
      <c r="F355" s="17" t="str">
        <f>IFERROR(INDEX(Personnel[[Sinav ]],$K355),"")</f>
        <v>03.07.2026 Sineva gitti gecdi</v>
      </c>
      <c r="G355" s="17" t="str">
        <f>IFERROR(INDEX(Personnel[Egtim durumu],$K355),"")</f>
        <v>Dil egitimi tamamlandi sinavdan gecti</v>
      </c>
      <c r="H355" s="17" t="str">
        <f>IFERROR(INDEX(Personnel[Shohruh Not],$K355),"")</f>
        <v>Egitieme bilgi bildirildi Egitime girmedi 20.06.2026</v>
      </c>
      <c r="I355" s="22">
        <f ca="1">IFERROR(INDEX(Personnel[Дней в РФ],$K355),"")</f>
        <v>68</v>
      </c>
      <c r="K355" s="23">
        <f t="array" ref="K355">IFERROR(_xlfn.AGGREGATE(15,6,(ROW(Personnel[Egtim durumu])-MIN(ROW(Personnel[Egtim durumu]))+1)/((Personnel[Egtim durumu]="Dil egitimi tamamlandi sinavdan gecti")),ROWS($K$7:K355)),"")</f>
        <v>432</v>
      </c>
    </row>
    <row r="356" spans="1:11" x14ac:dyDescent="0.25">
      <c r="A356" s="40">
        <f>IFERROR(INDEX(Personnel[Sicil],$K356),"")</f>
        <v>573696</v>
      </c>
      <c r="B356" s="41" t="str">
        <f>IFERROR(INDEX(Personnel[Adi Soyadi],$K356),"")</f>
        <v>Пирназаров Уктамбой Ходжаевич</v>
      </c>
      <c r="C356" s="40" t="str">
        <f>IFERROR(INDEX(Personnel[Vatandaslik],$K356),"")</f>
        <v>УЗБЕКИСТАН</v>
      </c>
      <c r="D356" s="40" t="str">
        <f>IFERROR(INDEX(Personnel[Santiye],$K356),"")</f>
        <v>GPP Proje</v>
      </c>
      <c r="E356" s="40" t="str">
        <f>IFERROR(INDEX(Personnel[Ogretmen],$K356),"")</f>
        <v xml:space="preserve">Ziazetdinov Arslan </v>
      </c>
      <c r="F356" s="41" t="str">
        <f>IFERROR(INDEX(Personnel[[Sinav ]],$K356),"")</f>
        <v>23.06.2026 Sineva gitti gecdi</v>
      </c>
      <c r="G356" s="41" t="str">
        <f>IFERROR(INDEX(Personnel[Egtim durumu],$K356),"")</f>
        <v>Dil egitimi tamamlandi sinavdan gecti</v>
      </c>
      <c r="H356" s="41" t="str">
        <f>IFERROR(INDEX(Personnel[Shohruh Not],$K356),"")</f>
        <v>-</v>
      </c>
      <c r="I356" s="42">
        <f ca="1">IFERROR(INDEX(Personnel[Дней в РФ],$K356),"")</f>
        <v>68</v>
      </c>
      <c r="K356" s="23">
        <f t="array" ref="K356">IFERROR(_xlfn.AGGREGATE(15,6,(ROW(Personnel[Egtim durumu])-MIN(ROW(Personnel[Egtim durumu]))+1)/((Personnel[Egtim durumu]="Dil egitimi tamamlandi sinavdan gecti")),ROWS($K$7:K356)),"")</f>
        <v>433</v>
      </c>
    </row>
    <row r="357" spans="1:11" x14ac:dyDescent="0.25">
      <c r="A357" s="18">
        <f>IFERROR(INDEX(Personnel[Sicil],$K357),"")</f>
        <v>570767</v>
      </c>
      <c r="B357" s="17" t="str">
        <f>IFERROR(INDEX(Personnel[Adi Soyadi],$K357),"")</f>
        <v>Хажиев Расулбек Жавлонбой угли</v>
      </c>
      <c r="C357" s="18" t="str">
        <f>IFERROR(INDEX(Personnel[Vatandaslik],$K357),"")</f>
        <v>УЗБЕКИСТАН</v>
      </c>
      <c r="D357" s="18" t="str">
        <f>IFERROR(INDEX(Personnel[Santiye],$K357),"")</f>
        <v>GPP Proje</v>
      </c>
      <c r="E357" s="18" t="str">
        <f>IFERROR(INDEX(Personnel[Ogretmen],$K357),"")</f>
        <v xml:space="preserve">Ziazetdinov Arslan </v>
      </c>
      <c r="F357" s="17" t="str">
        <f>IFERROR(INDEX(Personnel[[Sinav ]],$K357),"")</f>
        <v>23.06.2026 Sineva gitti gecdi</v>
      </c>
      <c r="G357" s="17" t="str">
        <f>IFERROR(INDEX(Personnel[Egtim durumu],$K357),"")</f>
        <v>Dil egitimi tamamlandi sinavdan gecti</v>
      </c>
      <c r="H357" s="17" t="str">
        <f>IFERROR(INDEX(Personnel[Shohruh Not],$K357),"")</f>
        <v>-</v>
      </c>
      <c r="I357" s="22">
        <f ca="1">IFERROR(INDEX(Personnel[Дней в РФ],$K357),"")</f>
        <v>68</v>
      </c>
      <c r="K357" s="23">
        <f t="array" ref="K357">IFERROR(_xlfn.AGGREGATE(15,6,(ROW(Personnel[Egtim durumu])-MIN(ROW(Personnel[Egtim durumu]))+1)/((Personnel[Egtim durumu]="Dil egitimi tamamlandi sinavdan gecti")),ROWS($K$7:K357)),"")</f>
        <v>434</v>
      </c>
    </row>
    <row r="358" spans="1:11" x14ac:dyDescent="0.25">
      <c r="A358" s="40">
        <f>IFERROR(INDEX(Personnel[Sicil],$K358),"")</f>
        <v>644735</v>
      </c>
      <c r="B358" s="41" t="str">
        <f>IFERROR(INDEX(Personnel[Adi Soyadi],$K358),"")</f>
        <v>Хасанов Санатбек Уринбой Угли</v>
      </c>
      <c r="C358" s="40" t="str">
        <f>IFERROR(INDEX(Personnel[Vatandaslik],$K358),"")</f>
        <v>УЗБЕКИСТАН</v>
      </c>
      <c r="D358" s="40" t="str">
        <f>IFERROR(INDEX(Personnel[Santiye],$K358),"")</f>
        <v>GPP Proje</v>
      </c>
      <c r="E358" s="40" t="str">
        <f>IFERROR(INDEX(Personnel[Ogretmen],$K358),"")</f>
        <v xml:space="preserve">Ziazetdinov Arslan </v>
      </c>
      <c r="F358" s="41" t="str">
        <f>IFERROR(INDEX(Personnel[[Sinav ]],$K358),"")</f>
        <v>23.06.2026 Sineva gitti gecdi</v>
      </c>
      <c r="G358" s="41" t="str">
        <f>IFERROR(INDEX(Personnel[Egtim durumu],$K358),"")</f>
        <v>Dil egitimi tamamlandi sinavdan gecti</v>
      </c>
      <c r="H358" s="41" t="str">
        <f>IFERROR(INDEX(Personnel[Shohruh Not],$K358),"")</f>
        <v>-</v>
      </c>
      <c r="I358" s="42">
        <f ca="1">IFERROR(INDEX(Personnel[Дней в РФ],$K358),"")</f>
        <v>68</v>
      </c>
      <c r="K358" s="23">
        <f t="array" ref="K358">IFERROR(_xlfn.AGGREGATE(15,6,(ROW(Personnel[Egtim durumu])-MIN(ROW(Personnel[Egtim durumu]))+1)/((Personnel[Egtim durumu]="Dil egitimi tamamlandi sinavdan gecti")),ROWS($K$7:K358)),"")</f>
        <v>435</v>
      </c>
    </row>
    <row r="359" spans="1:11" ht="25.5" x14ac:dyDescent="0.25">
      <c r="A359" s="18">
        <f>IFERROR(INDEX(Personnel[Sicil],$K359),"")</f>
        <v>420339</v>
      </c>
      <c r="B359" s="17" t="str">
        <f>IFERROR(INDEX(Personnel[Adi Soyadi],$K359),"")</f>
        <v>Ниязимбетов Давронбек Арисланбек угли</v>
      </c>
      <c r="C359" s="18" t="str">
        <f>IFERROR(INDEX(Personnel[Vatandaslik],$K359),"")</f>
        <v>УЗБЕКИСТАН</v>
      </c>
      <c r="D359" s="18" t="str">
        <f>IFERROR(INDEX(Personnel[Santiye],$K359),"")</f>
        <v>GPP Proje</v>
      </c>
      <c r="E359" s="18" t="str">
        <f>IFERROR(INDEX(Personnel[Ogretmen],$K359),"")</f>
        <v xml:space="preserve">Ziazetdinov Arslan </v>
      </c>
      <c r="F359" s="17" t="str">
        <f>IFERROR(INDEX(Personnel[[Sinav ]],$K359),"")</f>
        <v>23.06.2026 Sineva gitti gecdi</v>
      </c>
      <c r="G359" s="17" t="str">
        <f>IFERROR(INDEX(Personnel[Egtim durumu],$K359),"")</f>
        <v>Dil egitimi tamamlandi sinavdan gecti</v>
      </c>
      <c r="H359" s="17" t="str">
        <f>IFERROR(INDEX(Personnel[Shohruh Not],$K359),"")</f>
        <v>-</v>
      </c>
      <c r="I359" s="22">
        <f ca="1">IFERROR(INDEX(Personnel[Дней в РФ],$K359),"")</f>
        <v>67</v>
      </c>
      <c r="K359" s="23">
        <f t="array" ref="K359">IFERROR(_xlfn.AGGREGATE(15,6,(ROW(Personnel[Egtim durumu])-MIN(ROW(Personnel[Egtim durumu]))+1)/((Personnel[Egtim durumu]="Dil egitimi tamamlandi sinavdan gecti")),ROWS($K$7:K359)),"")</f>
        <v>437</v>
      </c>
    </row>
    <row r="360" spans="1:11" x14ac:dyDescent="0.25">
      <c r="A360" s="40">
        <f>IFERROR(INDEX(Personnel[Sicil],$K360),"")</f>
        <v>250315</v>
      </c>
      <c r="B360" s="41" t="str">
        <f>IFERROR(INDEX(Personnel[Adi Soyadi],$K360),"")</f>
        <v>Шарипов Мухиддин Файзалиевич</v>
      </c>
      <c r="C360" s="40" t="str">
        <f>IFERROR(INDEX(Personnel[Vatandaslik],$K360),"")</f>
        <v>ТАДЖИКИСТАН</v>
      </c>
      <c r="D360" s="40" t="str">
        <f>IFERROR(INDEX(Personnel[Santiye],$K360),"")</f>
        <v>GPP Proje</v>
      </c>
      <c r="E360" s="40" t="str">
        <f>IFERROR(INDEX(Personnel[Ogretmen],$K360),"")</f>
        <v xml:space="preserve">Ziazetdinov Arslan </v>
      </c>
      <c r="F360" s="41" t="str">
        <f>IFERROR(INDEX(Personnel[[Sinav ]],$K360),"")</f>
        <v>23.06.2026 Sineva gitti gecdi</v>
      </c>
      <c r="G360" s="41" t="str">
        <f>IFERROR(INDEX(Personnel[Egtim durumu],$K360),"")</f>
        <v>Dil egitimi tamamlandi sinavdan gecti</v>
      </c>
      <c r="H360" s="41" t="str">
        <f>IFERROR(INDEX(Personnel[Shohruh Not],$K360),"")</f>
        <v>-</v>
      </c>
      <c r="I360" s="42">
        <f ca="1">IFERROR(INDEX(Personnel[Дней в РФ],$K360),"")</f>
        <v>68</v>
      </c>
      <c r="K360" s="23">
        <f t="array" ref="K360">IFERROR(_xlfn.AGGREGATE(15,6,(ROW(Personnel[Egtim durumu])-MIN(ROW(Personnel[Egtim durumu]))+1)/((Personnel[Egtim durumu]="Dil egitimi tamamlandi sinavdan gecti")),ROWS($K$7:K360)),"")</f>
        <v>438</v>
      </c>
    </row>
    <row r="361" spans="1:11" ht="25.5" x14ac:dyDescent="0.25">
      <c r="A361" s="18">
        <f>IFERROR(INDEX(Personnel[Sicil],$K361),"")</f>
        <v>568897</v>
      </c>
      <c r="B361" s="17" t="str">
        <f>IFERROR(INDEX(Personnel[Adi Soyadi],$K361),"")</f>
        <v>Мамараимов Яхшимурод Каримберди угли</v>
      </c>
      <c r="C361" s="18" t="str">
        <f>IFERROR(INDEX(Personnel[Vatandaslik],$K361),"")</f>
        <v>УЗБЕКИСТАН</v>
      </c>
      <c r="D361" s="18" t="str">
        <f>IFERROR(INDEX(Personnel[Santiye],$K361),"")</f>
        <v>GPP Proje</v>
      </c>
      <c r="E361" s="18" t="str">
        <f>IFERROR(INDEX(Personnel[Ogretmen],$K361),"")</f>
        <v xml:space="preserve">Ziazetdinov Arslan </v>
      </c>
      <c r="F361" s="17" t="str">
        <f>IFERROR(INDEX(Personnel[[Sinav ]],$K361),"")</f>
        <v>23.06.2026 Sineva gitti gecdi</v>
      </c>
      <c r="G361" s="17" t="str">
        <f>IFERROR(INDEX(Personnel[Egtim durumu],$K361),"")</f>
        <v>Dil egitimi tamamlandi sinavdan gecti</v>
      </c>
      <c r="H361" s="17" t="str">
        <f>IFERROR(INDEX(Personnel[Shohruh Not],$K361),"")</f>
        <v>-</v>
      </c>
      <c r="I361" s="22">
        <f ca="1">IFERROR(INDEX(Personnel[Дней в РФ],$K361),"")</f>
        <v>67</v>
      </c>
      <c r="K361" s="23">
        <f t="array" ref="K361">IFERROR(_xlfn.AGGREGATE(15,6,(ROW(Personnel[Egtim durumu])-MIN(ROW(Personnel[Egtim durumu]))+1)/((Personnel[Egtim durumu]="Dil egitimi tamamlandi sinavdan gecti")),ROWS($K$7:K361)),"")</f>
        <v>439</v>
      </c>
    </row>
    <row r="362" spans="1:11" x14ac:dyDescent="0.25">
      <c r="A362" s="40">
        <f>IFERROR(INDEX(Personnel[Sicil],$K362),"")</f>
        <v>569855</v>
      </c>
      <c r="B362" s="41" t="str">
        <f>IFERROR(INDEX(Personnel[Adi Soyadi],$K362),"")</f>
        <v>Нуриддинов Умиджон Нуриддин угли</v>
      </c>
      <c r="C362" s="40" t="str">
        <f>IFERROR(INDEX(Personnel[Vatandaslik],$K362),"")</f>
        <v>УЗБЕКИСТАН</v>
      </c>
      <c r="D362" s="40" t="str">
        <f>IFERROR(INDEX(Personnel[Santiye],$K362),"")</f>
        <v>GPP Proje</v>
      </c>
      <c r="E362" s="40" t="str">
        <f>IFERROR(INDEX(Personnel[Ogretmen],$K362),"")</f>
        <v xml:space="preserve">Ziazetdinov Arslan </v>
      </c>
      <c r="F362" s="41" t="str">
        <f>IFERROR(INDEX(Personnel[[Sinav ]],$K362),"")</f>
        <v>23.06.2026 Sineva gitti gecdi</v>
      </c>
      <c r="G362" s="41" t="str">
        <f>IFERROR(INDEX(Personnel[Egtim durumu],$K362),"")</f>
        <v>Dil egitimi tamamlandi sinavdan gecti</v>
      </c>
      <c r="H362" s="41" t="str">
        <f>IFERROR(INDEX(Personnel[Shohruh Not],$K362),"")</f>
        <v>-</v>
      </c>
      <c r="I362" s="42">
        <f ca="1">IFERROR(INDEX(Personnel[Дней в РФ],$K362),"")</f>
        <v>68</v>
      </c>
      <c r="K362" s="23">
        <f t="array" ref="K362">IFERROR(_xlfn.AGGREGATE(15,6,(ROW(Personnel[Egtim durumu])-MIN(ROW(Personnel[Egtim durumu]))+1)/((Personnel[Egtim durumu]="Dil egitimi tamamlandi sinavdan gecti")),ROWS($K$7:K362)),"")</f>
        <v>440</v>
      </c>
    </row>
    <row r="363" spans="1:11" ht="25.5" x14ac:dyDescent="0.25">
      <c r="A363" s="18">
        <f>IFERROR(INDEX(Personnel[Sicil],$K363),"")</f>
        <v>579160</v>
      </c>
      <c r="B363" s="17" t="str">
        <f>IFERROR(INDEX(Personnel[Adi Soyadi],$K363),"")</f>
        <v>Эргашев Наврузбек Абдухалим Угли</v>
      </c>
      <c r="C363" s="18" t="str">
        <f>IFERROR(INDEX(Personnel[Vatandaslik],$K363),"")</f>
        <v>УЗБЕКИСТАН</v>
      </c>
      <c r="D363" s="18" t="str">
        <f>IFERROR(INDEX(Personnel[Santiye],$K363),"")</f>
        <v>GPP Proje</v>
      </c>
      <c r="E363" s="18" t="str">
        <f>IFERROR(INDEX(Personnel[Ogretmen],$K363),"")</f>
        <v>Ziazetdinov Arslan / Ziazetdinov Arslan</v>
      </c>
      <c r="F363" s="17" t="str">
        <f>IFERROR(INDEX(Personnel[[Sinav ]],$K363),"")</f>
        <v>30.06.2026 Sineva gitti gecemedi /07.07.2026 Sineva gitti gecdi</v>
      </c>
      <c r="G363" s="17" t="str">
        <f>IFERROR(INDEX(Personnel[Egtim durumu],$K363),"")</f>
        <v>Dil egitimi tamamlandi sinavdan gecti</v>
      </c>
      <c r="H363" s="17" t="str">
        <f>IFERROR(INDEX(Personnel[Shohruh Not],$K363),"")</f>
        <v>-</v>
      </c>
      <c r="I363" s="22">
        <f ca="1">IFERROR(INDEX(Personnel[Дней в РФ],$K363),"")</f>
        <v>67</v>
      </c>
      <c r="K363" s="23">
        <f t="array" ref="K363">IFERROR(_xlfn.AGGREGATE(15,6,(ROW(Personnel[Egtim durumu])-MIN(ROW(Personnel[Egtim durumu]))+1)/((Personnel[Egtim durumu]="Dil egitimi tamamlandi sinavdan gecti")),ROWS($K$7:K363)),"")</f>
        <v>441</v>
      </c>
    </row>
    <row r="364" spans="1:11" x14ac:dyDescent="0.25">
      <c r="A364" s="40">
        <f>IFERROR(INDEX(Personnel[Sicil],$K364),"")</f>
        <v>644813</v>
      </c>
      <c r="B364" s="41" t="str">
        <f>IFERROR(INDEX(Personnel[Adi Soyadi],$K364),"")</f>
        <v>Поянов Шерзод Тургунбоевич</v>
      </c>
      <c r="C364" s="40" t="str">
        <f>IFERROR(INDEX(Personnel[Vatandaslik],$K364),"")</f>
        <v>УЗБЕКИСТАН</v>
      </c>
      <c r="D364" s="40" t="str">
        <f>IFERROR(INDEX(Personnel[Santiye],$K364),"")</f>
        <v>GPP Proje</v>
      </c>
      <c r="E364" s="40" t="str">
        <f>IFERROR(INDEX(Personnel[Ogretmen],$K364),"")</f>
        <v xml:space="preserve">Ziazetdinov Arslan </v>
      </c>
      <c r="F364" s="41" t="str">
        <f>IFERROR(INDEX(Personnel[[Sinav ]],$K364),"")</f>
        <v>23.06.2026 Sineva gitti gecdi</v>
      </c>
      <c r="G364" s="41" t="str">
        <f>IFERROR(INDEX(Personnel[Egtim durumu],$K364),"")</f>
        <v>Dil egitimi tamamlandi sinavdan gecti</v>
      </c>
      <c r="H364" s="41" t="str">
        <f>IFERROR(INDEX(Personnel[Shohruh Not],$K364),"")</f>
        <v>-</v>
      </c>
      <c r="I364" s="42">
        <f ca="1">IFERROR(INDEX(Personnel[Дней в РФ],$K364),"")</f>
        <v>68</v>
      </c>
      <c r="K364" s="23">
        <f t="array" ref="K364">IFERROR(_xlfn.AGGREGATE(15,6,(ROW(Personnel[Egtim durumu])-MIN(ROW(Personnel[Egtim durumu]))+1)/((Personnel[Egtim durumu]="Dil egitimi tamamlandi sinavdan gecti")),ROWS($K$7:K364)),"")</f>
        <v>442</v>
      </c>
    </row>
    <row r="365" spans="1:11" ht="25.5" x14ac:dyDescent="0.25">
      <c r="A365" s="18">
        <f>IFERROR(INDEX(Personnel[Sicil],$K365),"")</f>
        <v>616123</v>
      </c>
      <c r="B365" s="17" t="str">
        <f>IFERROR(INDEX(Personnel[Adi Soyadi],$K365),"")</f>
        <v>Абдишукуров Салохиддин Абдихафиз Угли</v>
      </c>
      <c r="C365" s="18" t="str">
        <f>IFERROR(INDEX(Personnel[Vatandaslik],$K365),"")</f>
        <v>УЗБЕКИСТАН</v>
      </c>
      <c r="D365" s="18" t="str">
        <f>IFERROR(INDEX(Personnel[Santiye],$K365),"")</f>
        <v>GPP Proje</v>
      </c>
      <c r="E365" s="18" t="str">
        <f>IFERROR(INDEX(Personnel[Ogretmen],$K365),"")</f>
        <v xml:space="preserve">Ziazetdinov Arslan </v>
      </c>
      <c r="F365" s="17" t="str">
        <f>IFERROR(INDEX(Personnel[[Sinav ]],$K365),"")</f>
        <v>30.06.2026 Sineva gitti gecdi</v>
      </c>
      <c r="G365" s="17" t="str">
        <f>IFERROR(INDEX(Personnel[Egtim durumu],$K365),"")</f>
        <v>Dil egitimi tamamlandi sinavdan gecti</v>
      </c>
      <c r="H365" s="17" t="str">
        <f>IFERROR(INDEX(Personnel[Shohruh Not],$K365),"")</f>
        <v>-</v>
      </c>
      <c r="I365" s="22">
        <f ca="1">IFERROR(INDEX(Personnel[Дней в РФ],$K365),"")</f>
        <v>68</v>
      </c>
      <c r="K365" s="23">
        <f t="array" ref="K365">IFERROR(_xlfn.AGGREGATE(15,6,(ROW(Personnel[Egtim durumu])-MIN(ROW(Personnel[Egtim durumu]))+1)/((Personnel[Egtim durumu]="Dil egitimi tamamlandi sinavdan gecti")),ROWS($K$7:K365)),"")</f>
        <v>443</v>
      </c>
    </row>
    <row r="366" spans="1:11" ht="25.5" x14ac:dyDescent="0.25">
      <c r="A366" s="40">
        <f>IFERROR(INDEX(Personnel[Sicil],$K366),"")</f>
        <v>644837</v>
      </c>
      <c r="B366" s="41" t="str">
        <f>IFERROR(INDEX(Personnel[Adi Soyadi],$K366),"")</f>
        <v>Абдурахимов Абдулбори Ёкубжон Угли</v>
      </c>
      <c r="C366" s="40" t="str">
        <f>IFERROR(INDEX(Personnel[Vatandaslik],$K366),"")</f>
        <v>УЗБЕКИСТАН</v>
      </c>
      <c r="D366" s="40" t="str">
        <f>IFERROR(INDEX(Personnel[Santiye],$K366),"")</f>
        <v>GPP Proje</v>
      </c>
      <c r="E366" s="40" t="str">
        <f>IFERROR(INDEX(Personnel[Ogretmen],$K366),"")</f>
        <v xml:space="preserve">Ziazetdinov Arslan </v>
      </c>
      <c r="F366" s="41" t="str">
        <f>IFERROR(INDEX(Personnel[[Sinav ]],$K366),"")</f>
        <v>30.06.2026 Sineva gitti gecdi</v>
      </c>
      <c r="G366" s="41" t="str">
        <f>IFERROR(INDEX(Personnel[Egtim durumu],$K366),"")</f>
        <v>Dil egitimi tamamlandi sinavdan gecti</v>
      </c>
      <c r="H366" s="41" t="str">
        <f>IFERROR(INDEX(Personnel[Shohruh Not],$K366),"")</f>
        <v>-</v>
      </c>
      <c r="I366" s="42">
        <f ca="1">IFERROR(INDEX(Personnel[Дней в РФ],$K366),"")</f>
        <v>67</v>
      </c>
      <c r="K366" s="23">
        <f t="array" ref="K366">IFERROR(_xlfn.AGGREGATE(15,6,(ROW(Personnel[Egtim durumu])-MIN(ROW(Personnel[Egtim durumu]))+1)/((Personnel[Egtim durumu]="Dil egitimi tamamlandi sinavdan gecti")),ROWS($K$7:K366)),"")</f>
        <v>444</v>
      </c>
    </row>
    <row r="367" spans="1:11" x14ac:dyDescent="0.25">
      <c r="A367" s="18">
        <f>IFERROR(INDEX(Personnel[Sicil],$K367),"")</f>
        <v>644844</v>
      </c>
      <c r="B367" s="17" t="str">
        <f>IFERROR(INDEX(Personnel[Adi Soyadi],$K367),"")</f>
        <v>Алихайдаров Руслан Салим Угли</v>
      </c>
      <c r="C367" s="18" t="str">
        <f>IFERROR(INDEX(Personnel[Vatandaslik],$K367),"")</f>
        <v>УЗБЕКИСТАН</v>
      </c>
      <c r="D367" s="18" t="str">
        <f>IFERROR(INDEX(Personnel[Santiye],$K367),"")</f>
        <v>GPP Proje</v>
      </c>
      <c r="E367" s="18" t="str">
        <f>IFERROR(INDEX(Personnel[Ogretmen],$K367),"")</f>
        <v xml:space="preserve">Ziazetdinov Arslan </v>
      </c>
      <c r="F367" s="17" t="str">
        <f>IFERROR(INDEX(Personnel[[Sinav ]],$K367),"")</f>
        <v>03.07.2026 Sineva gitti gecdi</v>
      </c>
      <c r="G367" s="17" t="str">
        <f>IFERROR(INDEX(Personnel[Egtim durumu],$K367),"")</f>
        <v>Dil egitimi tamamlandi sinavdan gecti</v>
      </c>
      <c r="H367" s="17" t="str">
        <f>IFERROR(INDEX(Personnel[Shohruh Not],$K367),"")</f>
        <v>-</v>
      </c>
      <c r="I367" s="22">
        <f ca="1">IFERROR(INDEX(Personnel[Дней в РФ],$K367),"")</f>
        <v>67</v>
      </c>
      <c r="K367" s="23">
        <f t="array" ref="K367">IFERROR(_xlfn.AGGREGATE(15,6,(ROW(Personnel[Egtim durumu])-MIN(ROW(Personnel[Egtim durumu]))+1)/((Personnel[Egtim durumu]="Dil egitimi tamamlandi sinavdan gecti")),ROWS($K$7:K367)),"")</f>
        <v>445</v>
      </c>
    </row>
    <row r="368" spans="1:11" x14ac:dyDescent="0.25">
      <c r="A368" s="40">
        <f>IFERROR(INDEX(Personnel[Sicil],$K368),"")</f>
        <v>644855</v>
      </c>
      <c r="B368" s="41" t="str">
        <f>IFERROR(INDEX(Personnel[Adi Soyadi],$K368),"")</f>
        <v>Хусинов Сардор Юсуф Угли</v>
      </c>
      <c r="C368" s="40" t="str">
        <f>IFERROR(INDEX(Personnel[Vatandaslik],$K368),"")</f>
        <v>УЗБЕКИСТАН</v>
      </c>
      <c r="D368" s="40" t="str">
        <f>IFERROR(INDEX(Personnel[Santiye],$K368),"")</f>
        <v>GPP Proje</v>
      </c>
      <c r="E368" s="40" t="str">
        <f>IFERROR(INDEX(Personnel[Ogretmen],$K368),"")</f>
        <v xml:space="preserve">Ziazetdinov Arslan </v>
      </c>
      <c r="F368" s="41" t="str">
        <f>IFERROR(INDEX(Personnel[[Sinav ]],$K368),"")</f>
        <v>30.06.2026 Sineva gitti gecdi</v>
      </c>
      <c r="G368" s="41" t="str">
        <f>IFERROR(INDEX(Personnel[Egtim durumu],$K368),"")</f>
        <v>Dil egitimi tamamlandi sinavdan gecti</v>
      </c>
      <c r="H368" s="41" t="str">
        <f>IFERROR(INDEX(Personnel[Shohruh Not],$K368),"")</f>
        <v>-</v>
      </c>
      <c r="I368" s="42">
        <f ca="1">IFERROR(INDEX(Personnel[Дней в РФ],$K368),"")</f>
        <v>68</v>
      </c>
      <c r="K368" s="23">
        <f t="array" ref="K368">IFERROR(_xlfn.AGGREGATE(15,6,(ROW(Personnel[Egtim durumu])-MIN(ROW(Personnel[Egtim durumu]))+1)/((Personnel[Egtim durumu]="Dil egitimi tamamlandi sinavdan gecti")),ROWS($K$7:K368)),"")</f>
        <v>446</v>
      </c>
    </row>
    <row r="369" spans="1:11" x14ac:dyDescent="0.25">
      <c r="A369" s="18">
        <f>IFERROR(INDEX(Personnel[Sicil],$K369),"")</f>
        <v>644833</v>
      </c>
      <c r="B369" s="17" t="str">
        <f>IFERROR(INDEX(Personnel[Adi Soyadi],$K369),"")</f>
        <v>Исламов Акрамжон Абдухамидович</v>
      </c>
      <c r="C369" s="18" t="str">
        <f>IFERROR(INDEX(Personnel[Vatandaslik],$K369),"")</f>
        <v>УЗБЕКИСТАН</v>
      </c>
      <c r="D369" s="18" t="str">
        <f>IFERROR(INDEX(Personnel[Santiye],$K369),"")</f>
        <v>GPP Proje</v>
      </c>
      <c r="E369" s="18" t="str">
        <f>IFERROR(INDEX(Personnel[Ogretmen],$K369),"")</f>
        <v xml:space="preserve">Ziazetdinov Arslan </v>
      </c>
      <c r="F369" s="17" t="str">
        <f>IFERROR(INDEX(Personnel[[Sinav ]],$K369),"")</f>
        <v>30.06.2026 Sineva gitti gecdi</v>
      </c>
      <c r="G369" s="17" t="str">
        <f>IFERROR(INDEX(Personnel[Egtim durumu],$K369),"")</f>
        <v>Dil egitimi tamamlandi sinavdan gecti</v>
      </c>
      <c r="H369" s="17" t="str">
        <f>IFERROR(INDEX(Personnel[Shohruh Not],$K369),"")</f>
        <v>-</v>
      </c>
      <c r="I369" s="22">
        <f ca="1">IFERROR(INDEX(Personnel[Дней в РФ],$K369),"")</f>
        <v>67</v>
      </c>
      <c r="K369" s="23">
        <f t="array" ref="K369">IFERROR(_xlfn.AGGREGATE(15,6,(ROW(Personnel[Egtim durumu])-MIN(ROW(Personnel[Egtim durumu]))+1)/((Personnel[Egtim durumu]="Dil egitimi tamamlandi sinavdan gecti")),ROWS($K$7:K369)),"")</f>
        <v>447</v>
      </c>
    </row>
    <row r="370" spans="1:11" x14ac:dyDescent="0.25">
      <c r="A370" s="40">
        <f>IFERROR(INDEX(Personnel[Sicil],$K370),"")</f>
        <v>644826</v>
      </c>
      <c r="B370" s="41" t="str">
        <f>IFERROR(INDEX(Personnel[Adi Soyadi],$K370),"")</f>
        <v>Итолмосов Сирожиддин Файзиевич</v>
      </c>
      <c r="C370" s="40" t="str">
        <f>IFERROR(INDEX(Personnel[Vatandaslik],$K370),"")</f>
        <v>УЗБЕКИСТАН</v>
      </c>
      <c r="D370" s="40" t="str">
        <f>IFERROR(INDEX(Personnel[Santiye],$K370),"")</f>
        <v>GPP Proje</v>
      </c>
      <c r="E370" s="40" t="str">
        <f>IFERROR(INDEX(Personnel[Ogretmen],$K370),"")</f>
        <v xml:space="preserve">Ziazetdinov Arslan </v>
      </c>
      <c r="F370" s="41" t="str">
        <f>IFERROR(INDEX(Personnel[[Sinav ]],$K370),"")</f>
        <v>30.06.2026 Sineva gitti gecdi</v>
      </c>
      <c r="G370" s="41" t="str">
        <f>IFERROR(INDEX(Personnel[Egtim durumu],$K370),"")</f>
        <v>Dil egitimi tamamlandi sinavdan gecti</v>
      </c>
      <c r="H370" s="41" t="str">
        <f>IFERROR(INDEX(Personnel[Shohruh Not],$K370),"")</f>
        <v>-</v>
      </c>
      <c r="I370" s="42">
        <f ca="1">IFERROR(INDEX(Personnel[Дней в РФ],$K370),"")</f>
        <v>68</v>
      </c>
      <c r="K370" s="23">
        <f t="array" ref="K370">IFERROR(_xlfn.AGGREGATE(15,6,(ROW(Personnel[Egtim durumu])-MIN(ROW(Personnel[Egtim durumu]))+1)/((Personnel[Egtim durumu]="Dil egitimi tamamlandi sinavdan gecti")),ROWS($K$7:K370)),"")</f>
        <v>448</v>
      </c>
    </row>
    <row r="371" spans="1:11" x14ac:dyDescent="0.25">
      <c r="A371" s="18">
        <f>IFERROR(INDEX(Personnel[Sicil],$K371),"")</f>
        <v>644861</v>
      </c>
      <c r="B371" s="17" t="str">
        <f>IFERROR(INDEX(Personnel[Adi Soyadi],$K371),"")</f>
        <v>Кенжаев Шокир Зокирович</v>
      </c>
      <c r="C371" s="18" t="str">
        <f>IFERROR(INDEX(Personnel[Vatandaslik],$K371),"")</f>
        <v>УЗБЕКИСТАН</v>
      </c>
      <c r="D371" s="18" t="str">
        <f>IFERROR(INDEX(Personnel[Santiye],$K371),"")</f>
        <v>GPP Proje</v>
      </c>
      <c r="E371" s="18" t="str">
        <f>IFERROR(INDEX(Personnel[Ogretmen],$K371),"")</f>
        <v xml:space="preserve">Ziazetdinov Arslan </v>
      </c>
      <c r="F371" s="17" t="str">
        <f>IFERROR(INDEX(Personnel[[Sinav ]],$K371),"")</f>
        <v>30.06.2026 Sineva gitti gecdi</v>
      </c>
      <c r="G371" s="17" t="str">
        <f>IFERROR(INDEX(Personnel[Egtim durumu],$K371),"")</f>
        <v>Dil egitimi tamamlandi sinavdan gecti</v>
      </c>
      <c r="H371" s="17" t="str">
        <f>IFERROR(INDEX(Personnel[Shohruh Not],$K371),"")</f>
        <v>-</v>
      </c>
      <c r="I371" s="22">
        <f ca="1">IFERROR(INDEX(Personnel[Дней в РФ],$K371),"")</f>
        <v>68</v>
      </c>
      <c r="K371" s="23">
        <f t="array" ref="K371">IFERROR(_xlfn.AGGREGATE(15,6,(ROW(Personnel[Egtim durumu])-MIN(ROW(Personnel[Egtim durumu]))+1)/((Personnel[Egtim durumu]="Dil egitimi tamamlandi sinavdan gecti")),ROWS($K$7:K371)),"")</f>
        <v>449</v>
      </c>
    </row>
    <row r="372" spans="1:11" ht="38.25" x14ac:dyDescent="0.25">
      <c r="A372" s="40">
        <f>IFERROR(INDEX(Personnel[Sicil],$K372),"")</f>
        <v>644930</v>
      </c>
      <c r="B372" s="41" t="str">
        <f>IFERROR(INDEX(Personnel[Adi Soyadi],$K372),"")</f>
        <v>Хасанбоев Жалолиддин Жамолиддин Угли</v>
      </c>
      <c r="C372" s="40" t="str">
        <f>IFERROR(INDEX(Personnel[Vatandaslik],$K372),"")</f>
        <v>УЗБЕКИСТАН</v>
      </c>
      <c r="D372" s="40" t="str">
        <f>IFERROR(INDEX(Personnel[Santiye],$K372),"")</f>
        <v>GPP Proje</v>
      </c>
      <c r="E372" s="40" t="str">
        <f>IFERROR(INDEX(Personnel[Ogretmen],$K372),"")</f>
        <v>Ziazetdinov Arslan / Ziazetdinov Arslan</v>
      </c>
      <c r="F372" s="41" t="str">
        <f>IFERROR(INDEX(Personnel[[Sinav ]],$K372),"")</f>
        <v>Ic testimizden gecemiyor (03.07.2026 egitime alindi) /09.07.2026 Sineva gitti gecdi</v>
      </c>
      <c r="G372" s="41" t="str">
        <f>IFERROR(INDEX(Personnel[Egtim durumu],$K372),"")</f>
        <v>Dil egitimi tamamlandi sinavdan gecti</v>
      </c>
      <c r="H372" s="41" t="str">
        <f>IFERROR(INDEX(Personnel[Shohruh Not],$K372),"")</f>
        <v xml:space="preserve"> Tarih 27.06.2026 Sineve bilgi verildi gelmedi Ser gecersiz </v>
      </c>
      <c r="I372" s="42">
        <f ca="1">IFERROR(INDEX(Personnel[Дней в РФ],$K372),"")</f>
        <v>67</v>
      </c>
      <c r="K372" s="23">
        <f t="array" ref="K372">IFERROR(_xlfn.AGGREGATE(15,6,(ROW(Personnel[Egtim durumu])-MIN(ROW(Personnel[Egtim durumu]))+1)/((Personnel[Egtim durumu]="Dil egitimi tamamlandi sinavdan gecti")),ROWS($K$7:K372)),"")</f>
        <v>450</v>
      </c>
    </row>
    <row r="373" spans="1:11" x14ac:dyDescent="0.25">
      <c r="A373" s="18">
        <f>IFERROR(INDEX(Personnel[Sicil],$K373),"")</f>
        <v>644850</v>
      </c>
      <c r="B373" s="17" t="str">
        <f>IFERROR(INDEX(Personnel[Adi Soyadi],$K373),"")</f>
        <v>Хазраткулов Зоиржон Хакимкулович</v>
      </c>
      <c r="C373" s="18" t="str">
        <f>IFERROR(INDEX(Personnel[Vatandaslik],$K373),"")</f>
        <v>УЗБЕКИСТАН</v>
      </c>
      <c r="D373" s="18" t="str">
        <f>IFERROR(INDEX(Personnel[Santiye],$K373),"")</f>
        <v>GPP Proje</v>
      </c>
      <c r="E373" s="18" t="str">
        <f>IFERROR(INDEX(Personnel[Ogretmen],$K373),"")</f>
        <v xml:space="preserve">Ziazetdinov Arslan </v>
      </c>
      <c r="F373" s="17" t="str">
        <f>IFERROR(INDEX(Personnel[[Sinav ]],$K373),"")</f>
        <v>30.06.2026 Sineva gitti gecdi</v>
      </c>
      <c r="G373" s="17" t="str">
        <f>IFERROR(INDEX(Personnel[Egtim durumu],$K373),"")</f>
        <v>Dil egitimi tamamlandi sinavdan gecti</v>
      </c>
      <c r="H373" s="17" t="str">
        <f>IFERROR(INDEX(Personnel[Shohruh Not],$K373),"")</f>
        <v>-</v>
      </c>
      <c r="I373" s="22">
        <f ca="1">IFERROR(INDEX(Personnel[Дней в РФ],$K373),"")</f>
        <v>67</v>
      </c>
      <c r="K373" s="23">
        <f t="array" ref="K373">IFERROR(_xlfn.AGGREGATE(15,6,(ROW(Personnel[Egtim durumu])-MIN(ROW(Personnel[Egtim durumu]))+1)/((Personnel[Egtim durumu]="Dil egitimi tamamlandi sinavdan gecti")),ROWS($K$7:K373)),"")</f>
        <v>452</v>
      </c>
    </row>
    <row r="374" spans="1:11" x14ac:dyDescent="0.25">
      <c r="A374" s="40">
        <f>IFERROR(INDEX(Personnel[Sicil],$K374),"")</f>
        <v>644912</v>
      </c>
      <c r="B374" s="41" t="str">
        <f>IFERROR(INDEX(Personnel[Adi Soyadi],$K374),"")</f>
        <v>Худояров Юнус Ражаббоевич</v>
      </c>
      <c r="C374" s="40" t="str">
        <f>IFERROR(INDEX(Personnel[Vatandaslik],$K374),"")</f>
        <v>УЗБЕКИСТАН</v>
      </c>
      <c r="D374" s="40" t="str">
        <f>IFERROR(INDEX(Personnel[Santiye],$K374),"")</f>
        <v>GPP Proje</v>
      </c>
      <c r="E374" s="40" t="str">
        <f>IFERROR(INDEX(Personnel[Ogretmen],$K374),"")</f>
        <v xml:space="preserve">Ziazetdinov Arslan </v>
      </c>
      <c r="F374" s="41" t="str">
        <f>IFERROR(INDEX(Personnel[[Sinav ]],$K374),"")</f>
        <v>30.06.2026 Sineva gitti gecdi</v>
      </c>
      <c r="G374" s="41" t="str">
        <f>IFERROR(INDEX(Personnel[Egtim durumu],$K374),"")</f>
        <v>Dil egitimi tamamlandi sinavdan gecti</v>
      </c>
      <c r="H374" s="41" t="str">
        <f>IFERROR(INDEX(Personnel[Shohruh Not],$K374),"")</f>
        <v>-</v>
      </c>
      <c r="I374" s="42">
        <f ca="1">IFERROR(INDEX(Personnel[Дней в РФ],$K374),"")</f>
        <v>67</v>
      </c>
      <c r="K374" s="23">
        <f t="array" ref="K374">IFERROR(_xlfn.AGGREGATE(15,6,(ROW(Personnel[Egtim durumu])-MIN(ROW(Personnel[Egtim durumu]))+1)/((Personnel[Egtim durumu]="Dil egitimi tamamlandi sinavdan gecti")),ROWS($K$7:K374)),"")</f>
        <v>453</v>
      </c>
    </row>
    <row r="375" spans="1:11" ht="25.5" x14ac:dyDescent="0.25">
      <c r="A375" s="18">
        <f>IFERROR(INDEX(Personnel[Sicil],$K375),"")</f>
        <v>644877</v>
      </c>
      <c r="B375" s="17" t="str">
        <f>IFERROR(INDEX(Personnel[Adi Soyadi],$K375),"")</f>
        <v>Маматкулова Ферузахон Каримжон Кизи</v>
      </c>
      <c r="C375" s="18" t="str">
        <f>IFERROR(INDEX(Personnel[Vatandaslik],$K375),"")</f>
        <v>УЗБЕКИСТАН</v>
      </c>
      <c r="D375" s="18" t="str">
        <f>IFERROR(INDEX(Personnel[Santiye],$K375),"")</f>
        <v>GPP Proje</v>
      </c>
      <c r="E375" s="18" t="str">
        <f>IFERROR(INDEX(Personnel[Ogretmen],$K375),"")</f>
        <v xml:space="preserve">Ziazetdinov Arslan </v>
      </c>
      <c r="F375" s="17" t="str">
        <f>IFERROR(INDEX(Personnel[[Sinav ]],$K375),"")</f>
        <v>30.06.2026 Sineva gitti gecdi</v>
      </c>
      <c r="G375" s="17" t="str">
        <f>IFERROR(INDEX(Personnel[Egtim durumu],$K375),"")</f>
        <v>Dil egitimi tamamlandi sinavdan gecti</v>
      </c>
      <c r="H375" s="17" t="str">
        <f>IFERROR(INDEX(Personnel[Shohruh Not],$K375),"")</f>
        <v>-</v>
      </c>
      <c r="I375" s="22">
        <f ca="1">IFERROR(INDEX(Personnel[Дней в РФ],$K375),"")</f>
        <v>67</v>
      </c>
      <c r="K375" s="23">
        <f t="array" ref="K375">IFERROR(_xlfn.AGGREGATE(15,6,(ROW(Personnel[Egtim durumu])-MIN(ROW(Personnel[Egtim durumu]))+1)/((Personnel[Egtim durumu]="Dil egitimi tamamlandi sinavdan gecti")),ROWS($K$7:K375)),"")</f>
        <v>454</v>
      </c>
    </row>
    <row r="376" spans="1:11" ht="25.5" x14ac:dyDescent="0.25">
      <c r="A376" s="40">
        <f>IFERROR(INDEX(Personnel[Sicil],$K376),"")</f>
        <v>644838</v>
      </c>
      <c r="B376" s="41" t="str">
        <f>IFERROR(INDEX(Personnel[Adi Soyadi],$K376),"")</f>
        <v>Мамазакиров Одилжон Хусниддин Угли</v>
      </c>
      <c r="C376" s="40" t="str">
        <f>IFERROR(INDEX(Personnel[Vatandaslik],$K376),"")</f>
        <v>УЗБЕКИСТАН</v>
      </c>
      <c r="D376" s="40" t="str">
        <f>IFERROR(INDEX(Personnel[Santiye],$K376),"")</f>
        <v>GPP Proje</v>
      </c>
      <c r="E376" s="40" t="str">
        <f>IFERROR(INDEX(Personnel[Ogretmen],$K376),"")</f>
        <v xml:space="preserve">Ziazetdinov Arslan </v>
      </c>
      <c r="F376" s="41" t="str">
        <f>IFERROR(INDEX(Personnel[[Sinav ]],$K376),"")</f>
        <v>30.06.2026 Sineva gitti gecdi</v>
      </c>
      <c r="G376" s="41" t="str">
        <f>IFERROR(INDEX(Personnel[Egtim durumu],$K376),"")</f>
        <v>Dil egitimi tamamlandi sinavdan gecti</v>
      </c>
      <c r="H376" s="41" t="str">
        <f>IFERROR(INDEX(Personnel[Shohruh Not],$K376),"")</f>
        <v>-</v>
      </c>
      <c r="I376" s="42">
        <f ca="1">IFERROR(INDEX(Personnel[Дней в РФ],$K376),"")</f>
        <v>67</v>
      </c>
      <c r="K376" s="23">
        <f t="array" ref="K376">IFERROR(_xlfn.AGGREGATE(15,6,(ROW(Personnel[Egtim durumu])-MIN(ROW(Personnel[Egtim durumu]))+1)/((Personnel[Egtim durumu]="Dil egitimi tamamlandi sinavdan gecti")),ROWS($K$7:K376)),"")</f>
        <v>455</v>
      </c>
    </row>
    <row r="377" spans="1:11" ht="25.5" x14ac:dyDescent="0.25">
      <c r="A377" s="18">
        <f>IFERROR(INDEX(Personnel[Sicil],$K377),"")</f>
        <v>502393</v>
      </c>
      <c r="B377" s="17" t="str">
        <f>IFERROR(INDEX(Personnel[Adi Soyadi],$K377),"")</f>
        <v>Олламов Шерзод Хасанбаевич</v>
      </c>
      <c r="C377" s="18" t="str">
        <f>IFERROR(INDEX(Personnel[Vatandaslik],$K377),"")</f>
        <v>УЗБЕКИСТАН</v>
      </c>
      <c r="D377" s="18" t="str">
        <f>IFERROR(INDEX(Personnel[Santiye],$K377),"")</f>
        <v>GPP Proje</v>
      </c>
      <c r="E377" s="18" t="str">
        <f>IFERROR(INDEX(Personnel[Ogretmen],$K377),"")</f>
        <v>Ziazetdinov Arslan / Ziazetdinov Arslan</v>
      </c>
      <c r="F377" s="17" t="str">
        <f>IFERROR(INDEX(Personnel[[Sinav ]],$K377),"")</f>
        <v>30.06.2026 Sineva gitti gecemedi /07.07.2026 Sineva gitti gecdi</v>
      </c>
      <c r="G377" s="17" t="str">
        <f>IFERROR(INDEX(Personnel[Egtim durumu],$K377),"")</f>
        <v>Dil egitimi tamamlandi sinavdan gecti</v>
      </c>
      <c r="H377" s="17" t="str">
        <f>IFERROR(INDEX(Personnel[Shohruh Not],$K377),"")</f>
        <v>-</v>
      </c>
      <c r="I377" s="22">
        <f ca="1">IFERROR(INDEX(Personnel[Дней в РФ],$K377),"")</f>
        <v>67</v>
      </c>
      <c r="K377" s="23">
        <f t="array" ref="K377">IFERROR(_xlfn.AGGREGATE(15,6,(ROW(Personnel[Egtim durumu])-MIN(ROW(Personnel[Egtim durumu]))+1)/((Personnel[Egtim durumu]="Dil egitimi tamamlandi sinavdan gecti")),ROWS($K$7:K377)),"")</f>
        <v>458</v>
      </c>
    </row>
    <row r="378" spans="1:11" ht="38.25" x14ac:dyDescent="0.25">
      <c r="A378" s="40">
        <f>IFERROR(INDEX(Personnel[Sicil],$K378),"")</f>
        <v>644914</v>
      </c>
      <c r="B378" s="41" t="str">
        <f>IFERROR(INDEX(Personnel[Adi Soyadi],$K378),"")</f>
        <v>Пирназаров Уткиржон Хасанович</v>
      </c>
      <c r="C378" s="40" t="str">
        <f>IFERROR(INDEX(Personnel[Vatandaslik],$K378),"")</f>
        <v>УЗБЕКИСТАН</v>
      </c>
      <c r="D378" s="40" t="str">
        <f>IFERROR(INDEX(Personnel[Santiye],$K378),"")</f>
        <v>GPP Proje</v>
      </c>
      <c r="E378" s="40" t="str">
        <f>IFERROR(INDEX(Personnel[Ogretmen],$K378),"")</f>
        <v>Ziazetdinov Arslan / Ziazetdinov Arslan</v>
      </c>
      <c r="F378" s="41" t="str">
        <f>IFERROR(INDEX(Personnel[[Sinav ]],$K378),"")</f>
        <v>Ic testimizden gecemiyor Tarih 23.06.2026 /01.07.2026 Sineva gitti gecdi</v>
      </c>
      <c r="G378" s="41" t="str">
        <f>IFERROR(INDEX(Personnel[Egtim durumu],$K378),"")</f>
        <v>Dil egitimi tamamlandi sinavdan gecti</v>
      </c>
      <c r="H378" s="41" t="str">
        <f>IFERROR(INDEX(Personnel[Shohruh Not],$K378),"")</f>
        <v xml:space="preserve">Tekrar egitime alinacak </v>
      </c>
      <c r="I378" s="42">
        <f ca="1">IFERROR(INDEX(Personnel[Дней в РФ],$K378),"")</f>
        <v>67</v>
      </c>
      <c r="K378" s="23">
        <f t="array" ref="K378">IFERROR(_xlfn.AGGREGATE(15,6,(ROW(Personnel[Egtim durumu])-MIN(ROW(Personnel[Egtim durumu]))+1)/((Personnel[Egtim durumu]="Dil egitimi tamamlandi sinavdan gecti")),ROWS($K$7:K378)),"")</f>
        <v>459</v>
      </c>
    </row>
    <row r="379" spans="1:11" x14ac:dyDescent="0.25">
      <c r="A379" s="18">
        <f>IFERROR(INDEX(Personnel[Sicil],$K379),"")</f>
        <v>644809</v>
      </c>
      <c r="B379" s="17" t="str">
        <f>IFERROR(INDEX(Personnel[Adi Soyadi],$K379),"")</f>
        <v>Рашидов Ахрор Алишер Угли</v>
      </c>
      <c r="C379" s="18" t="str">
        <f>IFERROR(INDEX(Personnel[Vatandaslik],$K379),"")</f>
        <v>УЗБЕКИСТАН</v>
      </c>
      <c r="D379" s="18" t="str">
        <f>IFERROR(INDEX(Personnel[Santiye],$K379),"")</f>
        <v>GPP Proje</v>
      </c>
      <c r="E379" s="18" t="str">
        <f>IFERROR(INDEX(Personnel[Ogretmen],$K379),"")</f>
        <v xml:space="preserve">Ziazetdinov Arslan </v>
      </c>
      <c r="F379" s="17" t="str">
        <f>IFERROR(INDEX(Personnel[[Sinav ]],$K379),"")</f>
        <v>30.06.2026 Sineva gitti gecdi</v>
      </c>
      <c r="G379" s="17" t="str">
        <f>IFERROR(INDEX(Personnel[Egtim durumu],$K379),"")</f>
        <v>Dil egitimi tamamlandi sinavdan gecti</v>
      </c>
      <c r="H379" s="17" t="str">
        <f>IFERROR(INDEX(Personnel[Shohruh Not],$K379),"")</f>
        <v>-</v>
      </c>
      <c r="I379" s="22">
        <f ca="1">IFERROR(INDEX(Personnel[Дней в РФ],$K379),"")</f>
        <v>68</v>
      </c>
      <c r="K379" s="23">
        <f t="array" ref="K379">IFERROR(_xlfn.AGGREGATE(15,6,(ROW(Personnel[Egtim durumu])-MIN(ROW(Personnel[Egtim durumu]))+1)/((Personnel[Egtim durumu]="Dil egitimi tamamlandi sinavdan gecti")),ROWS($K$7:K379)),"")</f>
        <v>461</v>
      </c>
    </row>
    <row r="380" spans="1:11" x14ac:dyDescent="0.25">
      <c r="A380" s="40">
        <f>IFERROR(INDEX(Personnel[Sicil],$K380),"")</f>
        <v>644910</v>
      </c>
      <c r="B380" s="41" t="str">
        <f>IFERROR(INDEX(Personnel[Adi Soyadi],$K380),"")</f>
        <v>Режапов Комилжон Болтабоевич</v>
      </c>
      <c r="C380" s="40" t="str">
        <f>IFERROR(INDEX(Personnel[Vatandaslik],$K380),"")</f>
        <v>УЗБЕКИСТАН</v>
      </c>
      <c r="D380" s="40" t="str">
        <f>IFERROR(INDEX(Personnel[Santiye],$K380),"")</f>
        <v>GPP Proje</v>
      </c>
      <c r="E380" s="40" t="str">
        <f>IFERROR(INDEX(Personnel[Ogretmen],$K380),"")</f>
        <v xml:space="preserve">Ziazetdinov Arslan </v>
      </c>
      <c r="F380" s="41" t="str">
        <f>IFERROR(INDEX(Personnel[[Sinav ]],$K380),"")</f>
        <v>01.07.2026 Sineva gitti gecdi</v>
      </c>
      <c r="G380" s="41" t="str">
        <f>IFERROR(INDEX(Personnel[Egtim durumu],$K380),"")</f>
        <v>Dil egitimi tamamlandi sinavdan gecti</v>
      </c>
      <c r="H380" s="41" t="str">
        <f>IFERROR(INDEX(Personnel[Shohruh Not],$K380),"")</f>
        <v>-</v>
      </c>
      <c r="I380" s="42">
        <f ca="1">IFERROR(INDEX(Personnel[Дней в РФ],$K380),"")</f>
        <v>67</v>
      </c>
      <c r="K380" s="23">
        <f t="array" ref="K380">IFERROR(_xlfn.AGGREGATE(15,6,(ROW(Personnel[Egtim durumu])-MIN(ROW(Personnel[Egtim durumu]))+1)/((Personnel[Egtim durumu]="Dil egitimi tamamlandi sinavdan gecti")),ROWS($K$7:K380)),"")</f>
        <v>462</v>
      </c>
    </row>
    <row r="381" spans="1:11" x14ac:dyDescent="0.25">
      <c r="A381" s="18">
        <f>IFERROR(INDEX(Personnel[Sicil],$K381),"")</f>
        <v>644874</v>
      </c>
      <c r="B381" s="17" t="str">
        <f>IFERROR(INDEX(Personnel[Adi Soyadi],$K381),"")</f>
        <v>Рустамов Нодир Абдукаххарович</v>
      </c>
      <c r="C381" s="18" t="str">
        <f>IFERROR(INDEX(Personnel[Vatandaslik],$K381),"")</f>
        <v>УЗБЕКИСТАН</v>
      </c>
      <c r="D381" s="18" t="str">
        <f>IFERROR(INDEX(Personnel[Santiye],$K381),"")</f>
        <v>GPP Proje (TSF)</v>
      </c>
      <c r="E381" s="18" t="str">
        <f>IFERROR(INDEX(Personnel[Ogretmen],$K381),"")</f>
        <v xml:space="preserve">Ziazetdinov Arslan </v>
      </c>
      <c r="F381" s="17" t="str">
        <f>IFERROR(INDEX(Personnel[[Sinav ]],$K381),"")</f>
        <v>30.06.2026 Sineva gitti gecdi</v>
      </c>
      <c r="G381" s="17" t="str">
        <f>IFERROR(INDEX(Personnel[Egtim durumu],$K381),"")</f>
        <v>Dil egitimi tamamlandi sinavdan gecti</v>
      </c>
      <c r="H381" s="17" t="str">
        <f>IFERROR(INDEX(Personnel[Shohruh Not],$K381),"")</f>
        <v>-</v>
      </c>
      <c r="I381" s="22">
        <f ca="1">IFERROR(INDEX(Personnel[Дней в РФ],$K381),"")</f>
        <v>68</v>
      </c>
      <c r="K381" s="23">
        <f t="array" ref="K381">IFERROR(_xlfn.AGGREGATE(15,6,(ROW(Personnel[Egtim durumu])-MIN(ROW(Personnel[Egtim durumu]))+1)/((Personnel[Egtim durumu]="Dil egitimi tamamlandi sinavdan gecti")),ROWS($K$7:K381)),"")</f>
        <v>463</v>
      </c>
    </row>
    <row r="382" spans="1:11" x14ac:dyDescent="0.25">
      <c r="A382" s="40">
        <f>IFERROR(INDEX(Personnel[Sicil],$K382),"")</f>
        <v>644805</v>
      </c>
      <c r="B382" s="41" t="str">
        <f>IFERROR(INDEX(Personnel[Adi Soyadi],$K382),"")</f>
        <v>Рузикулов Акбар Акромович</v>
      </c>
      <c r="C382" s="40" t="str">
        <f>IFERROR(INDEX(Personnel[Vatandaslik],$K382),"")</f>
        <v>УЗБЕКИСТАН</v>
      </c>
      <c r="D382" s="40" t="str">
        <f>IFERROR(INDEX(Personnel[Santiye],$K382),"")</f>
        <v>GPP Proje</v>
      </c>
      <c r="E382" s="40" t="str">
        <f>IFERROR(INDEX(Personnel[Ogretmen],$K382),"")</f>
        <v xml:space="preserve">Ziazetdinov Arslan </v>
      </c>
      <c r="F382" s="41" t="str">
        <f>IFERROR(INDEX(Personnel[[Sinav ]],$K382),"")</f>
        <v>30.06.2026 Sineva gitti gecdi</v>
      </c>
      <c r="G382" s="41" t="str">
        <f>IFERROR(INDEX(Personnel[Egtim durumu],$K382),"")</f>
        <v>Dil egitimi tamamlandi sinavdan gecti</v>
      </c>
      <c r="H382" s="41" t="str">
        <f>IFERROR(INDEX(Personnel[Shohruh Not],$K382),"")</f>
        <v>-</v>
      </c>
      <c r="I382" s="42">
        <f ca="1">IFERROR(INDEX(Personnel[Дней в РФ],$K382),"")</f>
        <v>68</v>
      </c>
      <c r="K382" s="23">
        <f t="array" ref="K382">IFERROR(_xlfn.AGGREGATE(15,6,(ROW(Personnel[Egtim durumu])-MIN(ROW(Personnel[Egtim durumu]))+1)/((Personnel[Egtim durumu]="Dil egitimi tamamlandi sinavdan gecti")),ROWS($K$7:K382)),"")</f>
        <v>464</v>
      </c>
    </row>
    <row r="383" spans="1:11" ht="25.5" x14ac:dyDescent="0.25">
      <c r="A383" s="18">
        <f>IFERROR(INDEX(Personnel[Sicil],$K383),"")</f>
        <v>644918</v>
      </c>
      <c r="B383" s="17" t="str">
        <f>IFERROR(INDEX(Personnel[Adi Soyadi],$K383),"")</f>
        <v>Сабиров Хамдам Тухтабаевич</v>
      </c>
      <c r="C383" s="18" t="str">
        <f>IFERROR(INDEX(Personnel[Vatandaslik],$K383),"")</f>
        <v>УЗБЕКИСТАН</v>
      </c>
      <c r="D383" s="18" t="str">
        <f>IFERROR(INDEX(Personnel[Santiye],$K383),"")</f>
        <v>GPP Proje</v>
      </c>
      <c r="E383" s="18" t="str">
        <f>IFERROR(INDEX(Personnel[Ogretmen],$K383),"")</f>
        <v>Ziazetdinov Arslan / Ziazetdinov Arslan</v>
      </c>
      <c r="F383" s="17" t="str">
        <f>IFERROR(INDEX(Personnel[[Sinav ]],$K383),"")</f>
        <v>30.06.2026 Sineva gitti gecemedi /07.07.2026 Sineva gitti gecdi</v>
      </c>
      <c r="G383" s="17" t="str">
        <f>IFERROR(INDEX(Personnel[Egtim durumu],$K383),"")</f>
        <v>Dil egitimi tamamlandi sinavdan gecti</v>
      </c>
      <c r="H383" s="17" t="str">
        <f>IFERROR(INDEX(Personnel[Shohruh Not],$K383),"")</f>
        <v>-</v>
      </c>
      <c r="I383" s="22">
        <f ca="1">IFERROR(INDEX(Personnel[Дней в РФ],$K383),"")</f>
        <v>67</v>
      </c>
      <c r="K383" s="23">
        <f t="array" ref="K383">IFERROR(_xlfn.AGGREGATE(15,6,(ROW(Personnel[Egtim durumu])-MIN(ROW(Personnel[Egtim durumu]))+1)/((Personnel[Egtim durumu]="Dil egitimi tamamlandi sinavdan gecti")),ROWS($K$7:K383)),"")</f>
        <v>465</v>
      </c>
    </row>
    <row r="384" spans="1:11" x14ac:dyDescent="0.25">
      <c r="A384" s="40">
        <f>IFERROR(INDEX(Personnel[Sicil],$K384),"")</f>
        <v>644911</v>
      </c>
      <c r="B384" s="41" t="str">
        <f>IFERROR(INDEX(Personnel[Adi Soyadi],$K384),"")</f>
        <v>Саматов Жамшид Равшан Угли</v>
      </c>
      <c r="C384" s="40" t="str">
        <f>IFERROR(INDEX(Personnel[Vatandaslik],$K384),"")</f>
        <v>УЗБЕКИСТАН</v>
      </c>
      <c r="D384" s="40" t="str">
        <f>IFERROR(INDEX(Personnel[Santiye],$K384),"")</f>
        <v>GPP Proje</v>
      </c>
      <c r="E384" s="40" t="str">
        <f>IFERROR(INDEX(Personnel[Ogretmen],$K384),"")</f>
        <v xml:space="preserve">Ziazetdinov Arslan </v>
      </c>
      <c r="F384" s="41" t="str">
        <f>IFERROR(INDEX(Personnel[[Sinav ]],$K384),"")</f>
        <v>30.06.2026 Sineva gitti gecdi</v>
      </c>
      <c r="G384" s="41" t="str">
        <f>IFERROR(INDEX(Personnel[Egtim durumu],$K384),"")</f>
        <v>Dil egitimi tamamlandi sinavdan gecti</v>
      </c>
      <c r="H384" s="41" t="str">
        <f>IFERROR(INDEX(Personnel[Shohruh Not],$K384),"")</f>
        <v>-</v>
      </c>
      <c r="I384" s="42">
        <f ca="1">IFERROR(INDEX(Personnel[Дней в РФ],$K384),"")</f>
        <v>67</v>
      </c>
      <c r="K384" s="23">
        <f t="array" ref="K384">IFERROR(_xlfn.AGGREGATE(15,6,(ROW(Personnel[Egtim durumu])-MIN(ROW(Personnel[Egtim durumu]))+1)/((Personnel[Egtim durumu]="Dil egitimi tamamlandi sinavdan gecti")),ROWS($K$7:K384)),"")</f>
        <v>466</v>
      </c>
    </row>
    <row r="385" spans="1:11" x14ac:dyDescent="0.25">
      <c r="A385" s="18">
        <f>IFERROR(INDEX(Personnel[Sicil],$K385),"")</f>
        <v>644822</v>
      </c>
      <c r="B385" s="17" t="str">
        <f>IFERROR(INDEX(Personnel[Adi Soyadi],$K385),"")</f>
        <v>Шодиев Ойбек Мусо Угли</v>
      </c>
      <c r="C385" s="18" t="str">
        <f>IFERROR(INDEX(Personnel[Vatandaslik],$K385),"")</f>
        <v>УЗБЕКИСТАН</v>
      </c>
      <c r="D385" s="18" t="str">
        <f>IFERROR(INDEX(Personnel[Santiye],$K385),"")</f>
        <v>GPP Proje</v>
      </c>
      <c r="E385" s="18" t="str">
        <f>IFERROR(INDEX(Personnel[Ogretmen],$K385),"")</f>
        <v xml:space="preserve">Ziazetdinov Arslan </v>
      </c>
      <c r="F385" s="17" t="str">
        <f>IFERROR(INDEX(Personnel[[Sinav ]],$K385),"")</f>
        <v>30.06.2026 Sineva gitti gecdi</v>
      </c>
      <c r="G385" s="17" t="str">
        <f>IFERROR(INDEX(Personnel[Egtim durumu],$K385),"")</f>
        <v>Dil egitimi tamamlandi sinavdan gecti</v>
      </c>
      <c r="H385" s="17" t="str">
        <f>IFERROR(INDEX(Personnel[Shohruh Not],$K385),"")</f>
        <v>-</v>
      </c>
      <c r="I385" s="22">
        <f ca="1">IFERROR(INDEX(Personnel[Дней в РФ],$K385),"")</f>
        <v>68</v>
      </c>
      <c r="K385" s="23">
        <f t="array" ref="K385">IFERROR(_xlfn.AGGREGATE(15,6,(ROW(Personnel[Egtim durumu])-MIN(ROW(Personnel[Egtim durumu]))+1)/((Personnel[Egtim durumu]="Dil egitimi tamamlandi sinavdan gecti")),ROWS($K$7:K385)),"")</f>
        <v>468</v>
      </c>
    </row>
    <row r="386" spans="1:11" x14ac:dyDescent="0.25">
      <c r="A386" s="40">
        <f>IFERROR(INDEX(Personnel[Sicil],$K386),"")</f>
        <v>644898</v>
      </c>
      <c r="B386" s="41" t="str">
        <f>IFERROR(INDEX(Personnel[Adi Soyadi],$K386),"")</f>
        <v>Солижанов Иброхим Зухриддин Угли</v>
      </c>
      <c r="C386" s="40" t="str">
        <f>IFERROR(INDEX(Personnel[Vatandaslik],$K386),"")</f>
        <v>УЗБЕКИСТАН</v>
      </c>
      <c r="D386" s="40" t="str">
        <f>IFERROR(INDEX(Personnel[Santiye],$K386),"")</f>
        <v>GPP Proje</v>
      </c>
      <c r="E386" s="40" t="str">
        <f>IFERROR(INDEX(Personnel[Ogretmen],$K386),"")</f>
        <v xml:space="preserve">Ziazetdinov Arslan </v>
      </c>
      <c r="F386" s="41" t="str">
        <f>IFERROR(INDEX(Personnel[[Sinav ]],$K386),"")</f>
        <v>30.06.2026 Sineva gitti gecdi</v>
      </c>
      <c r="G386" s="41" t="str">
        <f>IFERROR(INDEX(Personnel[Egtim durumu],$K386),"")</f>
        <v>Dil egitimi tamamlandi sinavdan gecti</v>
      </c>
      <c r="H386" s="41" t="str">
        <f>IFERROR(INDEX(Personnel[Shohruh Not],$K386),"")</f>
        <v>-</v>
      </c>
      <c r="I386" s="42">
        <f ca="1">IFERROR(INDEX(Personnel[Дней в РФ],$K386),"")</f>
        <v>67</v>
      </c>
      <c r="K386" s="23">
        <f t="array" ref="K386">IFERROR(_xlfn.AGGREGATE(15,6,(ROW(Personnel[Egtim durumu])-MIN(ROW(Personnel[Egtim durumu]))+1)/((Personnel[Egtim durumu]="Dil egitimi tamamlandi sinavdan gecti")),ROWS($K$7:K386)),"")</f>
        <v>469</v>
      </c>
    </row>
    <row r="387" spans="1:11" ht="25.5" x14ac:dyDescent="0.25">
      <c r="A387" s="18">
        <f>IFERROR(INDEX(Personnel[Sicil],$K387),"")</f>
        <v>644832</v>
      </c>
      <c r="B387" s="17" t="str">
        <f>IFERROR(INDEX(Personnel[Adi Soyadi],$K387),"")</f>
        <v>Султанов Дилмурод Зокиржонович</v>
      </c>
      <c r="C387" s="18" t="str">
        <f>IFERROR(INDEX(Personnel[Vatandaslik],$K387),"")</f>
        <v>УЗБЕКИСТАН</v>
      </c>
      <c r="D387" s="18" t="str">
        <f>IFERROR(INDEX(Personnel[Santiye],$K387),"")</f>
        <v>GPP Proje</v>
      </c>
      <c r="E387" s="18" t="str">
        <f>IFERROR(INDEX(Personnel[Ogretmen],$K387),"")</f>
        <v>Ziazetdinov Arslan / Ziazetdinov Arslan</v>
      </c>
      <c r="F387" s="17" t="str">
        <f>IFERROR(INDEX(Personnel[[Sinav ]],$K387),"")</f>
        <v>30.06.2026 Sineva gitti gecemedi /07.07.2026 Sineva gitti gecdi</v>
      </c>
      <c r="G387" s="17" t="str">
        <f>IFERROR(INDEX(Personnel[Egtim durumu],$K387),"")</f>
        <v>Dil egitimi tamamlandi sinavdan gecti</v>
      </c>
      <c r="H387" s="17" t="str">
        <f>IFERROR(INDEX(Personnel[Shohruh Not],$K387),"")</f>
        <v>-</v>
      </c>
      <c r="I387" s="22">
        <f ca="1">IFERROR(INDEX(Personnel[Дней в РФ],$K387),"")</f>
        <v>67</v>
      </c>
      <c r="K387" s="23">
        <f t="array" ref="K387">IFERROR(_xlfn.AGGREGATE(15,6,(ROW(Personnel[Egtim durumu])-MIN(ROW(Personnel[Egtim durumu]))+1)/((Personnel[Egtim durumu]="Dil egitimi tamamlandi sinavdan gecti")),ROWS($K$7:K387)),"")</f>
        <v>470</v>
      </c>
    </row>
    <row r="388" spans="1:11" ht="25.5" x14ac:dyDescent="0.25">
      <c r="A388" s="40">
        <f>IFERROR(INDEX(Personnel[Sicil],$K388),"")</f>
        <v>644871</v>
      </c>
      <c r="B388" s="41" t="str">
        <f>IFERROR(INDEX(Personnel[Adi Soyadi],$K388),"")</f>
        <v>Суюнов Бахтиёр Шониёз Угли</v>
      </c>
      <c r="C388" s="40" t="str">
        <f>IFERROR(INDEX(Personnel[Vatandaslik],$K388),"")</f>
        <v>УЗБЕКИСТАН</v>
      </c>
      <c r="D388" s="40" t="str">
        <f>IFERROR(INDEX(Personnel[Santiye],$K388),"")</f>
        <v>GPP Proje</v>
      </c>
      <c r="E388" s="40" t="str">
        <f>IFERROR(INDEX(Personnel[Ogretmen],$K388),"")</f>
        <v>Ziazetdinov Arslan / Ziazetdinov Arslan</v>
      </c>
      <c r="F388" s="41" t="str">
        <f>IFERROR(INDEX(Personnel[[Sinav ]],$K388),"")</f>
        <v>30.06.2026 Sineva gitti gecemedi /07.07.2026 Sineva gitti gecdi</v>
      </c>
      <c r="G388" s="41" t="str">
        <f>IFERROR(INDEX(Personnel[Egtim durumu],$K388),"")</f>
        <v>Dil egitimi tamamlandi sinavdan gecti</v>
      </c>
      <c r="H388" s="41" t="str">
        <f>IFERROR(INDEX(Personnel[Shohruh Not],$K388),"")</f>
        <v>-</v>
      </c>
      <c r="I388" s="42">
        <f ca="1">IFERROR(INDEX(Personnel[Дней в РФ],$K388),"")</f>
        <v>68</v>
      </c>
      <c r="K388" s="23">
        <f t="array" ref="K388">IFERROR(_xlfn.AGGREGATE(15,6,(ROW(Personnel[Egtim durumu])-MIN(ROW(Personnel[Egtim durumu]))+1)/((Personnel[Egtim durumu]="Dil egitimi tamamlandi sinavdan gecti")),ROWS($K$7:K388)),"")</f>
        <v>471</v>
      </c>
    </row>
    <row r="389" spans="1:11" ht="38.25" x14ac:dyDescent="0.25">
      <c r="A389" s="18">
        <f>IFERROR(INDEX(Personnel[Sicil],$K389),"")</f>
        <v>644811</v>
      </c>
      <c r="B389" s="17" t="str">
        <f>IFERROR(INDEX(Personnel[Adi Soyadi],$K389),"")</f>
        <v>Темиров Солижон Сохибкулович</v>
      </c>
      <c r="C389" s="18" t="str">
        <f>IFERROR(INDEX(Personnel[Vatandaslik],$K389),"")</f>
        <v>УЗБЕКИСТАН</v>
      </c>
      <c r="D389" s="18" t="str">
        <f>IFERROR(INDEX(Personnel[Santiye],$K389),"")</f>
        <v>GPP Proje</v>
      </c>
      <c r="E389" s="18" t="str">
        <f>IFERROR(INDEX(Personnel[Ogretmen],$K389),"")</f>
        <v>Ziazetdinov Arslan / Ziazetdinov Arslan</v>
      </c>
      <c r="F389" s="17" t="str">
        <f>IFERROR(INDEX(Personnel[[Sinav ]],$K389),"")</f>
        <v>Ic testimizden gecemiyor(29.06.2026 egitime alindi) /07.07.2026 Sineva gitti gecdi</v>
      </c>
      <c r="G389" s="17" t="str">
        <f>IFERROR(INDEX(Personnel[Egtim durumu],$K389),"")</f>
        <v>Dil egitimi tamamlandi sinavdan gecti</v>
      </c>
      <c r="H389" s="17" t="str">
        <f>IFERROR(INDEX(Personnel[Shohruh Not],$K389),"")</f>
        <v>-</v>
      </c>
      <c r="I389" s="22">
        <f ca="1">IFERROR(INDEX(Personnel[Дней в РФ],$K389),"")</f>
        <v>68</v>
      </c>
      <c r="K389" s="23">
        <f t="array" ref="K389">IFERROR(_xlfn.AGGREGATE(15,6,(ROW(Personnel[Egtim durumu])-MIN(ROW(Personnel[Egtim durumu]))+1)/((Personnel[Egtim durumu]="Dil egitimi tamamlandi sinavdan gecti")),ROWS($K$7:K389)),"")</f>
        <v>472</v>
      </c>
    </row>
    <row r="390" spans="1:11" ht="38.25" x14ac:dyDescent="0.25">
      <c r="A390" s="40">
        <f>IFERROR(INDEX(Personnel[Sicil],$K390),"")</f>
        <v>644825</v>
      </c>
      <c r="B390" s="41" t="str">
        <f>IFERROR(INDEX(Personnel[Adi Soyadi],$K390),"")</f>
        <v>Тилавов Илхом Эшмурод Угли</v>
      </c>
      <c r="C390" s="40" t="str">
        <f>IFERROR(INDEX(Personnel[Vatandaslik],$K390),"")</f>
        <v>УЗБЕКИСТАН</v>
      </c>
      <c r="D390" s="40" t="str">
        <f>IFERROR(INDEX(Personnel[Santiye],$K390),"")</f>
        <v>GPP Proje</v>
      </c>
      <c r="E390" s="40" t="str">
        <f>IFERROR(INDEX(Personnel[Ogretmen],$K390),"")</f>
        <v>Ziazetdinov Arslan / Ziazetdinov Arslan</v>
      </c>
      <c r="F390" s="41" t="str">
        <f>IFERROR(INDEX(Personnel[[Sinav ]],$K390),"")</f>
        <v>Ic testimizden gecemiyor Tarih 23.06.2026 /01.07.2026 Sineva gitti gecdi</v>
      </c>
      <c r="G390" s="41" t="str">
        <f>IFERROR(INDEX(Personnel[Egtim durumu],$K390),"")</f>
        <v>Dil egitimi tamamlandi sinavdan gecti</v>
      </c>
      <c r="H390" s="41" t="str">
        <f>IFERROR(INDEX(Personnel[Shohruh Not],$K390),"")</f>
        <v xml:space="preserve">Tekrar egitime alinacak </v>
      </c>
      <c r="I390" s="42">
        <f ca="1">IFERROR(INDEX(Personnel[Дней в РФ],$K390),"")</f>
        <v>68</v>
      </c>
      <c r="K390" s="23">
        <f t="array" ref="K390">IFERROR(_xlfn.AGGREGATE(15,6,(ROW(Personnel[Egtim durumu])-MIN(ROW(Personnel[Egtim durumu]))+1)/((Personnel[Egtim durumu]="Dil egitimi tamamlandi sinavdan gecti")),ROWS($K$7:K390)),"")</f>
        <v>473</v>
      </c>
    </row>
    <row r="391" spans="1:11" ht="25.5" x14ac:dyDescent="0.25">
      <c r="A391" s="18">
        <f>IFERROR(INDEX(Personnel[Sicil],$K391),"")</f>
        <v>644818</v>
      </c>
      <c r="B391" s="17" t="str">
        <f>IFERROR(INDEX(Personnel[Adi Soyadi],$K391),"")</f>
        <v>Тошпулатов Бегижон Лутфилло Угли</v>
      </c>
      <c r="C391" s="18" t="str">
        <f>IFERROR(INDEX(Personnel[Vatandaslik],$K391),"")</f>
        <v>УЗБЕКИСТАН</v>
      </c>
      <c r="D391" s="18" t="str">
        <f>IFERROR(INDEX(Personnel[Santiye],$K391),"")</f>
        <v>GPP Proje</v>
      </c>
      <c r="E391" s="18" t="str">
        <f>IFERROR(INDEX(Personnel[Ogretmen],$K391),"")</f>
        <v>Ziazetdinov Arslan / Ziazetdinov Arslan</v>
      </c>
      <c r="F391" s="17" t="str">
        <f>IFERROR(INDEX(Personnel[[Sinav ]],$K391),"")</f>
        <v>30.06.2026 Sineva gitti gecemedi /07.07.2026 Sineva gitti gecdi</v>
      </c>
      <c r="G391" s="17" t="str">
        <f>IFERROR(INDEX(Personnel[Egtim durumu],$K391),"")</f>
        <v>Dil egitimi tamamlandi sinavdan gecti</v>
      </c>
      <c r="H391" s="17" t="str">
        <f>IFERROR(INDEX(Personnel[Shohruh Not],$K391),"")</f>
        <v>-</v>
      </c>
      <c r="I391" s="22">
        <f ca="1">IFERROR(INDEX(Personnel[Дней в РФ],$K391),"")</f>
        <v>67</v>
      </c>
      <c r="K391" s="23">
        <f t="array" ref="K391">IFERROR(_xlfn.AGGREGATE(15,6,(ROW(Personnel[Egtim durumu])-MIN(ROW(Personnel[Egtim durumu]))+1)/((Personnel[Egtim durumu]="Dil egitimi tamamlandi sinavdan gecti")),ROWS($K$7:K391)),"")</f>
        <v>474</v>
      </c>
    </row>
    <row r="392" spans="1:11" ht="25.5" x14ac:dyDescent="0.25">
      <c r="A392" s="40">
        <f>IFERROR(INDEX(Personnel[Sicil],$K392),"")</f>
        <v>644821</v>
      </c>
      <c r="B392" s="41" t="str">
        <f>IFERROR(INDEX(Personnel[Adi Soyadi],$K392),"")</f>
        <v>Тоштемиров Алпомиш Исомиддин Угли</v>
      </c>
      <c r="C392" s="40" t="str">
        <f>IFERROR(INDEX(Personnel[Vatandaslik],$K392),"")</f>
        <v>УЗБЕКИСТАН</v>
      </c>
      <c r="D392" s="40" t="str">
        <f>IFERROR(INDEX(Personnel[Santiye],$K392),"")</f>
        <v>GPP Proje</v>
      </c>
      <c r="E392" s="40" t="str">
        <f>IFERROR(INDEX(Personnel[Ogretmen],$K392),"")</f>
        <v xml:space="preserve">Ziazetdinov Arslan </v>
      </c>
      <c r="F392" s="41" t="str">
        <f>IFERROR(INDEX(Personnel[[Sinav ]],$K392),"")</f>
        <v>30.06.2026 Sineva gitti gecdi</v>
      </c>
      <c r="G392" s="41" t="str">
        <f>IFERROR(INDEX(Personnel[Egtim durumu],$K392),"")</f>
        <v>Dil egitimi tamamlandi sinavdan gecti</v>
      </c>
      <c r="H392" s="41" t="str">
        <f>IFERROR(INDEX(Personnel[Shohruh Not],$K392),"")</f>
        <v>-</v>
      </c>
      <c r="I392" s="42">
        <f ca="1">IFERROR(INDEX(Personnel[Дней в РФ],$K392),"")</f>
        <v>68</v>
      </c>
      <c r="K392" s="23">
        <f t="array" ref="K392">IFERROR(_xlfn.AGGREGATE(15,6,(ROW(Personnel[Egtim durumu])-MIN(ROW(Personnel[Egtim durumu]))+1)/((Personnel[Egtim durumu]="Dil egitimi tamamlandi sinavdan gecti")),ROWS($K$7:K392)),"")</f>
        <v>475</v>
      </c>
    </row>
    <row r="393" spans="1:11" x14ac:dyDescent="0.25">
      <c r="A393" s="18">
        <f>IFERROR(INDEX(Personnel[Sicil],$K393),"")</f>
        <v>644823</v>
      </c>
      <c r="B393" s="17" t="str">
        <f>IFERROR(INDEX(Personnel[Adi Soyadi],$K393),"")</f>
        <v>Турдиев Лазиз Чори Угли</v>
      </c>
      <c r="C393" s="18" t="str">
        <f>IFERROR(INDEX(Personnel[Vatandaslik],$K393),"")</f>
        <v>УЗБЕКИСТАН</v>
      </c>
      <c r="D393" s="18" t="str">
        <f>IFERROR(INDEX(Personnel[Santiye],$K393),"")</f>
        <v>GPP Proje</v>
      </c>
      <c r="E393" s="18" t="str">
        <f>IFERROR(INDEX(Personnel[Ogretmen],$K393),"")</f>
        <v xml:space="preserve">Ziazetdinov Arslan </v>
      </c>
      <c r="F393" s="17" t="str">
        <f>IFERROR(INDEX(Personnel[[Sinav ]],$K393),"")</f>
        <v>30.06.2026 Sineva gitti gecdi</v>
      </c>
      <c r="G393" s="17" t="str">
        <f>IFERROR(INDEX(Personnel[Egtim durumu],$K393),"")</f>
        <v>Dil egitimi tamamlandi sinavdan gecti</v>
      </c>
      <c r="H393" s="17" t="str">
        <f>IFERROR(INDEX(Personnel[Shohruh Not],$K393),"")</f>
        <v>-</v>
      </c>
      <c r="I393" s="22">
        <f ca="1">IFERROR(INDEX(Personnel[Дней в РФ],$K393),"")</f>
        <v>68</v>
      </c>
      <c r="K393" s="23">
        <f t="array" ref="K393">IFERROR(_xlfn.AGGREGATE(15,6,(ROW(Personnel[Egtim durumu])-MIN(ROW(Personnel[Egtim durumu]))+1)/((Personnel[Egtim durumu]="Dil egitimi tamamlandi sinavdan gecti")),ROWS($K$7:K393)),"")</f>
        <v>476</v>
      </c>
    </row>
    <row r="394" spans="1:11" x14ac:dyDescent="0.25">
      <c r="A394" s="40">
        <f>IFERROR(INDEX(Personnel[Sicil],$K394),"")</f>
        <v>578364</v>
      </c>
      <c r="B394" s="41" t="str">
        <f>IFERROR(INDEX(Personnel[Adi Soyadi],$K394),"")</f>
        <v>Уролов Достон Мусулман угли</v>
      </c>
      <c r="C394" s="40" t="str">
        <f>IFERROR(INDEX(Personnel[Vatandaslik],$K394),"")</f>
        <v>УЗБЕКИСТАН</v>
      </c>
      <c r="D394" s="40" t="str">
        <f>IFERROR(INDEX(Personnel[Santiye],$K394),"")</f>
        <v>GPP Proje</v>
      </c>
      <c r="E394" s="40" t="str">
        <f>IFERROR(INDEX(Personnel[Ogretmen],$K394),"")</f>
        <v xml:space="preserve">Ziazetdinov Arslan </v>
      </c>
      <c r="F394" s="41" t="str">
        <f>IFERROR(INDEX(Personnel[[Sinav ]],$K394),"")</f>
        <v>30.06.2026 Sineva gitti gecdi</v>
      </c>
      <c r="G394" s="41" t="str">
        <f>IFERROR(INDEX(Personnel[Egtim durumu],$K394),"")</f>
        <v>Dil egitimi tamamlandi sinavdan gecti</v>
      </c>
      <c r="H394" s="41" t="str">
        <f>IFERROR(INDEX(Personnel[Shohruh Not],$K394),"")</f>
        <v>-</v>
      </c>
      <c r="I394" s="42">
        <f ca="1">IFERROR(INDEX(Personnel[Дней в РФ],$K394),"")</f>
        <v>68</v>
      </c>
      <c r="K394" s="23">
        <f t="array" ref="K394">IFERROR(_xlfn.AGGREGATE(15,6,(ROW(Personnel[Egtim durumu])-MIN(ROW(Personnel[Egtim durumu]))+1)/((Personnel[Egtim durumu]="Dil egitimi tamamlandi sinavdan gecti")),ROWS($K$7:K394)),"")</f>
        <v>477</v>
      </c>
    </row>
    <row r="395" spans="1:11" x14ac:dyDescent="0.25">
      <c r="A395" s="18">
        <f>IFERROR(INDEX(Personnel[Sicil],$K395),"")</f>
        <v>644904</v>
      </c>
      <c r="B395" s="17" t="str">
        <f>IFERROR(INDEX(Personnel[Adi Soyadi],$K395),"")</f>
        <v>Акбаров Сардоржон Дилмурод Угли</v>
      </c>
      <c r="C395" s="18" t="str">
        <f>IFERROR(INDEX(Personnel[Vatandaslik],$K395),"")</f>
        <v>УЗБЕКИСТАН</v>
      </c>
      <c r="D395" s="18" t="str">
        <f>IFERROR(INDEX(Personnel[Santiye],$K395),"")</f>
        <v>GPP Proje</v>
      </c>
      <c r="E395" s="18" t="str">
        <f>IFERROR(INDEX(Personnel[Ogretmen],$K395),"")</f>
        <v xml:space="preserve">Ziazetdinov Arslan </v>
      </c>
      <c r="F395" s="17" t="str">
        <f>IFERROR(INDEX(Personnel[[Sinav ]],$K395),"")</f>
        <v>30.06.2026 Sineva gitti gecdi</v>
      </c>
      <c r="G395" s="17" t="str">
        <f>IFERROR(INDEX(Personnel[Egtim durumu],$K395),"")</f>
        <v>Dil egitimi tamamlandi sinavdan gecti</v>
      </c>
      <c r="H395" s="17" t="str">
        <f>IFERROR(INDEX(Personnel[Shohruh Not],$K395),"")</f>
        <v>-</v>
      </c>
      <c r="I395" s="22">
        <f ca="1">IFERROR(INDEX(Personnel[Дней в РФ],$K395),"")</f>
        <v>67</v>
      </c>
      <c r="K395" s="23">
        <f t="array" ref="K395">IFERROR(_xlfn.AGGREGATE(15,6,(ROW(Personnel[Egtim durumu])-MIN(ROW(Personnel[Egtim durumu]))+1)/((Personnel[Egtim durumu]="Dil egitimi tamamlandi sinavdan gecti")),ROWS($K$7:K395)),"")</f>
        <v>480</v>
      </c>
    </row>
    <row r="396" spans="1:11" x14ac:dyDescent="0.25">
      <c r="A396" s="40">
        <f>IFERROR(INDEX(Personnel[Sicil],$K396),"")</f>
        <v>644872</v>
      </c>
      <c r="B396" s="41" t="str">
        <f>IFERROR(INDEX(Personnel[Adi Soyadi],$K396),"")</f>
        <v>Акромов Акобир Акбар Угли</v>
      </c>
      <c r="C396" s="40" t="str">
        <f>IFERROR(INDEX(Personnel[Vatandaslik],$K396),"")</f>
        <v>УЗБЕКИСТАН</v>
      </c>
      <c r="D396" s="40" t="str">
        <f>IFERROR(INDEX(Personnel[Santiye],$K396),"")</f>
        <v>GPP Proje</v>
      </c>
      <c r="E396" s="40" t="str">
        <f>IFERROR(INDEX(Personnel[Ogretmen],$K396),"")</f>
        <v xml:space="preserve">Ziazetdinov Arslan </v>
      </c>
      <c r="F396" s="41" t="str">
        <f>IFERROR(INDEX(Personnel[[Sinav ]],$K396),"")</f>
        <v>30.06.2026 Sineva gitti gecdi</v>
      </c>
      <c r="G396" s="41" t="str">
        <f>IFERROR(INDEX(Personnel[Egtim durumu],$K396),"")</f>
        <v>Dil egitimi tamamlandi sinavdan gecti</v>
      </c>
      <c r="H396" s="41" t="str">
        <f>IFERROR(INDEX(Personnel[Shohruh Not],$K396),"")</f>
        <v>-</v>
      </c>
      <c r="I396" s="42">
        <f ca="1">IFERROR(INDEX(Personnel[Дней в РФ],$K396),"")</f>
        <v>68</v>
      </c>
      <c r="K396" s="23">
        <f t="array" ref="K396">IFERROR(_xlfn.AGGREGATE(15,6,(ROW(Personnel[Egtim durumu])-MIN(ROW(Personnel[Egtim durumu]))+1)/((Personnel[Egtim durumu]="Dil egitimi tamamlandi sinavdan gecti")),ROWS($K$7:K396)),"")</f>
        <v>481</v>
      </c>
    </row>
    <row r="397" spans="1:11" ht="25.5" x14ac:dyDescent="0.25">
      <c r="A397" s="18">
        <f>IFERROR(INDEX(Personnel[Sicil],$K397),"")</f>
        <v>644879</v>
      </c>
      <c r="B397" s="17" t="str">
        <f>IFERROR(INDEX(Personnel[Adi Soyadi],$K397),"")</f>
        <v>Алиакбаров Хожимухаммад Хусанбой Угли</v>
      </c>
      <c r="C397" s="18" t="str">
        <f>IFERROR(INDEX(Personnel[Vatandaslik],$K397),"")</f>
        <v>УЗБЕКИСТАН</v>
      </c>
      <c r="D397" s="18" t="str">
        <f>IFERROR(INDEX(Personnel[Santiye],$K397),"")</f>
        <v>GPP Proje</v>
      </c>
      <c r="E397" s="18" t="str">
        <f>IFERROR(INDEX(Personnel[Ogretmen],$K397),"")</f>
        <v xml:space="preserve">Ziazetdinov Arslan </v>
      </c>
      <c r="F397" s="17" t="str">
        <f>IFERROR(INDEX(Personnel[[Sinav ]],$K397),"")</f>
        <v>30.06.2026 Sineva gitti gecdi</v>
      </c>
      <c r="G397" s="17" t="str">
        <f>IFERROR(INDEX(Personnel[Egtim durumu],$K397),"")</f>
        <v>Dil egitimi tamamlandi sinavdan gecti</v>
      </c>
      <c r="H397" s="17" t="str">
        <f>IFERROR(INDEX(Personnel[Shohruh Not],$K397),"")</f>
        <v>-</v>
      </c>
      <c r="I397" s="22">
        <f ca="1">IFERROR(INDEX(Personnel[Дней в РФ],$K397),"")</f>
        <v>67</v>
      </c>
      <c r="K397" s="23">
        <f t="array" ref="K397">IFERROR(_xlfn.AGGREGATE(15,6,(ROW(Personnel[Egtim durumu])-MIN(ROW(Personnel[Egtim durumu]))+1)/((Personnel[Egtim durumu]="Dil egitimi tamamlandi sinavdan gecti")),ROWS($K$7:K397)),"")</f>
        <v>482</v>
      </c>
    </row>
    <row r="398" spans="1:11" x14ac:dyDescent="0.25">
      <c r="A398" s="40">
        <f>IFERROR(INDEX(Personnel[Sicil],$K398),"")</f>
        <v>645118</v>
      </c>
      <c r="B398" s="41" t="str">
        <f>IFERROR(INDEX(Personnel[Adi Soyadi],$K398),"")</f>
        <v>Алиев Алван Али Оглы</v>
      </c>
      <c r="C398" s="40" t="str">
        <f>IFERROR(INDEX(Personnel[Vatandaslik],$K398),"")</f>
        <v>АЗЕРБАЙДЖАН</v>
      </c>
      <c r="D398" s="40" t="str">
        <f>IFERROR(INDEX(Personnel[Santiye],$K398),"")</f>
        <v>GPP Proje</v>
      </c>
      <c r="E398" s="40" t="str">
        <f>IFERROR(INDEX(Personnel[Ogretmen],$K398),"")</f>
        <v xml:space="preserve">Ziazetdinov Arslan </v>
      </c>
      <c r="F398" s="41" t="str">
        <f>IFERROR(INDEX(Personnel[[Sinav ]],$K398),"")</f>
        <v>01.07.2026 Sineva gitti gecdi</v>
      </c>
      <c r="G398" s="41" t="str">
        <f>IFERROR(INDEX(Personnel[Egtim durumu],$K398),"")</f>
        <v>Dil egitimi tamamlandi sinavdan gecti</v>
      </c>
      <c r="H398" s="41" t="str">
        <f>IFERROR(INDEX(Personnel[Shohruh Not],$K398),"")</f>
        <v>-</v>
      </c>
      <c r="I398" s="42">
        <f ca="1">IFERROR(INDEX(Personnel[Дней в РФ],$K398),"")</f>
        <v>66</v>
      </c>
      <c r="K398" s="23">
        <f t="array" ref="K398">IFERROR(_xlfn.AGGREGATE(15,6,(ROW(Personnel[Egtim durumu])-MIN(ROW(Personnel[Egtim durumu]))+1)/((Personnel[Egtim durumu]="Dil egitimi tamamlandi sinavdan gecti")),ROWS($K$7:K398)),"")</f>
        <v>483</v>
      </c>
    </row>
    <row r="399" spans="1:11" x14ac:dyDescent="0.25">
      <c r="A399" s="18">
        <f>IFERROR(INDEX(Personnel[Sicil],$K399),"")</f>
        <v>645121</v>
      </c>
      <c r="B399" s="17" t="str">
        <f>IFERROR(INDEX(Personnel[Adi Soyadi],$K399),"")</f>
        <v>Буруманд Камран Хосров Оглы</v>
      </c>
      <c r="C399" s="18" t="str">
        <f>IFERROR(INDEX(Personnel[Vatandaslik],$K399),"")</f>
        <v>АЗЕРБАЙДЖАН</v>
      </c>
      <c r="D399" s="18" t="str">
        <f>IFERROR(INDEX(Personnel[Santiye],$K399),"")</f>
        <v>GPP Proje</v>
      </c>
      <c r="E399" s="18" t="str">
        <f>IFERROR(INDEX(Personnel[Ogretmen],$K399),"")</f>
        <v xml:space="preserve">Ziazetdinov Arslan </v>
      </c>
      <c r="F399" s="17" t="str">
        <f>IFERROR(INDEX(Personnel[[Sinav ]],$K399),"")</f>
        <v>30.06.2026 Sineva gitti gecdi</v>
      </c>
      <c r="G399" s="17" t="str">
        <f>IFERROR(INDEX(Personnel[Egtim durumu],$K399),"")</f>
        <v>Dil egitimi tamamlandi sinavdan gecti</v>
      </c>
      <c r="H399" s="17" t="str">
        <f>IFERROR(INDEX(Personnel[Shohruh Not],$K399),"")</f>
        <v>-</v>
      </c>
      <c r="I399" s="22">
        <f ca="1">IFERROR(INDEX(Personnel[Дней в РФ],$K399),"")</f>
        <v>67</v>
      </c>
      <c r="K399" s="23">
        <f t="array" ref="K399">IFERROR(_xlfn.AGGREGATE(15,6,(ROW(Personnel[Egtim durumu])-MIN(ROW(Personnel[Egtim durumu]))+1)/((Personnel[Egtim durumu]="Dil egitimi tamamlandi sinavdan gecti")),ROWS($K$7:K399)),"")</f>
        <v>484</v>
      </c>
    </row>
    <row r="400" spans="1:11" x14ac:dyDescent="0.25">
      <c r="A400" s="40">
        <f>IFERROR(INDEX(Personnel[Sicil],$K400),"")</f>
        <v>468469</v>
      </c>
      <c r="B400" s="41" t="str">
        <f>IFERROR(INDEX(Personnel[Adi Soyadi],$K400),"")</f>
        <v>Эшболтаев Рустам Хурсон угли</v>
      </c>
      <c r="C400" s="40" t="str">
        <f>IFERROR(INDEX(Personnel[Vatandaslik],$K400),"")</f>
        <v>УЗБЕКИСТАН</v>
      </c>
      <c r="D400" s="40" t="str">
        <f>IFERROR(INDEX(Personnel[Santiye],$K400),"")</f>
        <v>GPP Proje</v>
      </c>
      <c r="E400" s="40" t="str">
        <f>IFERROR(INDEX(Personnel[Ogretmen],$K400),"")</f>
        <v xml:space="preserve">Ziazetdinov Arslan </v>
      </c>
      <c r="F400" s="41" t="str">
        <f>IFERROR(INDEX(Personnel[[Sinav ]],$K400),"")</f>
        <v>01.07.2026 Sineva gitti gecdi</v>
      </c>
      <c r="G400" s="41" t="str">
        <f>IFERROR(INDEX(Personnel[Egtim durumu],$K400),"")</f>
        <v>Dil egitimi tamamlandi sinavdan gecti</v>
      </c>
      <c r="H400" s="41" t="str">
        <f>IFERROR(INDEX(Personnel[Shohruh Not],$K400),"")</f>
        <v>-</v>
      </c>
      <c r="I400" s="42">
        <f ca="1">IFERROR(INDEX(Personnel[Дней в РФ],$K400),"")</f>
        <v>65</v>
      </c>
      <c r="K400" s="23">
        <f t="array" ref="K400">IFERROR(_xlfn.AGGREGATE(15,6,(ROW(Personnel[Egtim durumu])-MIN(ROW(Personnel[Egtim durumu]))+1)/((Personnel[Egtim durumu]="Dil egitimi tamamlandi sinavdan gecti")),ROWS($K$7:K400)),"")</f>
        <v>485</v>
      </c>
    </row>
    <row r="401" spans="1:11" ht="25.5" x14ac:dyDescent="0.25">
      <c r="A401" s="18">
        <f>IFERROR(INDEX(Personnel[Sicil],$K401),"")</f>
        <v>645225</v>
      </c>
      <c r="B401" s="17" t="str">
        <f>IFERROR(INDEX(Personnel[Adi Soyadi],$K401),"")</f>
        <v>Исабеков Санжар Чориёр Угли</v>
      </c>
      <c r="C401" s="18" t="str">
        <f>IFERROR(INDEX(Personnel[Vatandaslik],$K401),"")</f>
        <v>УЗБЕКИСТАН</v>
      </c>
      <c r="D401" s="18" t="str">
        <f>IFERROR(INDEX(Personnel[Santiye],$K401),"")</f>
        <v>GPP Proje</v>
      </c>
      <c r="E401" s="18" t="str">
        <f>IFERROR(INDEX(Personnel[Ogretmen],$K401),"")</f>
        <v>Ziazetdinov Arslan / Ziazetdinov Arslan</v>
      </c>
      <c r="F401" s="17" t="str">
        <f>IFERROR(INDEX(Personnel[[Sinav ]],$K401),"")</f>
        <v>01.07.2026 Sineva gitti gecemedi /07.07.2026 Sineva gitti gecdi</v>
      </c>
      <c r="G401" s="17" t="str">
        <f>IFERROR(INDEX(Personnel[Egtim durumu],$K401),"")</f>
        <v>Dil egitimi tamamlandi sinavdan gecti</v>
      </c>
      <c r="H401" s="17" t="str">
        <f>IFERROR(INDEX(Personnel[Shohruh Not],$K401),"")</f>
        <v>-</v>
      </c>
      <c r="I401" s="22">
        <f ca="1">IFERROR(INDEX(Personnel[Дней в РФ],$K401),"")</f>
        <v>65</v>
      </c>
      <c r="K401" s="23">
        <f t="array" ref="K401">IFERROR(_xlfn.AGGREGATE(15,6,(ROW(Personnel[Egtim durumu])-MIN(ROW(Personnel[Egtim durumu]))+1)/((Personnel[Egtim durumu]="Dil egitimi tamamlandi sinavdan gecti")),ROWS($K$7:K401)),"")</f>
        <v>486</v>
      </c>
    </row>
    <row r="402" spans="1:11" ht="25.5" x14ac:dyDescent="0.25">
      <c r="A402" s="40">
        <f>IFERROR(INDEX(Personnel[Sicil],$K402),"")</f>
        <v>626719</v>
      </c>
      <c r="B402" s="41" t="str">
        <f>IFERROR(INDEX(Personnel[Adi Soyadi],$K402),"")</f>
        <v>Хужамбердиев Бахтибек Абдумумин Угли</v>
      </c>
      <c r="C402" s="40" t="str">
        <f>IFERROR(INDEX(Personnel[Vatandaslik],$K402),"")</f>
        <v>УЗБЕКИСТАН</v>
      </c>
      <c r="D402" s="40" t="str">
        <f>IFERROR(INDEX(Personnel[Santiye],$K402),"")</f>
        <v>GPP Proje</v>
      </c>
      <c r="E402" s="40" t="str">
        <f>IFERROR(INDEX(Personnel[Ogretmen],$K402),"")</f>
        <v xml:space="preserve">Ziazetdinov Arslan </v>
      </c>
      <c r="F402" s="41" t="str">
        <f>IFERROR(INDEX(Personnel[[Sinav ]],$K402),"")</f>
        <v>01.07.2026 Sineva gitti gecdi</v>
      </c>
      <c r="G402" s="41" t="str">
        <f>IFERROR(INDEX(Personnel[Egtim durumu],$K402),"")</f>
        <v>Dil egitimi tamamlandi sinavdan gecti</v>
      </c>
      <c r="H402" s="41" t="str">
        <f>IFERROR(INDEX(Personnel[Shohruh Not],$K402),"")</f>
        <v>-</v>
      </c>
      <c r="I402" s="42">
        <f ca="1">IFERROR(INDEX(Personnel[Дней в РФ],$K402),"")</f>
        <v>65</v>
      </c>
      <c r="K402" s="23">
        <f t="array" ref="K402">IFERROR(_xlfn.AGGREGATE(15,6,(ROW(Personnel[Egtim durumu])-MIN(ROW(Personnel[Egtim durumu]))+1)/((Personnel[Egtim durumu]="Dil egitimi tamamlandi sinavdan gecti")),ROWS($K$7:K402)),"")</f>
        <v>487</v>
      </c>
    </row>
    <row r="403" spans="1:11" x14ac:dyDescent="0.25">
      <c r="A403" s="18">
        <f>IFERROR(INDEX(Personnel[Sicil],$K403),"")</f>
        <v>645224</v>
      </c>
      <c r="B403" s="17" t="str">
        <f>IFERROR(INDEX(Personnel[Adi Soyadi],$K403),"")</f>
        <v xml:space="preserve">Негматов Нурбек Нурмат Угли </v>
      </c>
      <c r="C403" s="18" t="str">
        <f>IFERROR(INDEX(Personnel[Vatandaslik],$K403),"")</f>
        <v>УЗБЕКИСТАН</v>
      </c>
      <c r="D403" s="18" t="str">
        <f>IFERROR(INDEX(Personnel[Santiye],$K403),"")</f>
        <v>GPP Proje</v>
      </c>
      <c r="E403" s="18" t="str">
        <f>IFERROR(INDEX(Personnel[Ogretmen],$K403),"")</f>
        <v xml:space="preserve">Ziazetdinov Arslan </v>
      </c>
      <c r="F403" s="17" t="str">
        <f>IFERROR(INDEX(Personnel[[Sinav ]],$K403),"")</f>
        <v>01.07.2026 Sineva gitti gecdi</v>
      </c>
      <c r="G403" s="17" t="str">
        <f>IFERROR(INDEX(Personnel[Egtim durumu],$K403),"")</f>
        <v>Dil egitimi tamamlandi sinavdan gecti</v>
      </c>
      <c r="H403" s="17" t="str">
        <f>IFERROR(INDEX(Personnel[Shohruh Not],$K403),"")</f>
        <v>-</v>
      </c>
      <c r="I403" s="22">
        <f ca="1">IFERROR(INDEX(Personnel[Дней в РФ],$K403),"")</f>
        <v>65</v>
      </c>
      <c r="K403" s="23">
        <f t="array" ref="K403">IFERROR(_xlfn.AGGREGATE(15,6,(ROW(Personnel[Egtim durumu])-MIN(ROW(Personnel[Egtim durumu]))+1)/((Personnel[Egtim durumu]="Dil egitimi tamamlandi sinavdan gecti")),ROWS($K$7:K403)),"")</f>
        <v>489</v>
      </c>
    </row>
    <row r="404" spans="1:11" x14ac:dyDescent="0.25">
      <c r="A404" s="40">
        <f>IFERROR(INDEX(Personnel[Sicil],$K404),"")</f>
        <v>577752</v>
      </c>
      <c r="B404" s="41" t="str">
        <f>IFERROR(INDEX(Personnel[Adi Soyadi],$K404),"")</f>
        <v>Ражаббаев Улугбек Умидбек угли</v>
      </c>
      <c r="C404" s="40" t="str">
        <f>IFERROR(INDEX(Personnel[Vatandaslik],$K404),"")</f>
        <v>УЗБЕКИСТАН</v>
      </c>
      <c r="D404" s="40" t="str">
        <f>IFERROR(INDEX(Personnel[Santiye],$K404),"")</f>
        <v>GPP Proje</v>
      </c>
      <c r="E404" s="40" t="str">
        <f>IFERROR(INDEX(Personnel[Ogretmen],$K404),"")</f>
        <v>-</v>
      </c>
      <c r="F404" s="41" t="str">
        <f>IFERROR(INDEX(Personnel[[Sinav ]],$K404),"")</f>
        <v>30.06.2026 Sineva gitti gecdi</v>
      </c>
      <c r="G404" s="41" t="str">
        <f>IFERROR(INDEX(Personnel[Egtim durumu],$K404),"")</f>
        <v>Dil egitimi tamamlandi sinavdan gecti</v>
      </c>
      <c r="H404" s="41" t="str">
        <f>IFERROR(INDEX(Personnel[Shohruh Not],$K404),"")</f>
        <v>-</v>
      </c>
      <c r="I404" s="42">
        <f ca="1">IFERROR(INDEX(Personnel[Дней в РФ],$K404),"")</f>
        <v>64</v>
      </c>
      <c r="K404" s="23">
        <f t="array" ref="K404">IFERROR(_xlfn.AGGREGATE(15,6,(ROW(Personnel[Egtim durumu])-MIN(ROW(Personnel[Egtim durumu]))+1)/((Personnel[Egtim durumu]="Dil egitimi tamamlandi sinavdan gecti")),ROWS($K$7:K404)),"")</f>
        <v>490</v>
      </c>
    </row>
    <row r="405" spans="1:11" x14ac:dyDescent="0.25">
      <c r="A405" s="18">
        <f>IFERROR(INDEX(Personnel[Sicil],$K405),"")</f>
        <v>645123</v>
      </c>
      <c r="B405" s="17" t="str">
        <f>IFERROR(INDEX(Personnel[Adi Soyadi],$K405),"")</f>
        <v>Шарипов Рамазон Абдурахимович</v>
      </c>
      <c r="C405" s="18" t="str">
        <f>IFERROR(INDEX(Personnel[Vatandaslik],$K405),"")</f>
        <v>ТАДЖИКИСТАН</v>
      </c>
      <c r="D405" s="18" t="str">
        <f>IFERROR(INDEX(Personnel[Santiye],$K405),"")</f>
        <v>GPP Proje</v>
      </c>
      <c r="E405" s="18" t="str">
        <f>IFERROR(INDEX(Personnel[Ogretmen],$K405),"")</f>
        <v xml:space="preserve">Ziazetdinov Arslan </v>
      </c>
      <c r="F405" s="17" t="str">
        <f>IFERROR(INDEX(Personnel[[Sinav ]],$K405),"")</f>
        <v>01.07.2026 Sineva gitti gecdi</v>
      </c>
      <c r="G405" s="17" t="str">
        <f>IFERROR(INDEX(Personnel[Egtim durumu],$K405),"")</f>
        <v>Dil egitimi tamamlandi sinavdan gecti</v>
      </c>
      <c r="H405" s="17" t="str">
        <f>IFERROR(INDEX(Personnel[Shohruh Not],$K405),"")</f>
        <v>-</v>
      </c>
      <c r="I405" s="22">
        <f ca="1">IFERROR(INDEX(Personnel[Дней в РФ],$K405),"")</f>
        <v>66</v>
      </c>
      <c r="K405" s="23">
        <f t="array" ref="K405">IFERROR(_xlfn.AGGREGATE(15,6,(ROW(Personnel[Egtim durumu])-MIN(ROW(Personnel[Egtim durumu]))+1)/((Personnel[Egtim durumu]="Dil egitimi tamamlandi sinavdan gecti")),ROWS($K$7:K405)),"")</f>
        <v>491</v>
      </c>
    </row>
    <row r="406" spans="1:11" x14ac:dyDescent="0.25">
      <c r="A406" s="40">
        <f>IFERROR(INDEX(Personnel[Sicil],$K406),"")</f>
        <v>586831</v>
      </c>
      <c r="B406" s="41" t="str">
        <f>IFERROR(INDEX(Personnel[Adi Soyadi],$K406),"")</f>
        <v>Собиров Аббосжон Шавкатович</v>
      </c>
      <c r="C406" s="40" t="str">
        <f>IFERROR(INDEX(Personnel[Vatandaslik],$K406),"")</f>
        <v>УЗБЕКИСТАН</v>
      </c>
      <c r="D406" s="40" t="str">
        <f>IFERROR(INDEX(Personnel[Santiye],$K406),"")</f>
        <v>GPP Proje</v>
      </c>
      <c r="E406" s="40" t="str">
        <f>IFERROR(INDEX(Personnel[Ogretmen],$K406),"")</f>
        <v xml:space="preserve">Ziazetdinov Arslan </v>
      </c>
      <c r="F406" s="41" t="str">
        <f>IFERROR(INDEX(Personnel[[Sinav ]],$K406),"")</f>
        <v>30.06.2026 Sineva gitti gecdi</v>
      </c>
      <c r="G406" s="41" t="str">
        <f>IFERROR(INDEX(Personnel[Egtim durumu],$K406),"")</f>
        <v>Dil egitimi tamamlandi sinavdan gecti</v>
      </c>
      <c r="H406" s="41" t="str">
        <f>IFERROR(INDEX(Personnel[Shohruh Not],$K406),"")</f>
        <v>-</v>
      </c>
      <c r="I406" s="42">
        <f ca="1">IFERROR(INDEX(Personnel[Дней в РФ],$K406),"")</f>
        <v>67</v>
      </c>
      <c r="K406" s="23">
        <f t="array" ref="K406">IFERROR(_xlfn.AGGREGATE(15,6,(ROW(Personnel[Egtim durumu])-MIN(ROW(Personnel[Egtim durumu]))+1)/((Personnel[Egtim durumu]="Dil egitimi tamamlandi sinavdan gecti")),ROWS($K$7:K406)),"")</f>
        <v>492</v>
      </c>
    </row>
    <row r="407" spans="1:11" x14ac:dyDescent="0.25">
      <c r="A407" s="18">
        <f>IFERROR(INDEX(Personnel[Sicil],$K407),"")</f>
        <v>645112</v>
      </c>
      <c r="B407" s="17" t="str">
        <f>IFERROR(INDEX(Personnel[Adi Soyadi],$K407),"")</f>
        <v>Узаков Чимберди Нуманович</v>
      </c>
      <c r="C407" s="18" t="str">
        <f>IFERROR(INDEX(Personnel[Vatandaslik],$K407),"")</f>
        <v>УЗБЕКИСТАН</v>
      </c>
      <c r="D407" s="18" t="str">
        <f>IFERROR(INDEX(Personnel[Santiye],$K407),"")</f>
        <v>GPP Proje</v>
      </c>
      <c r="E407" s="18" t="str">
        <f>IFERROR(INDEX(Personnel[Ogretmen],$K407),"")</f>
        <v xml:space="preserve">Ziazetdinov Arslan </v>
      </c>
      <c r="F407" s="17" t="str">
        <f>IFERROR(INDEX(Personnel[[Sinav ]],$K407),"")</f>
        <v>01.07.2026 Sineva gitti gecdi</v>
      </c>
      <c r="G407" s="17" t="str">
        <f>IFERROR(INDEX(Personnel[Egtim durumu],$K407),"")</f>
        <v>Dil egitimi tamamlandi sinavdan gecti</v>
      </c>
      <c r="H407" s="17" t="str">
        <f>IFERROR(INDEX(Personnel[Shohruh Not],$K407),"")</f>
        <v>-</v>
      </c>
      <c r="I407" s="22">
        <f ca="1">IFERROR(INDEX(Personnel[Дней в РФ],$K407),"")</f>
        <v>66</v>
      </c>
      <c r="K407" s="23">
        <f t="array" ref="K407">IFERROR(_xlfn.AGGREGATE(15,6,(ROW(Personnel[Egtim durumu])-MIN(ROW(Personnel[Egtim durumu]))+1)/((Personnel[Egtim durumu]="Dil egitimi tamamlandi sinavdan gecti")),ROWS($K$7:K407)),"")</f>
        <v>493</v>
      </c>
    </row>
    <row r="408" spans="1:11" ht="25.5" x14ac:dyDescent="0.25">
      <c r="A408" s="40">
        <f>IFERROR(INDEX(Personnel[Sicil],$K408),"")</f>
        <v>645221</v>
      </c>
      <c r="B408" s="41" t="str">
        <f>IFERROR(INDEX(Personnel[Adi Soyadi],$K408),"")</f>
        <v xml:space="preserve">Зиядуллаев Мухиддин Мансурхон Угли </v>
      </c>
      <c r="C408" s="40" t="str">
        <f>IFERROR(INDEX(Personnel[Vatandaslik],$K408),"")</f>
        <v>УЗБЕКИСТАН</v>
      </c>
      <c r="D408" s="40" t="str">
        <f>IFERROR(INDEX(Personnel[Santiye],$K408),"")</f>
        <v>GPP Proje</v>
      </c>
      <c r="E408" s="40" t="str">
        <f>IFERROR(INDEX(Personnel[Ogretmen],$K408),"")</f>
        <v xml:space="preserve">Ziazetdinov Arslan </v>
      </c>
      <c r="F408" s="41" t="str">
        <f>IFERROR(INDEX(Personnel[[Sinav ]],$K408),"")</f>
        <v>01.07.2026 Sineva gitti gecdi</v>
      </c>
      <c r="G408" s="41" t="str">
        <f>IFERROR(INDEX(Personnel[Egtim durumu],$K408),"")</f>
        <v>Dil egitimi tamamlandi sinavdan gecti</v>
      </c>
      <c r="H408" s="41" t="str">
        <f>IFERROR(INDEX(Personnel[Shohruh Not],$K408),"")</f>
        <v>-</v>
      </c>
      <c r="I408" s="42">
        <f ca="1">IFERROR(INDEX(Personnel[Дней в РФ],$K408),"")</f>
        <v>65</v>
      </c>
      <c r="K408" s="23">
        <f t="array" ref="K408">IFERROR(_xlfn.AGGREGATE(15,6,(ROW(Personnel[Egtim durumu])-MIN(ROW(Personnel[Egtim durumu]))+1)/((Personnel[Egtim durumu]="Dil egitimi tamamlandi sinavdan gecti")),ROWS($K$7:K408)),"")</f>
        <v>494</v>
      </c>
    </row>
    <row r="409" spans="1:11" ht="25.5" x14ac:dyDescent="0.25">
      <c r="A409" s="18">
        <f>IFERROR(INDEX(Personnel[Sicil],$K409),"")</f>
        <v>645256</v>
      </c>
      <c r="B409" s="17" t="str">
        <f>IFERROR(INDEX(Personnel[Adi Soyadi],$K409),"")</f>
        <v>Рузиев Ботир Абдурахмонович</v>
      </c>
      <c r="C409" s="18" t="str">
        <f>IFERROR(INDEX(Personnel[Vatandaslik],$K409),"")</f>
        <v>УЗБЕКИСТАН</v>
      </c>
      <c r="D409" s="18" t="str">
        <f>IFERROR(INDEX(Personnel[Santiye],$K409),"")</f>
        <v>GPP Proje</v>
      </c>
      <c r="E409" s="18" t="str">
        <f>IFERROR(INDEX(Personnel[Ogretmen],$K409),"")</f>
        <v>Ziazetdinov Arslan / Ziazetdinov Arslan</v>
      </c>
      <c r="F409" s="17" t="str">
        <f>IFERROR(INDEX(Personnel[[Sinav ]],$K409),"")</f>
        <v>30.06.2026 Sineva gitti gecemedi /07.07.2026 Sineva gitti gecdi</v>
      </c>
      <c r="G409" s="17" t="str">
        <f>IFERROR(INDEX(Personnel[Egtim durumu],$K409),"")</f>
        <v>Dil egitimi tamamlandi sinavdan gecti</v>
      </c>
      <c r="H409" s="17" t="str">
        <f>IFERROR(INDEX(Personnel[Shohruh Not],$K409),"")</f>
        <v>-</v>
      </c>
      <c r="I409" s="22">
        <f ca="1">IFERROR(INDEX(Personnel[Дней в РФ],$K409),"")</f>
        <v>63</v>
      </c>
      <c r="K409" s="23">
        <f t="array" ref="K409">IFERROR(_xlfn.AGGREGATE(15,6,(ROW(Personnel[Egtim durumu])-MIN(ROW(Personnel[Egtim durumu]))+1)/((Personnel[Egtim durumu]="Dil egitimi tamamlandi sinavdan gecti")),ROWS($K$7:K409)),"")</f>
        <v>495</v>
      </c>
    </row>
    <row r="410" spans="1:11" x14ac:dyDescent="0.25">
      <c r="A410" s="40">
        <f>IFERROR(INDEX(Personnel[Sicil],$K410),"")</f>
        <v>607008</v>
      </c>
      <c r="B410" s="41" t="str">
        <f>IFERROR(INDEX(Personnel[Adi Soyadi],$K410),"")</f>
        <v>Гуломов Курбонали Икромович</v>
      </c>
      <c r="C410" s="40" t="str">
        <f>IFERROR(INDEX(Personnel[Vatandaslik],$K410),"")</f>
        <v>УЗБЕКИСТАН</v>
      </c>
      <c r="D410" s="40" t="str">
        <f>IFERROR(INDEX(Personnel[Santiye],$K410),"")</f>
        <v>GPP Proje</v>
      </c>
      <c r="E410" s="40" t="str">
        <f>IFERROR(INDEX(Personnel[Ogretmen],$K410),"")</f>
        <v>-</v>
      </c>
      <c r="F410" s="41" t="str">
        <f>IFERROR(INDEX(Personnel[[Sinav ]],$K410),"")</f>
        <v>30.06.2026 Sineva gitti gecdi</v>
      </c>
      <c r="G410" s="41" t="str">
        <f>IFERROR(INDEX(Personnel[Egtim durumu],$K410),"")</f>
        <v>Dil egitimi tamamlandi sinavdan gecti</v>
      </c>
      <c r="H410" s="41" t="str">
        <f>IFERROR(INDEX(Personnel[Shohruh Not],$K410),"")</f>
        <v>-</v>
      </c>
      <c r="I410" s="42">
        <f ca="1">IFERROR(INDEX(Personnel[Дней в РФ],$K410),"")</f>
        <v>408</v>
      </c>
      <c r="K410" s="23">
        <f t="array" ref="K410">IFERROR(_xlfn.AGGREGATE(15,6,(ROW(Personnel[Egtim durumu])-MIN(ROW(Personnel[Egtim durumu]))+1)/((Personnel[Egtim durumu]="Dil egitimi tamamlandi sinavdan gecti")),ROWS($K$7:K410)),"")</f>
        <v>496</v>
      </c>
    </row>
    <row r="411" spans="1:11" x14ac:dyDescent="0.25">
      <c r="A411" s="18">
        <f>IFERROR(INDEX(Personnel[Sicil],$K411),"")</f>
        <v>637607</v>
      </c>
      <c r="B411" s="17" t="str">
        <f>IFERROR(INDEX(Personnel[Adi Soyadi],$K411),"")</f>
        <v>Мазарипов Асаджон Сафарали Угли</v>
      </c>
      <c r="C411" s="18" t="str">
        <f>IFERROR(INDEX(Personnel[Vatandaslik],$K411),"")</f>
        <v>УЗБЕКИСТАН</v>
      </c>
      <c r="D411" s="18" t="str">
        <f>IFERROR(INDEX(Personnel[Santiye],$K411),"")</f>
        <v>GPP Proje</v>
      </c>
      <c r="E411" s="18" t="str">
        <f>IFERROR(INDEX(Personnel[Ogretmen],$K411),"")</f>
        <v xml:space="preserve">Ziazetdinov Arslan </v>
      </c>
      <c r="F411" s="17" t="str">
        <f>IFERROR(INDEX(Personnel[[Sinav ]],$K411),"")</f>
        <v>01.07.2026 Sineva gitti gecdi</v>
      </c>
      <c r="G411" s="17" t="str">
        <f>IFERROR(INDEX(Personnel[Egtim durumu],$K411),"")</f>
        <v>Dil egitimi tamamlandi sinavdan gecti</v>
      </c>
      <c r="H411" s="17" t="str">
        <f>IFERROR(INDEX(Personnel[Shohruh Not],$K411),"")</f>
        <v>-</v>
      </c>
      <c r="I411" s="22">
        <f ca="1">IFERROR(INDEX(Personnel[Дней в РФ],$K411),"")</f>
        <v>407</v>
      </c>
      <c r="K411" s="23">
        <f t="array" ref="K411">IFERROR(_xlfn.AGGREGATE(15,6,(ROW(Personnel[Egtim durumu])-MIN(ROW(Personnel[Egtim durumu]))+1)/((Personnel[Egtim durumu]="Dil egitimi tamamlandi sinavdan gecti")),ROWS($K$7:K411)),"")</f>
        <v>497</v>
      </c>
    </row>
    <row r="412" spans="1:11" x14ac:dyDescent="0.25">
      <c r="A412" s="40">
        <f>IFERROR(INDEX(Personnel[Sicil],$K412),"")</f>
        <v>457463</v>
      </c>
      <c r="B412" s="41" t="str">
        <f>IFERROR(INDEX(Personnel[Adi Soyadi],$K412),"")</f>
        <v>Назаров Джумабег Рахимович</v>
      </c>
      <c r="C412" s="40" t="str">
        <f>IFERROR(INDEX(Personnel[Vatandaslik],$K412),"")</f>
        <v>ТАДЖИКИСТАН</v>
      </c>
      <c r="D412" s="40" t="str">
        <f>IFERROR(INDEX(Personnel[Santiye],$K412),"")</f>
        <v>GPP Proje</v>
      </c>
      <c r="E412" s="40" t="str">
        <f>IFERROR(INDEX(Personnel[Ogretmen],$K412),"")</f>
        <v xml:space="preserve">Ziazetdinov Arslan </v>
      </c>
      <c r="F412" s="41" t="str">
        <f>IFERROR(INDEX(Personnel[[Sinav ]],$K412),"")</f>
        <v>01.07.2026 Sineva gitti gecdi</v>
      </c>
      <c r="G412" s="41" t="str">
        <f>IFERROR(INDEX(Personnel[Egtim durumu],$K412),"")</f>
        <v>Dil egitimi tamamlandi sinavdan gecti</v>
      </c>
      <c r="H412" s="41" t="str">
        <f>IFERROR(INDEX(Personnel[Shohruh Not],$K412),"")</f>
        <v>-</v>
      </c>
      <c r="I412" s="42">
        <f ca="1">IFERROR(INDEX(Personnel[Дней в РФ],$K412),"")</f>
        <v>292</v>
      </c>
      <c r="K412" s="23">
        <f t="array" ref="K412">IFERROR(_xlfn.AGGREGATE(15,6,(ROW(Personnel[Egtim durumu])-MIN(ROW(Personnel[Egtim durumu]))+1)/((Personnel[Egtim durumu]="Dil egitimi tamamlandi sinavdan gecti")),ROWS($K$7:K412)),"")</f>
        <v>498</v>
      </c>
    </row>
    <row r="413" spans="1:11" ht="25.5" x14ac:dyDescent="0.25">
      <c r="A413" s="18">
        <f>IFERROR(INDEX(Personnel[Sicil],$K413),"")</f>
        <v>568246</v>
      </c>
      <c r="B413" s="17" t="str">
        <f>IFERROR(INDEX(Personnel[Adi Soyadi],$K413),"")</f>
        <v>Саидов Бахрам Шавкатович</v>
      </c>
      <c r="C413" s="18" t="str">
        <f>IFERROR(INDEX(Personnel[Vatandaslik],$K413),"")</f>
        <v>УЗБЕКИСТАН</v>
      </c>
      <c r="D413" s="18" t="str">
        <f>IFERROR(INDEX(Personnel[Santiye],$K413),"")</f>
        <v>GPP Proje</v>
      </c>
      <c r="E413" s="18" t="str">
        <f>IFERROR(INDEX(Personnel[Ogretmen],$K413),"")</f>
        <v>Ziazetdinov Arslan / Ziazetdinov Arslan</v>
      </c>
      <c r="F413" s="17" t="str">
        <f>IFERROR(INDEX(Personnel[[Sinav ]],$K413),"")</f>
        <v>01.07.2026 Sineva gitti gecemedi /09.07.2026 Sineva gitti gecdi</v>
      </c>
      <c r="G413" s="17" t="str">
        <f>IFERROR(INDEX(Personnel[Egtim durumu],$K413),"")</f>
        <v>Dil egitimi tamamlandi sinavdan gecti</v>
      </c>
      <c r="H413" s="17" t="str">
        <f>IFERROR(INDEX(Personnel[Shohruh Not],$K413),"")</f>
        <v>-</v>
      </c>
      <c r="I413" s="22">
        <f ca="1">IFERROR(INDEX(Personnel[Дней в РФ],$K413),"")</f>
        <v>404</v>
      </c>
      <c r="K413" s="23">
        <f t="array" ref="K413">IFERROR(_xlfn.AGGREGATE(15,6,(ROW(Personnel[Egtim durumu])-MIN(ROW(Personnel[Egtim durumu]))+1)/((Personnel[Egtim durumu]="Dil egitimi tamamlandi sinavdan gecti")),ROWS($K$7:K413)),"")</f>
        <v>499</v>
      </c>
    </row>
    <row r="414" spans="1:11" x14ac:dyDescent="0.25">
      <c r="A414" s="40">
        <f>IFERROR(INDEX(Personnel[Sicil],$K414),"")</f>
        <v>634484</v>
      </c>
      <c r="B414" s="41" t="str">
        <f>IFERROR(INDEX(Personnel[Adi Soyadi],$K414),"")</f>
        <v>Тошев Журабек Жовлиевич</v>
      </c>
      <c r="C414" s="40" t="str">
        <f>IFERROR(INDEX(Personnel[Vatandaslik],$K414),"")</f>
        <v>УЗБЕКИСТАН</v>
      </c>
      <c r="D414" s="40" t="str">
        <f>IFERROR(INDEX(Personnel[Santiye],$K414),"")</f>
        <v>GPP Proje</v>
      </c>
      <c r="E414" s="40" t="str">
        <f>IFERROR(INDEX(Personnel[Ogretmen],$K414),"")</f>
        <v xml:space="preserve">Ziazetdinov Arslan </v>
      </c>
      <c r="F414" s="41" t="str">
        <f>IFERROR(INDEX(Personnel[[Sinav ]],$K414),"")</f>
        <v>01.07.2026 Sineva gitti gecdi</v>
      </c>
      <c r="G414" s="41" t="str">
        <f>IFERROR(INDEX(Personnel[Egtim durumu],$K414),"")</f>
        <v>Dil egitimi tamamlandi sinavdan gecti</v>
      </c>
      <c r="H414" s="41" t="str">
        <f>IFERROR(INDEX(Personnel[Shohruh Not],$K414),"")</f>
        <v>-</v>
      </c>
      <c r="I414" s="42">
        <f ca="1">IFERROR(INDEX(Personnel[Дней в РФ],$K414),"")</f>
        <v>406</v>
      </c>
      <c r="K414" s="23">
        <f t="array" ref="K414">IFERROR(_xlfn.AGGREGATE(15,6,(ROW(Personnel[Egtim durumu])-MIN(ROW(Personnel[Egtim durumu]))+1)/((Personnel[Egtim durumu]="Dil egitimi tamamlandi sinavdan gecti")),ROWS($K$7:K414)),"")</f>
        <v>500</v>
      </c>
    </row>
    <row r="415" spans="1:11" ht="25.5" x14ac:dyDescent="0.25">
      <c r="A415" s="18">
        <f>IFERROR(INDEX(Personnel[Sicil],$K415),"")</f>
        <v>514641</v>
      </c>
      <c r="B415" s="17" t="str">
        <f>IFERROR(INDEX(Personnel[Adi Soyadi],$K415),"")</f>
        <v>Юлдошов Сирожиддин Рахимбой угли</v>
      </c>
      <c r="C415" s="18" t="str">
        <f>IFERROR(INDEX(Personnel[Vatandaslik],$K415),"")</f>
        <v>УЗБЕКИСТАН</v>
      </c>
      <c r="D415" s="18" t="str">
        <f>IFERROR(INDEX(Personnel[Santiye],$K415),"")</f>
        <v>GPP Proje</v>
      </c>
      <c r="E415" s="18" t="str">
        <f>IFERROR(INDEX(Personnel[Ogretmen],$K415),"")</f>
        <v xml:space="preserve">Ziazetdinov Arslan </v>
      </c>
      <c r="F415" s="17" t="str">
        <f>IFERROR(INDEX(Personnel[[Sinav ]],$K415),"")</f>
        <v>01.07.2026 Sineva gitti gecdi</v>
      </c>
      <c r="G415" s="17" t="str">
        <f>IFERROR(INDEX(Personnel[Egtim durumu],$K415),"")</f>
        <v>Dil egitimi tamamlandi sinavdan gecti</v>
      </c>
      <c r="H415" s="17" t="str">
        <f>IFERROR(INDEX(Personnel[Shohruh Not],$K415),"")</f>
        <v>-</v>
      </c>
      <c r="I415" s="22">
        <f ca="1">IFERROR(INDEX(Personnel[Дней в РФ],$K415),"")</f>
        <v>404</v>
      </c>
      <c r="K415" s="23">
        <f t="array" ref="K415">IFERROR(_xlfn.AGGREGATE(15,6,(ROW(Personnel[Egtim durumu])-MIN(ROW(Personnel[Egtim durumu]))+1)/((Personnel[Egtim durumu]="Dil egitimi tamamlandi sinavdan gecti")),ROWS($K$7:K415)),"")</f>
        <v>501</v>
      </c>
    </row>
    <row r="416" spans="1:11" ht="25.5" x14ac:dyDescent="0.25">
      <c r="A416" s="40">
        <f>IFERROR(INDEX(Personnel[Sicil],$K416),"")</f>
        <v>645338</v>
      </c>
      <c r="B416" s="41" t="str">
        <f>IFERROR(INDEX(Personnel[Adi Soyadi],$K416),"")</f>
        <v>Абдисоатов Асадулло Баходир Угли</v>
      </c>
      <c r="C416" s="40" t="str">
        <f>IFERROR(INDEX(Personnel[Vatandaslik],$K416),"")</f>
        <v>УЗБЕКИСТАН</v>
      </c>
      <c r="D416" s="40" t="str">
        <f>IFERROR(INDEX(Personnel[Santiye],$K416),"")</f>
        <v>GPP Proje</v>
      </c>
      <c r="E416" s="40" t="str">
        <f>IFERROR(INDEX(Personnel[Ogretmen],$K416),"")</f>
        <v>Ziazetdinov Arslan / Ziazetdinov Arslan</v>
      </c>
      <c r="F416" s="41" t="str">
        <f>IFERROR(INDEX(Personnel[[Sinav ]],$K416),"")</f>
        <v>01.07.2026 Sineva gitti gecemedi /09.07.2026 Sineva gitti gecdi</v>
      </c>
      <c r="G416" s="41" t="str">
        <f>IFERROR(INDEX(Personnel[Egtim durumu],$K416),"")</f>
        <v>Dil egitimi tamamlandi sinavdan gecti</v>
      </c>
      <c r="H416" s="41" t="str">
        <f>IFERROR(INDEX(Personnel[Shohruh Not],$K416),"")</f>
        <v>-</v>
      </c>
      <c r="I416" s="42">
        <f ca="1">IFERROR(INDEX(Personnel[Дней в РФ],$K416),"")</f>
        <v>61</v>
      </c>
      <c r="K416" s="23">
        <f t="array" ref="K416">IFERROR(_xlfn.AGGREGATE(15,6,(ROW(Personnel[Egtim durumu])-MIN(ROW(Personnel[Egtim durumu]))+1)/((Personnel[Egtim durumu]="Dil egitimi tamamlandi sinavdan gecti")),ROWS($K$7:K416)),"")</f>
        <v>502</v>
      </c>
    </row>
    <row r="417" spans="1:11" x14ac:dyDescent="0.25">
      <c r="A417" s="18">
        <f>IFERROR(INDEX(Personnel[Sicil],$K417),"")</f>
        <v>645323</v>
      </c>
      <c r="B417" s="17" t="str">
        <f>IFERROR(INDEX(Personnel[Adi Soyadi],$K417),"")</f>
        <v>Ахмадов Элчин Сахил Оглы</v>
      </c>
      <c r="C417" s="18" t="str">
        <f>IFERROR(INDEX(Personnel[Vatandaslik],$K417),"")</f>
        <v>АЗЕРБАЙДЖАН</v>
      </c>
      <c r="D417" s="18" t="str">
        <f>IFERROR(INDEX(Personnel[Santiye],$K417),"")</f>
        <v>GPP Proje</v>
      </c>
      <c r="E417" s="18" t="str">
        <f>IFERROR(INDEX(Personnel[Ogretmen],$K417),"")</f>
        <v xml:space="preserve">Ziazetdinov Arslan </v>
      </c>
      <c r="F417" s="17" t="str">
        <f>IFERROR(INDEX(Personnel[[Sinav ]],$K417),"")</f>
        <v>03.07.2026 Sineva gitti gecdi</v>
      </c>
      <c r="G417" s="17" t="str">
        <f>IFERROR(INDEX(Personnel[Egtim durumu],$K417),"")</f>
        <v>Dil egitimi tamamlandi sinavdan gecti</v>
      </c>
      <c r="H417" s="17" t="str">
        <f>IFERROR(INDEX(Personnel[Shohruh Not],$K417),"")</f>
        <v>-</v>
      </c>
      <c r="I417" s="22">
        <f ca="1">IFERROR(INDEX(Personnel[Дней в РФ],$K417),"")</f>
        <v>61</v>
      </c>
      <c r="K417" s="23">
        <f t="array" ref="K417">IFERROR(_xlfn.AGGREGATE(15,6,(ROW(Personnel[Egtim durumu])-MIN(ROW(Personnel[Egtim durumu]))+1)/((Personnel[Egtim durumu]="Dil egitimi tamamlandi sinavdan gecti")),ROWS($K$7:K417)),"")</f>
        <v>503</v>
      </c>
    </row>
    <row r="418" spans="1:11" x14ac:dyDescent="0.25">
      <c r="A418" s="40">
        <f>IFERROR(INDEX(Personnel[Sicil],$K418),"")</f>
        <v>645322</v>
      </c>
      <c r="B418" s="41" t="str">
        <f>IFERROR(INDEX(Personnel[Adi Soyadi],$K418),"")</f>
        <v>Алиев Фазил Мирбаба Оглы</v>
      </c>
      <c r="C418" s="40" t="str">
        <f>IFERROR(INDEX(Personnel[Vatandaslik],$K418),"")</f>
        <v>АЗЕРБАЙДЖАН</v>
      </c>
      <c r="D418" s="40" t="str">
        <f>IFERROR(INDEX(Personnel[Santiye],$K418),"")</f>
        <v>GPP Proje</v>
      </c>
      <c r="E418" s="40" t="str">
        <f>IFERROR(INDEX(Personnel[Ogretmen],$K418),"")</f>
        <v xml:space="preserve">Ziazetdinov Arslan </v>
      </c>
      <c r="F418" s="41" t="str">
        <f>IFERROR(INDEX(Personnel[[Sinav ]],$K418),"")</f>
        <v>01.07.2026 Sineva gitti gecdi</v>
      </c>
      <c r="G418" s="41" t="str">
        <f>IFERROR(INDEX(Personnel[Egtim durumu],$K418),"")</f>
        <v>Dil egitimi tamamlandi sinavdan gecti</v>
      </c>
      <c r="H418" s="41" t="str">
        <f>IFERROR(INDEX(Personnel[Shohruh Not],$K418),"")</f>
        <v>-</v>
      </c>
      <c r="I418" s="42">
        <f ca="1">IFERROR(INDEX(Personnel[Дней в РФ],$K418),"")</f>
        <v>60</v>
      </c>
      <c r="K418" s="23">
        <f t="array" ref="K418">IFERROR(_xlfn.AGGREGATE(15,6,(ROW(Personnel[Egtim durumu])-MIN(ROW(Personnel[Egtim durumu]))+1)/((Personnel[Egtim durumu]="Dil egitimi tamamlandi sinavdan gecti")),ROWS($K$7:K418)),"")</f>
        <v>504</v>
      </c>
    </row>
    <row r="419" spans="1:11" ht="25.5" x14ac:dyDescent="0.25">
      <c r="A419" s="18">
        <f>IFERROR(INDEX(Personnel[Sicil],$K419),"")</f>
        <v>645321</v>
      </c>
      <c r="B419" s="17" t="str">
        <f>IFERROR(INDEX(Personnel[Adi Soyadi],$K419),"")</f>
        <v>Алиев Саил Ядигар Оглы</v>
      </c>
      <c r="C419" s="18" t="str">
        <f>IFERROR(INDEX(Personnel[Vatandaslik],$K419),"")</f>
        <v>АЗЕРБАЙДЖАН</v>
      </c>
      <c r="D419" s="18" t="str">
        <f>IFERROR(INDEX(Personnel[Santiye],$K419),"")</f>
        <v>GPP Proje</v>
      </c>
      <c r="E419" s="18" t="str">
        <f>IFERROR(INDEX(Personnel[Ogretmen],$K419),"")</f>
        <v>Ziazetdinov Arslan / Ziazetdinov Arslan</v>
      </c>
      <c r="F419" s="17" t="str">
        <f>IFERROR(INDEX(Personnel[[Sinav ]],$K419),"")</f>
        <v>Ic testimizden gecemedi 27.06.2026 /07.07.2026 Sineva gitti gecdi</v>
      </c>
      <c r="G419" s="17" t="str">
        <f>IFERROR(INDEX(Personnel[Egtim durumu],$K419),"")</f>
        <v>Dil egitimi tamamlandi sinavdan gecti</v>
      </c>
      <c r="H419" s="17" t="str">
        <f>IFERROR(INDEX(Personnel[Shohruh Not],$K419),"")</f>
        <v>-</v>
      </c>
      <c r="I419" s="22">
        <f ca="1">IFERROR(INDEX(Personnel[Дней в РФ],$K419),"")</f>
        <v>60</v>
      </c>
      <c r="K419" s="23">
        <f t="array" ref="K419">IFERROR(_xlfn.AGGREGATE(15,6,(ROW(Personnel[Egtim durumu])-MIN(ROW(Personnel[Egtim durumu]))+1)/((Personnel[Egtim durumu]="Dil egitimi tamamlandi sinavdan gecti")),ROWS($K$7:K419)),"")</f>
        <v>505</v>
      </c>
    </row>
    <row r="420" spans="1:11" x14ac:dyDescent="0.25">
      <c r="A420" s="40">
        <f>IFERROR(INDEX(Personnel[Sicil],$K420),"")</f>
        <v>603494</v>
      </c>
      <c r="B420" s="41" t="str">
        <f>IFERROR(INDEX(Personnel[Adi Soyadi],$K420),"")</f>
        <v>Аллаев Анвар Юсуфбоевич</v>
      </c>
      <c r="C420" s="40" t="str">
        <f>IFERROR(INDEX(Personnel[Vatandaslik],$K420),"")</f>
        <v>УЗБЕКИСТАН</v>
      </c>
      <c r="D420" s="40" t="str">
        <f>IFERROR(INDEX(Personnel[Santiye],$K420),"")</f>
        <v>GPP Proje</v>
      </c>
      <c r="E420" s="40" t="str">
        <f>IFERROR(INDEX(Personnel[Ogretmen],$K420),"")</f>
        <v xml:space="preserve">Ziazetdinov Arslan </v>
      </c>
      <c r="F420" s="41" t="str">
        <f>IFERROR(INDEX(Personnel[[Sinav ]],$K420),"")</f>
        <v>01.07.2026 Sineva gitti gecdi</v>
      </c>
      <c r="G420" s="41" t="str">
        <f>IFERROR(INDEX(Personnel[Egtim durumu],$K420),"")</f>
        <v>Dil egitimi tamamlandi sinavdan gecti</v>
      </c>
      <c r="H420" s="41" t="str">
        <f>IFERROR(INDEX(Personnel[Shohruh Not],$K420),"")</f>
        <v>-</v>
      </c>
      <c r="I420" s="42">
        <f ca="1">IFERROR(INDEX(Personnel[Дней в РФ],$K420),"")</f>
        <v>61</v>
      </c>
      <c r="K420" s="23">
        <f t="array" ref="K420">IFERROR(_xlfn.AGGREGATE(15,6,(ROW(Personnel[Egtim durumu])-MIN(ROW(Personnel[Egtim durumu]))+1)/((Personnel[Egtim durumu]="Dil egitimi tamamlandi sinavdan gecti")),ROWS($K$7:K420)),"")</f>
        <v>506</v>
      </c>
    </row>
    <row r="421" spans="1:11" ht="25.5" x14ac:dyDescent="0.25">
      <c r="A421" s="18">
        <f>IFERROR(INDEX(Personnel[Sicil],$K421),"")</f>
        <v>645325</v>
      </c>
      <c r="B421" s="17" t="str">
        <f>IFERROR(INDEX(Personnel[Adi Soyadi],$K421),"")</f>
        <v>Амиров Джейхун Рауф Оглы</v>
      </c>
      <c r="C421" s="18" t="str">
        <f>IFERROR(INDEX(Personnel[Vatandaslik],$K421),"")</f>
        <v>АЗЕРБАЙДЖАН</v>
      </c>
      <c r="D421" s="18" t="str">
        <f>IFERROR(INDEX(Personnel[Santiye],$K421),"")</f>
        <v>GPP Proje</v>
      </c>
      <c r="E421" s="18" t="str">
        <f>IFERROR(INDEX(Personnel[Ogretmen],$K421),"")</f>
        <v>Ziazetdinov Arslan / Ziazetdinov Arslan</v>
      </c>
      <c r="F421" s="17" t="str">
        <f>IFERROR(INDEX(Personnel[[Sinav ]],$K421),"")</f>
        <v>Ic testimizden gecemedi 27.06.2026 /07.07.2026 Sineva gitti gecdi</v>
      </c>
      <c r="G421" s="17" t="str">
        <f>IFERROR(INDEX(Personnel[Egtim durumu],$K421),"")</f>
        <v>Dil egitimi tamamlandi sinavdan gecti</v>
      </c>
      <c r="H421" s="17" t="str">
        <f>IFERROR(INDEX(Personnel[Shohruh Not],$K421),"")</f>
        <v>-</v>
      </c>
      <c r="I421" s="22">
        <f ca="1">IFERROR(INDEX(Personnel[Дней в РФ],$K421),"")</f>
        <v>60</v>
      </c>
      <c r="K421" s="23">
        <f t="array" ref="K421">IFERROR(_xlfn.AGGREGATE(15,6,(ROW(Personnel[Egtim durumu])-MIN(ROW(Personnel[Egtim durumu]))+1)/((Personnel[Egtim durumu]="Dil egitimi tamamlandi sinavdan gecti")),ROWS($K$7:K421)),"")</f>
        <v>507</v>
      </c>
    </row>
    <row r="422" spans="1:11" ht="25.5" x14ac:dyDescent="0.25">
      <c r="A422" s="40">
        <f>IFERROR(INDEX(Personnel[Sicil],$K422),"")</f>
        <v>645339</v>
      </c>
      <c r="B422" s="41" t="str">
        <f>IFERROR(INDEX(Personnel[Adi Soyadi],$K422),"")</f>
        <v>Ашуров Огабек Тоштемир Угли</v>
      </c>
      <c r="C422" s="40" t="str">
        <f>IFERROR(INDEX(Personnel[Vatandaslik],$K422),"")</f>
        <v>УЗБЕКИСТАН</v>
      </c>
      <c r="D422" s="40" t="str">
        <f>IFERROR(INDEX(Personnel[Santiye],$K422),"")</f>
        <v>GPP Proje</v>
      </c>
      <c r="E422" s="40" t="str">
        <f>IFERROR(INDEX(Personnel[Ogretmen],$K422),"")</f>
        <v xml:space="preserve">Ziazetdinov Arslan </v>
      </c>
      <c r="F422" s="41" t="str">
        <f>IFERROR(INDEX(Personnel[[Sinav ]],$K422),"")</f>
        <v>03.07.2026 Sineva gitti gecdi</v>
      </c>
      <c r="G422" s="41" t="str">
        <f>IFERROR(INDEX(Personnel[Egtim durumu],$K422),"")</f>
        <v>Dil egitimi tamamlandi sinavdan gecti</v>
      </c>
      <c r="H422" s="41" t="str">
        <f>IFERROR(INDEX(Personnel[Shohruh Not],$K422),"")</f>
        <v xml:space="preserve"> Tarih 27.06.2026 Sineve bilgi verildi gelmedi</v>
      </c>
      <c r="I422" s="42">
        <f ca="1">IFERROR(INDEX(Personnel[Дней в РФ],$K422),"")</f>
        <v>61</v>
      </c>
      <c r="K422" s="23">
        <f t="array" ref="K422">IFERROR(_xlfn.AGGREGATE(15,6,(ROW(Personnel[Egtim durumu])-MIN(ROW(Personnel[Egtim durumu]))+1)/((Personnel[Egtim durumu]="Dil egitimi tamamlandi sinavdan gecti")),ROWS($K$7:K422)),"")</f>
        <v>508</v>
      </c>
    </row>
    <row r="423" spans="1:11" ht="38.25" x14ac:dyDescent="0.25">
      <c r="A423" s="18">
        <f>IFERROR(INDEX(Personnel[Sicil],$K423),"")</f>
        <v>645354</v>
      </c>
      <c r="B423" s="17" t="str">
        <f>IFERROR(INDEX(Personnel[Adi Soyadi],$K423),"")</f>
        <v>Эшпулатов Кувончбек Сидик Угли</v>
      </c>
      <c r="C423" s="18" t="str">
        <f>IFERROR(INDEX(Personnel[Vatandaslik],$K423),"")</f>
        <v>УЗБЕКИСТАН</v>
      </c>
      <c r="D423" s="18" t="str">
        <f>IFERROR(INDEX(Personnel[Santiye],$K423),"")</f>
        <v>GPP Proje</v>
      </c>
      <c r="E423" s="18" t="str">
        <f>IFERROR(INDEX(Personnel[Ogretmen],$K423),"")</f>
        <v>Ziazetdinov Arslan / Ziazetdinov Arslan</v>
      </c>
      <c r="F423" s="17" t="str">
        <f>IFERROR(INDEX(Personnel[[Sinav ]],$K423),"")</f>
        <v>Ic testimizden gecemiyor(29.06.2026 egitime alindi)  /07.07.2026 Sineva gitti gecdi</v>
      </c>
      <c r="G423" s="17" t="str">
        <f>IFERROR(INDEX(Personnel[Egtim durumu],$K423),"")</f>
        <v>Dil egitimi tamamlandi sinavdan gecti</v>
      </c>
      <c r="H423" s="17" t="str">
        <f>IFERROR(INDEX(Personnel[Shohruh Not],$K423),"")</f>
        <v>-</v>
      </c>
      <c r="I423" s="22">
        <f ca="1">IFERROR(INDEX(Personnel[Дней в РФ],$K423),"")</f>
        <v>60</v>
      </c>
      <c r="K423" s="23">
        <f t="array" ref="K423">IFERROR(_xlfn.AGGREGATE(15,6,(ROW(Personnel[Egtim durumu])-MIN(ROW(Personnel[Egtim durumu]))+1)/((Personnel[Egtim durumu]="Dil egitimi tamamlandi sinavdan gecti")),ROWS($K$7:K423)),"")</f>
        <v>510</v>
      </c>
    </row>
    <row r="424" spans="1:11" ht="25.5" x14ac:dyDescent="0.25">
      <c r="A424" s="40">
        <f>IFERROR(INDEX(Personnel[Sicil],$K424),"")</f>
        <v>599202</v>
      </c>
      <c r="B424" s="41" t="str">
        <f>IFERROR(INDEX(Personnel[Adi Soyadi],$K424),"")</f>
        <v>Ганжаев Хурсанд Реймбаевич</v>
      </c>
      <c r="C424" s="40" t="str">
        <f>IFERROR(INDEX(Personnel[Vatandaslik],$K424),"")</f>
        <v>УЗБЕКИСТАН</v>
      </c>
      <c r="D424" s="40" t="str">
        <f>IFERROR(INDEX(Personnel[Santiye],$K424),"")</f>
        <v>GPP Proje</v>
      </c>
      <c r="E424" s="40" t="str">
        <f>IFERROR(INDEX(Personnel[Ogretmen],$K424),"")</f>
        <v>Ziazetdinov Arslan / Ziazetdinov Arslan</v>
      </c>
      <c r="F424" s="41" t="str">
        <f>IFERROR(INDEX(Personnel[[Sinav ]],$K424),"")</f>
        <v>03.07.2026 Sineva gitti gecemedi/09.07.2026 Sineva gitti gecdi</v>
      </c>
      <c r="G424" s="41" t="str">
        <f>IFERROR(INDEX(Personnel[Egtim durumu],$K424),"")</f>
        <v>Dil egitimi tamamlandi sinavdan gecti</v>
      </c>
      <c r="H424" s="41" t="str">
        <f>IFERROR(INDEX(Personnel[Shohruh Not],$K424),"")</f>
        <v xml:space="preserve">Tekrar egitime alinacak </v>
      </c>
      <c r="I424" s="42">
        <f ca="1">IFERROR(INDEX(Personnel[Дней в РФ],$K424),"")</f>
        <v>61</v>
      </c>
      <c r="K424" s="23">
        <f t="array" ref="K424">IFERROR(_xlfn.AGGREGATE(15,6,(ROW(Personnel[Egtim durumu])-MIN(ROW(Personnel[Egtim durumu]))+1)/((Personnel[Egtim durumu]="Dil egitimi tamamlandi sinavdan gecti")),ROWS($K$7:K424)),"")</f>
        <v>511</v>
      </c>
    </row>
    <row r="425" spans="1:11" x14ac:dyDescent="0.25">
      <c r="A425" s="18">
        <f>IFERROR(INDEX(Personnel[Sicil],$K425),"")</f>
        <v>548298</v>
      </c>
      <c r="B425" s="17" t="str">
        <f>IFERROR(INDEX(Personnel[Adi Soyadi],$K425),"")</f>
        <v>Гулмуратов Равшан Юлдош угли</v>
      </c>
      <c r="C425" s="18" t="str">
        <f>IFERROR(INDEX(Personnel[Vatandaslik],$K425),"")</f>
        <v>УЗБЕКИСТАН</v>
      </c>
      <c r="D425" s="18" t="str">
        <f>IFERROR(INDEX(Personnel[Santiye],$K425),"")</f>
        <v>GPP Proje</v>
      </c>
      <c r="E425" s="18" t="str">
        <f>IFERROR(INDEX(Personnel[Ogretmen],$K425),"")</f>
        <v xml:space="preserve">Ziazetdinov Arslan </v>
      </c>
      <c r="F425" s="17" t="str">
        <f>IFERROR(INDEX(Personnel[[Sinav ]],$K425),"")</f>
        <v>01.07.2026 Sineva gitti gecdi</v>
      </c>
      <c r="G425" s="17" t="str">
        <f>IFERROR(INDEX(Personnel[Egtim durumu],$K425),"")</f>
        <v>Dil egitimi tamamlandi sinavdan gecti</v>
      </c>
      <c r="H425" s="17" t="str">
        <f>IFERROR(INDEX(Personnel[Shohruh Not],$K425),"")</f>
        <v>-</v>
      </c>
      <c r="I425" s="22">
        <f ca="1">IFERROR(INDEX(Personnel[Дней в РФ],$K425),"")</f>
        <v>61</v>
      </c>
      <c r="K425" s="23">
        <f t="array" ref="K425">IFERROR(_xlfn.AGGREGATE(15,6,(ROW(Personnel[Egtim durumu])-MIN(ROW(Personnel[Egtim durumu]))+1)/((Personnel[Egtim durumu]="Dil egitimi tamamlandi sinavdan gecti")),ROWS($K$7:K425)),"")</f>
        <v>512</v>
      </c>
    </row>
    <row r="426" spans="1:11" ht="25.5" x14ac:dyDescent="0.25">
      <c r="A426" s="40">
        <f>IFERROR(INDEX(Personnel[Sicil],$K426),"")</f>
        <v>645375</v>
      </c>
      <c r="B426" s="41" t="str">
        <f>IFERROR(INDEX(Personnel[Adi Soyadi],$K426),"")</f>
        <v>Гуломжонов Оматилло Тулкинжон Угли</v>
      </c>
      <c r="C426" s="40" t="str">
        <f>IFERROR(INDEX(Personnel[Vatandaslik],$K426),"")</f>
        <v>УЗБЕКИСТАН</v>
      </c>
      <c r="D426" s="40" t="str">
        <f>IFERROR(INDEX(Personnel[Santiye],$K426),"")</f>
        <v>GPP Proje</v>
      </c>
      <c r="E426" s="40" t="str">
        <f>IFERROR(INDEX(Personnel[Ogretmen],$K426),"")</f>
        <v xml:space="preserve">Ziazetdinov Arslan </v>
      </c>
      <c r="F426" s="41" t="str">
        <f>IFERROR(INDEX(Personnel[[Sinav ]],$K426),"")</f>
        <v>03.07.2026 Sineva gitti gecdi</v>
      </c>
      <c r="G426" s="41" t="str">
        <f>IFERROR(INDEX(Personnel[Egtim durumu],$K426),"")</f>
        <v>Dil egitimi tamamlandi sinavdan gecti</v>
      </c>
      <c r="H426" s="41" t="str">
        <f>IFERROR(INDEX(Personnel[Shohruh Not],$K426),"")</f>
        <v>-</v>
      </c>
      <c r="I426" s="42">
        <f ca="1">IFERROR(INDEX(Personnel[Дней в РФ],$K426),"")</f>
        <v>60</v>
      </c>
      <c r="K426" s="23">
        <f t="array" ref="K426">IFERROR(_xlfn.AGGREGATE(15,6,(ROW(Personnel[Egtim durumu])-MIN(ROW(Personnel[Egtim durumu]))+1)/((Personnel[Egtim durumu]="Dil egitimi tamamlandi sinavdan gecti")),ROWS($K$7:K426)),"")</f>
        <v>513</v>
      </c>
    </row>
    <row r="427" spans="1:11" ht="25.5" x14ac:dyDescent="0.25">
      <c r="A427" s="18">
        <f>IFERROR(INDEX(Personnel[Sicil],$K427),"")</f>
        <v>645326</v>
      </c>
      <c r="B427" s="17" t="str">
        <f>IFERROR(INDEX(Personnel[Adi Soyadi],$K427),"")</f>
        <v>Хусейнов Элтон Джабир Оглы</v>
      </c>
      <c r="C427" s="18" t="str">
        <f>IFERROR(INDEX(Personnel[Vatandaslik],$K427),"")</f>
        <v>АЗЕРБАЙДЖАН</v>
      </c>
      <c r="D427" s="18" t="str">
        <f>IFERROR(INDEX(Personnel[Santiye],$K427),"")</f>
        <v>GPP Proje</v>
      </c>
      <c r="E427" s="18" t="str">
        <f>IFERROR(INDEX(Personnel[Ogretmen],$K427),"")</f>
        <v>Ziazetdinov Arslan / Ziazetdinov Arslan</v>
      </c>
      <c r="F427" s="17" t="str">
        <f>IFERROR(INDEX(Personnel[[Sinav ]],$K427),"")</f>
        <v>01.07.2026 Sineva gitti gecemedi /07.07.2026 Sineva gitti gecdi</v>
      </c>
      <c r="G427" s="17" t="str">
        <f>IFERROR(INDEX(Personnel[Egtim durumu],$K427),"")</f>
        <v>Dil egitimi tamamlandi sinavdan gecti</v>
      </c>
      <c r="H427" s="17" t="str">
        <f>IFERROR(INDEX(Personnel[Shohruh Not],$K427),"")</f>
        <v>-</v>
      </c>
      <c r="I427" s="22">
        <f ca="1">IFERROR(INDEX(Personnel[Дней в РФ],$K427),"")</f>
        <v>60</v>
      </c>
      <c r="K427" s="23">
        <f t="array" ref="K427">IFERROR(_xlfn.AGGREGATE(15,6,(ROW(Personnel[Egtim durumu])-MIN(ROW(Personnel[Egtim durumu]))+1)/((Personnel[Egtim durumu]="Dil egitimi tamamlandi sinavdan gecti")),ROWS($K$7:K427)),"")</f>
        <v>514</v>
      </c>
    </row>
    <row r="428" spans="1:11" ht="25.5" x14ac:dyDescent="0.25">
      <c r="A428" s="40">
        <f>IFERROR(INDEX(Personnel[Sicil],$K428),"")</f>
        <v>645356</v>
      </c>
      <c r="B428" s="41" t="str">
        <f>IFERROR(INDEX(Personnel[Adi Soyadi],$K428),"")</f>
        <v>Иномжонов Сухробжон Туланжон Угли</v>
      </c>
      <c r="C428" s="40" t="str">
        <f>IFERROR(INDEX(Personnel[Vatandaslik],$K428),"")</f>
        <v>УЗБЕКИСТАН</v>
      </c>
      <c r="D428" s="40" t="str">
        <f>IFERROR(INDEX(Personnel[Santiye],$K428),"")</f>
        <v>GPP Proje</v>
      </c>
      <c r="E428" s="40" t="str">
        <f>IFERROR(INDEX(Personnel[Ogretmen],$K428),"")</f>
        <v xml:space="preserve">Ziazetdinov Arslan </v>
      </c>
      <c r="F428" s="41" t="str">
        <f>IFERROR(INDEX(Personnel[[Sinav ]],$K428),"")</f>
        <v>03.07.2026 Sineva gitti gecdi</v>
      </c>
      <c r="G428" s="41" t="str">
        <f>IFERROR(INDEX(Personnel[Egtim durumu],$K428),"")</f>
        <v>Dil egitimi tamamlandi sinavdan gecti</v>
      </c>
      <c r="H428" s="41" t="str">
        <f>IFERROR(INDEX(Personnel[Shohruh Not],$K428),"")</f>
        <v>-</v>
      </c>
      <c r="I428" s="42">
        <f ca="1">IFERROR(INDEX(Personnel[Дней в РФ],$K428),"")</f>
        <v>60</v>
      </c>
      <c r="K428" s="23">
        <f t="array" ref="K428">IFERROR(_xlfn.AGGREGATE(15,6,(ROW(Personnel[Egtim durumu])-MIN(ROW(Personnel[Egtim durumu]))+1)/((Personnel[Egtim durumu]="Dil egitimi tamamlandi sinavdan gecti")),ROWS($K$7:K428)),"")</f>
        <v>515</v>
      </c>
    </row>
    <row r="429" spans="1:11" ht="38.25" x14ac:dyDescent="0.25">
      <c r="A429" s="18">
        <f>IFERROR(INDEX(Personnel[Sicil],$K429),"")</f>
        <v>645365</v>
      </c>
      <c r="B429" s="17" t="str">
        <f>IFERROR(INDEX(Personnel[Adi Soyadi],$K429),"")</f>
        <v>Исаков Жахонгир Абдурафиевич</v>
      </c>
      <c r="C429" s="18" t="str">
        <f>IFERROR(INDEX(Personnel[Vatandaslik],$K429),"")</f>
        <v>УЗБЕКИСТАН</v>
      </c>
      <c r="D429" s="18" t="str">
        <f>IFERROR(INDEX(Personnel[Santiye],$K429),"")</f>
        <v>GPP Proje</v>
      </c>
      <c r="E429" s="18" t="str">
        <f>IFERROR(INDEX(Personnel[Ogretmen],$K429),"")</f>
        <v>Ziazetdinov Arslan / Ziazetdinov Arslan</v>
      </c>
      <c r="F429" s="17" t="str">
        <f>IFERROR(INDEX(Personnel[[Sinav ]],$K429),"")</f>
        <v>Ic testimizden gecemedi 27.06.2026 /Ic testimizden gecemedi 05.07.2026/14.07.2026 Sineva gitti gecdi</v>
      </c>
      <c r="G429" s="17" t="str">
        <f>IFERROR(INDEX(Personnel[Egtim durumu],$K429),"")</f>
        <v>Dil egitimi tamamlandi sinavdan gecti</v>
      </c>
      <c r="H429" s="17" t="str">
        <f>IFERROR(INDEX(Personnel[Shohruh Not],$K429),"")</f>
        <v>Son gun gelmediyini ida etti suc kedisinde</v>
      </c>
      <c r="I429" s="22">
        <f ca="1">IFERROR(INDEX(Personnel[Дней в РФ],$K429),"")</f>
        <v>60</v>
      </c>
      <c r="K429" s="23">
        <f t="array" ref="K429">IFERROR(_xlfn.AGGREGATE(15,6,(ROW(Personnel[Egtim durumu])-MIN(ROW(Personnel[Egtim durumu]))+1)/((Personnel[Egtim durumu]="Dil egitimi tamamlandi sinavdan gecti")),ROWS($K$7:K429)),"")</f>
        <v>516</v>
      </c>
    </row>
    <row r="430" spans="1:11" ht="25.5" x14ac:dyDescent="0.25">
      <c r="A430" s="40">
        <f>IFERROR(INDEX(Personnel[Sicil],$K430),"")</f>
        <v>645374</v>
      </c>
      <c r="B430" s="41" t="str">
        <f>IFERROR(INDEX(Personnel[Adi Soyadi],$K430),"")</f>
        <v>Исроилов Шахобиддин Махмуджонович</v>
      </c>
      <c r="C430" s="40" t="str">
        <f>IFERROR(INDEX(Personnel[Vatandaslik],$K430),"")</f>
        <v>УЗБЕКИСТАН</v>
      </c>
      <c r="D430" s="40" t="str">
        <f>IFERROR(INDEX(Personnel[Santiye],$K430),"")</f>
        <v>GPP Proje</v>
      </c>
      <c r="E430" s="40" t="str">
        <f>IFERROR(INDEX(Personnel[Ogretmen],$K430),"")</f>
        <v xml:space="preserve">Ziazetdinov Arslan </v>
      </c>
      <c r="F430" s="41" t="str">
        <f>IFERROR(INDEX(Personnel[[Sinav ]],$K430),"")</f>
        <v>01.07.2026 Sineva gitti gecdi</v>
      </c>
      <c r="G430" s="41" t="str">
        <f>IFERROR(INDEX(Personnel[Egtim durumu],$K430),"")</f>
        <v>Dil egitimi tamamlandi sinavdan gecti</v>
      </c>
      <c r="H430" s="41" t="str">
        <f>IFERROR(INDEX(Personnel[Shohruh Not],$K430),"")</f>
        <v>-</v>
      </c>
      <c r="I430" s="42">
        <f ca="1">IFERROR(INDEX(Personnel[Дней в РФ],$K430),"")</f>
        <v>61</v>
      </c>
      <c r="K430" s="23">
        <f t="array" ref="K430">IFERROR(_xlfn.AGGREGATE(15,6,(ROW(Personnel[Egtim durumu])-MIN(ROW(Personnel[Egtim durumu]))+1)/((Personnel[Egtim durumu]="Dil egitimi tamamlandi sinavdan gecti")),ROWS($K$7:K430)),"")</f>
        <v>517</v>
      </c>
    </row>
    <row r="431" spans="1:11" x14ac:dyDescent="0.25">
      <c r="A431" s="18">
        <f>IFERROR(INDEX(Personnel[Sicil],$K431),"")</f>
        <v>645372</v>
      </c>
      <c r="B431" s="17" t="str">
        <f>IFERROR(INDEX(Personnel[Adi Soyadi],$K431),"")</f>
        <v>Жумабоев Умрбек Матякубович</v>
      </c>
      <c r="C431" s="18" t="str">
        <f>IFERROR(INDEX(Personnel[Vatandaslik],$K431),"")</f>
        <v>УЗБЕКИСТАН</v>
      </c>
      <c r="D431" s="18" t="str">
        <f>IFERROR(INDEX(Personnel[Santiye],$K431),"")</f>
        <v>GPP Proje</v>
      </c>
      <c r="E431" s="18" t="str">
        <f>IFERROR(INDEX(Personnel[Ogretmen],$K431),"")</f>
        <v xml:space="preserve">Ziazetdinov Arslan </v>
      </c>
      <c r="F431" s="17" t="str">
        <f>IFERROR(INDEX(Personnel[[Sinav ]],$K431),"")</f>
        <v>01.07.2026 Sineva gitti gecdi</v>
      </c>
      <c r="G431" s="17" t="str">
        <f>IFERROR(INDEX(Personnel[Egtim durumu],$K431),"")</f>
        <v>Dil egitimi tamamlandi sinavdan gecti</v>
      </c>
      <c r="H431" s="17" t="str">
        <f>IFERROR(INDEX(Personnel[Shohruh Not],$K431),"")</f>
        <v>-</v>
      </c>
      <c r="I431" s="22">
        <f ca="1">IFERROR(INDEX(Personnel[Дней в РФ],$K431),"")</f>
        <v>60</v>
      </c>
      <c r="K431" s="23">
        <f t="array" ref="K431">IFERROR(_xlfn.AGGREGATE(15,6,(ROW(Personnel[Egtim durumu])-MIN(ROW(Personnel[Egtim durumu]))+1)/((Personnel[Egtim durumu]="Dil egitimi tamamlandi sinavdan gecti")),ROWS($K$7:K431)),"")</f>
        <v>518</v>
      </c>
    </row>
    <row r="432" spans="1:11" x14ac:dyDescent="0.25">
      <c r="A432" s="40">
        <f>IFERROR(INDEX(Personnel[Sicil],$K432),"")</f>
        <v>453983</v>
      </c>
      <c r="B432" s="41" t="str">
        <f>IFERROR(INDEX(Personnel[Adi Soyadi],$K432),"")</f>
        <v>Кадиров Сардарбек Хамраевич</v>
      </c>
      <c r="C432" s="40" t="str">
        <f>IFERROR(INDEX(Personnel[Vatandaslik],$K432),"")</f>
        <v>УЗБЕКИСТАН</v>
      </c>
      <c r="D432" s="40" t="str">
        <f>IFERROR(INDEX(Personnel[Santiye],$K432),"")</f>
        <v>GPP Proje</v>
      </c>
      <c r="E432" s="40" t="str">
        <f>IFERROR(INDEX(Personnel[Ogretmen],$K432),"")</f>
        <v xml:space="preserve">Ziazetdinov Arslan </v>
      </c>
      <c r="F432" s="41" t="str">
        <f>IFERROR(INDEX(Personnel[[Sinav ]],$K432),"")</f>
        <v>07.07.2026 Sineva gitti gecdi</v>
      </c>
      <c r="G432" s="41" t="str">
        <f>IFERROR(INDEX(Personnel[Egtim durumu],$K432),"")</f>
        <v>Dil egitimi tamamlandi sinavdan gecti</v>
      </c>
      <c r="H432" s="41" t="str">
        <f>IFERROR(INDEX(Personnel[Shohruh Not],$K432),"")</f>
        <v>-</v>
      </c>
      <c r="I432" s="42">
        <f ca="1">IFERROR(INDEX(Personnel[Дней в РФ],$K432),"")</f>
        <v>61</v>
      </c>
      <c r="K432" s="23">
        <f t="array" ref="K432">IFERROR(_xlfn.AGGREGATE(15,6,(ROW(Personnel[Egtim durumu])-MIN(ROW(Personnel[Egtim durumu]))+1)/((Personnel[Egtim durumu]="Dil egitimi tamamlandi sinavdan gecti")),ROWS($K$7:K432)),"")</f>
        <v>519</v>
      </c>
    </row>
    <row r="433" spans="1:11" ht="38.25" x14ac:dyDescent="0.25">
      <c r="A433" s="18">
        <f>IFERROR(INDEX(Personnel[Sicil],$K433),"")</f>
        <v>645351</v>
      </c>
      <c r="B433" s="17" t="str">
        <f>IFERROR(INDEX(Personnel[Adi Soyadi],$K433),"")</f>
        <v>Хожимирзаев Хуршидбек Азамжон Угли</v>
      </c>
      <c r="C433" s="18" t="str">
        <f>IFERROR(INDEX(Personnel[Vatandaslik],$K433),"")</f>
        <v>УЗБЕКИСТАН</v>
      </c>
      <c r="D433" s="18" t="str">
        <f>IFERROR(INDEX(Personnel[Santiye],$K433),"")</f>
        <v>GPP Proje</v>
      </c>
      <c r="E433" s="18" t="str">
        <f>IFERROR(INDEX(Personnel[Ogretmen],$K433),"")</f>
        <v>Ziazetdinov Arslan / Ziazetdinov Arslan</v>
      </c>
      <c r="F433" s="17" t="str">
        <f>IFERROR(INDEX(Personnel[[Sinav ]],$K433),"")</f>
        <v>Ic testimizden gecemiyor(29.06.2026 egitime alindi) /07.07.2026 Sineva gitti gecdi</v>
      </c>
      <c r="G433" s="17" t="str">
        <f>IFERROR(INDEX(Personnel[Egtim durumu],$K433),"")</f>
        <v>Dil egitimi tamamlandi sinavdan gecti</v>
      </c>
      <c r="H433" s="17" t="str">
        <f>IFERROR(INDEX(Personnel[Shohruh Not],$K433),"")</f>
        <v>-</v>
      </c>
      <c r="I433" s="22">
        <f ca="1">IFERROR(INDEX(Personnel[Дней в РФ],$K433),"")</f>
        <v>60</v>
      </c>
      <c r="K433" s="23">
        <f t="array" ref="K433">IFERROR(_xlfn.AGGREGATE(15,6,(ROW(Personnel[Egtim durumu])-MIN(ROW(Personnel[Egtim durumu]))+1)/((Personnel[Egtim durumu]="Dil egitimi tamamlandi sinavdan gecti")),ROWS($K$7:K433)),"")</f>
        <v>520</v>
      </c>
    </row>
    <row r="434" spans="1:11" ht="25.5" x14ac:dyDescent="0.25">
      <c r="A434" s="40">
        <f>IFERROR(INDEX(Personnel[Sicil],$K434),"")</f>
        <v>645318</v>
      </c>
      <c r="B434" s="41" t="str">
        <f>IFERROR(INDEX(Personnel[Adi Soyadi],$K434),"")</f>
        <v>Худаёров Мухиддин Ботирбоевич</v>
      </c>
      <c r="C434" s="40" t="str">
        <f>IFERROR(INDEX(Personnel[Vatandaslik],$K434),"")</f>
        <v>УЗБЕКИСТАН</v>
      </c>
      <c r="D434" s="40" t="str">
        <f>IFERROR(INDEX(Personnel[Santiye],$K434),"")</f>
        <v>GPP Proje</v>
      </c>
      <c r="E434" s="40" t="str">
        <f>IFERROR(INDEX(Personnel[Ogretmen],$K434),"")</f>
        <v>Ziazetdinov Arslan / Ziazetdinov Arslan</v>
      </c>
      <c r="F434" s="41" t="str">
        <f>IFERROR(INDEX(Personnel[[Sinav ]],$K434),"")</f>
        <v>Ic testimizden gecemedi 27.06.2026 /07.07.2026 Sineva gitti gecdi</v>
      </c>
      <c r="G434" s="41" t="str">
        <f>IFERROR(INDEX(Personnel[Egtim durumu],$K434),"")</f>
        <v>Dil egitimi tamamlandi sinavdan gecti</v>
      </c>
      <c r="H434" s="41" t="str">
        <f>IFERROR(INDEX(Personnel[Shohruh Not],$K434),"")</f>
        <v>-</v>
      </c>
      <c r="I434" s="42">
        <f ca="1">IFERROR(INDEX(Personnel[Дней в РФ],$K434),"")</f>
        <v>61</v>
      </c>
      <c r="K434" s="23">
        <f t="array" ref="K434">IFERROR(_xlfn.AGGREGATE(15,6,(ROW(Personnel[Egtim durumu])-MIN(ROW(Personnel[Egtim durumu]))+1)/((Personnel[Egtim durumu]="Dil egitimi tamamlandi sinavdan gecti")),ROWS($K$7:K434)),"")</f>
        <v>521</v>
      </c>
    </row>
    <row r="435" spans="1:11" ht="25.5" x14ac:dyDescent="0.25">
      <c r="A435" s="18">
        <f>IFERROR(INDEX(Personnel[Sicil],$K435),"")</f>
        <v>645347</v>
      </c>
      <c r="B435" s="17" t="str">
        <f>IFERROR(INDEX(Personnel[Adi Soyadi],$K435),"")</f>
        <v>Мамажонов Элёрбек Мухторжон Угли</v>
      </c>
      <c r="C435" s="18" t="str">
        <f>IFERROR(INDEX(Personnel[Vatandaslik],$K435),"")</f>
        <v>УЗБЕКИСТАН</v>
      </c>
      <c r="D435" s="18" t="str">
        <f>IFERROR(INDEX(Personnel[Santiye],$K435),"")</f>
        <v>GPP Proje</v>
      </c>
      <c r="E435" s="18" t="str">
        <f>IFERROR(INDEX(Personnel[Ogretmen],$K435),"")</f>
        <v xml:space="preserve">Ziazetdinov Arslan </v>
      </c>
      <c r="F435" s="17" t="str">
        <f>IFERROR(INDEX(Personnel[[Sinav ]],$K435),"")</f>
        <v>03.07.2026 Sineva gitti gecdi</v>
      </c>
      <c r="G435" s="17" t="str">
        <f>IFERROR(INDEX(Personnel[Egtim durumu],$K435),"")</f>
        <v>Dil egitimi tamamlandi sinavdan gecti</v>
      </c>
      <c r="H435" s="17" t="str">
        <f>IFERROR(INDEX(Personnel[Shohruh Not],$K435),"")</f>
        <v>-</v>
      </c>
      <c r="I435" s="22">
        <f ca="1">IFERROR(INDEX(Personnel[Дней в РФ],$K435),"")</f>
        <v>60</v>
      </c>
      <c r="K435" s="23">
        <f t="array" ref="K435">IFERROR(_xlfn.AGGREGATE(15,6,(ROW(Personnel[Egtim durumu])-MIN(ROW(Personnel[Egtim durumu]))+1)/((Personnel[Egtim durumu]="Dil egitimi tamamlandi sinavdan gecti")),ROWS($K$7:K435)),"")</f>
        <v>522</v>
      </c>
    </row>
    <row r="436" spans="1:11" x14ac:dyDescent="0.25">
      <c r="A436" s="40">
        <f>IFERROR(INDEX(Personnel[Sicil],$K436),"")</f>
        <v>645342</v>
      </c>
      <c r="B436" s="41" t="str">
        <f>IFERROR(INDEX(Personnel[Adi Soyadi],$K436),"")</f>
        <v>Мирзаев Жамшид Худайкулович</v>
      </c>
      <c r="C436" s="40" t="str">
        <f>IFERROR(INDEX(Personnel[Vatandaslik],$K436),"")</f>
        <v>УЗБЕКИСТАН</v>
      </c>
      <c r="D436" s="40" t="str">
        <f>IFERROR(INDEX(Personnel[Santiye],$K436),"")</f>
        <v>GPP Proje</v>
      </c>
      <c r="E436" s="40" t="str">
        <f>IFERROR(INDEX(Personnel[Ogretmen],$K436),"")</f>
        <v xml:space="preserve">Ziazetdinov Arslan </v>
      </c>
      <c r="F436" s="41" t="str">
        <f>IFERROR(INDEX(Personnel[[Sinav ]],$K436),"")</f>
        <v>01.07.2026 Sineva gitti gecdi</v>
      </c>
      <c r="G436" s="41" t="str">
        <f>IFERROR(INDEX(Personnel[Egtim durumu],$K436),"")</f>
        <v>Dil egitimi tamamlandi sinavdan gecti</v>
      </c>
      <c r="H436" s="41" t="str">
        <f>IFERROR(INDEX(Personnel[Shohruh Not],$K436),"")</f>
        <v>-</v>
      </c>
      <c r="I436" s="42">
        <f ca="1">IFERROR(INDEX(Personnel[Дней в РФ],$K436),"")</f>
        <v>61</v>
      </c>
      <c r="K436" s="23">
        <f t="array" ref="K436">IFERROR(_xlfn.AGGREGATE(15,6,(ROW(Personnel[Egtim durumu])-MIN(ROW(Personnel[Egtim durumu]))+1)/((Personnel[Egtim durumu]="Dil egitimi tamamlandi sinavdan gecti")),ROWS($K$7:K436)),"")</f>
        <v>523</v>
      </c>
    </row>
    <row r="437" spans="1:11" ht="25.5" x14ac:dyDescent="0.25">
      <c r="A437" s="18">
        <f>IFERROR(INDEX(Personnel[Sicil],$K437),"")</f>
        <v>645324</v>
      </c>
      <c r="B437" s="17" t="str">
        <f>IFERROR(INDEX(Personnel[Adi Soyadi],$K437),"")</f>
        <v>Набиев Фаган Рустам Оглы</v>
      </c>
      <c r="C437" s="18" t="str">
        <f>IFERROR(INDEX(Personnel[Vatandaslik],$K437),"")</f>
        <v>АЗЕРБАЙДЖАН</v>
      </c>
      <c r="D437" s="18" t="str">
        <f>IFERROR(INDEX(Personnel[Santiye],$K437),"")</f>
        <v>GPP Proje</v>
      </c>
      <c r="E437" s="18" t="str">
        <f>IFERROR(INDEX(Personnel[Ogretmen],$K437),"")</f>
        <v>Ziazetdinov Arslan / Ziazetdinov Arslan</v>
      </c>
      <c r="F437" s="17" t="str">
        <f>IFERROR(INDEX(Personnel[[Sinav ]],$K437),"")</f>
        <v>01.07.2026 Sineva gitti gecemedi /07.07.2026 Sineva gitti gecdi</v>
      </c>
      <c r="G437" s="17" t="str">
        <f>IFERROR(INDEX(Personnel[Egtim durumu],$K437),"")</f>
        <v>Dil egitimi tamamlandi sinavdan gecti</v>
      </c>
      <c r="H437" s="17" t="str">
        <f>IFERROR(INDEX(Personnel[Shohruh Not],$K437),"")</f>
        <v>-</v>
      </c>
      <c r="I437" s="22">
        <f ca="1">IFERROR(INDEX(Personnel[Дней в РФ],$K437),"")</f>
        <v>60</v>
      </c>
      <c r="K437" s="23">
        <f t="array" ref="K437">IFERROR(_xlfn.AGGREGATE(15,6,(ROW(Personnel[Egtim durumu])-MIN(ROW(Personnel[Egtim durumu]))+1)/((Personnel[Egtim durumu]="Dil egitimi tamamlandi sinavdan gecti")),ROWS($K$7:K437)),"")</f>
        <v>524</v>
      </c>
    </row>
    <row r="438" spans="1:11" ht="51" x14ac:dyDescent="0.25">
      <c r="A438" s="40">
        <f>IFERROR(INDEX(Personnel[Sicil],$K438),"")</f>
        <v>645340</v>
      </c>
      <c r="B438" s="41" t="str">
        <f>IFERROR(INDEX(Personnel[Adi Soyadi],$K438),"")</f>
        <v>Назаров Азизбек Бури Угли</v>
      </c>
      <c r="C438" s="40" t="str">
        <f>IFERROR(INDEX(Personnel[Vatandaslik],$K438),"")</f>
        <v>УЗБЕКИСТАН</v>
      </c>
      <c r="D438" s="40" t="str">
        <f>IFERROR(INDEX(Personnel[Santiye],$K438),"")</f>
        <v>GPP Proje</v>
      </c>
      <c r="E438" s="40" t="str">
        <f>IFERROR(INDEX(Personnel[Ogretmen],$K438),"")</f>
        <v>Ziazetdinov Arslan / Ziazetdinov Arslan</v>
      </c>
      <c r="F438" s="41" t="str">
        <f>IFERROR(INDEX(Personnel[[Sinav ]],$K438),"")</f>
        <v>Ic testimizden gecemedi 27.06.2026 /07.07.2026 Sineva gitti gecemedi 13.07.2026 kedi hisabindan gecdi sineva gitti.</v>
      </c>
      <c r="G438" s="41" t="str">
        <f>IFERROR(INDEX(Personnel[Egtim durumu],$K438),"")</f>
        <v>Dil egitimi tamamlandi sinavdan gecti</v>
      </c>
      <c r="H438" s="41" t="str">
        <f>IFERROR(INDEX(Personnel[Shohruh Not],$K438),"")</f>
        <v>2 kere sinavden gecemedi  9213520431</v>
      </c>
      <c r="I438" s="42">
        <f ca="1">IFERROR(INDEX(Personnel[Дней в РФ],$K438),"")</f>
        <v>61</v>
      </c>
      <c r="K438" s="23">
        <f t="array" ref="K438">IFERROR(_xlfn.AGGREGATE(15,6,(ROW(Personnel[Egtim durumu])-MIN(ROW(Personnel[Egtim durumu]))+1)/((Personnel[Egtim durumu]="Dil egitimi tamamlandi sinavdan gecti")),ROWS($K$7:K438)),"")</f>
        <v>525</v>
      </c>
    </row>
    <row r="439" spans="1:11" ht="25.5" x14ac:dyDescent="0.25">
      <c r="A439" s="18">
        <f>IFERROR(INDEX(Personnel[Sicil],$K439),"")</f>
        <v>645363</v>
      </c>
      <c r="B439" s="17" t="str">
        <f>IFERROR(INDEX(Personnel[Adi Soyadi],$K439),"")</f>
        <v>Отаназаров Мехрожбек Хамидбекович</v>
      </c>
      <c r="C439" s="18" t="str">
        <f>IFERROR(INDEX(Personnel[Vatandaslik],$K439),"")</f>
        <v>УЗБЕКИСТАН</v>
      </c>
      <c r="D439" s="18" t="str">
        <f>IFERROR(INDEX(Personnel[Santiye],$K439),"")</f>
        <v>GPP Proje</v>
      </c>
      <c r="E439" s="18" t="str">
        <f>IFERROR(INDEX(Personnel[Ogretmen],$K439),"")</f>
        <v>Ziazetdinov Arslan / Ziazetdinov Arslan</v>
      </c>
      <c r="F439" s="17" t="str">
        <f>IFERROR(INDEX(Personnel[[Sinav ]],$K439),"")</f>
        <v>03.07.2026 Sineva gitti gecemedi/09.07.2026 Sineva gitti gecdi</v>
      </c>
      <c r="G439" s="17" t="str">
        <f>IFERROR(INDEX(Personnel[Egtim durumu],$K439),"")</f>
        <v>Dil egitimi tamamlandi sinavdan gecti</v>
      </c>
      <c r="H439" s="17" t="str">
        <f>IFERROR(INDEX(Personnel[Shohruh Not],$K439),"")</f>
        <v xml:space="preserve">Tekrar egitime alinacak </v>
      </c>
      <c r="I439" s="22">
        <f ca="1">IFERROR(INDEX(Personnel[Дней в РФ],$K439),"")</f>
        <v>60</v>
      </c>
      <c r="K439" s="23">
        <f t="array" ref="K439">IFERROR(_xlfn.AGGREGATE(15,6,(ROW(Personnel[Egtim durumu])-MIN(ROW(Personnel[Egtim durumu]))+1)/((Personnel[Egtim durumu]="Dil egitimi tamamlandi sinavdan gecti")),ROWS($K$7:K439)),"")</f>
        <v>526</v>
      </c>
    </row>
    <row r="440" spans="1:11" ht="25.5" x14ac:dyDescent="0.25">
      <c r="A440" s="40">
        <f>IFERROR(INDEX(Personnel[Sicil],$K440),"")</f>
        <v>645369</v>
      </c>
      <c r="B440" s="41" t="str">
        <f>IFERROR(INDEX(Personnel[Adi Soyadi],$K440),"")</f>
        <v>Полликов Мекан Шамуратович</v>
      </c>
      <c r="C440" s="40" t="str">
        <f>IFERROR(INDEX(Personnel[Vatandaslik],$K440),"")</f>
        <v>УЗБЕКИСТАН</v>
      </c>
      <c r="D440" s="40" t="str">
        <f>IFERROR(INDEX(Personnel[Santiye],$K440),"")</f>
        <v>GPP Proje</v>
      </c>
      <c r="E440" s="40" t="str">
        <f>IFERROR(INDEX(Personnel[Ogretmen],$K440),"")</f>
        <v xml:space="preserve">Ziazetdinov Arslan </v>
      </c>
      <c r="F440" s="41" t="str">
        <f>IFERROR(INDEX(Personnel[[Sinav ]],$K440),"")</f>
        <v>03.07.2026 Sineva gitti gecdi</v>
      </c>
      <c r="G440" s="41" t="str">
        <f>IFERROR(INDEX(Personnel[Egtim durumu],$K440),"")</f>
        <v>Dil egitimi tamamlandi sinavdan gecti</v>
      </c>
      <c r="H440" s="41" t="str">
        <f>IFERROR(INDEX(Personnel[Shohruh Not],$K440),"")</f>
        <v xml:space="preserve"> Tarih 01.07.2026 Sineve bilgi verildi getmedi</v>
      </c>
      <c r="I440" s="42">
        <f ca="1">IFERROR(INDEX(Personnel[Дней в РФ],$K440),"")</f>
        <v>60</v>
      </c>
      <c r="K440" s="23">
        <f t="array" ref="K440">IFERROR(_xlfn.AGGREGATE(15,6,(ROW(Personnel[Egtim durumu])-MIN(ROW(Personnel[Egtim durumu]))+1)/((Personnel[Egtim durumu]="Dil egitimi tamamlandi sinavdan gecti")),ROWS($K$7:K440)),"")</f>
        <v>527</v>
      </c>
    </row>
    <row r="441" spans="1:11" x14ac:dyDescent="0.25">
      <c r="A441" s="18">
        <f>IFERROR(INDEX(Personnel[Sicil],$K441),"")</f>
        <v>645364</v>
      </c>
      <c r="B441" s="17" t="str">
        <f>IFERROR(INDEX(Personnel[Adi Soyadi],$K441),"")</f>
        <v>Шарифов Акмалжон Камолдинович</v>
      </c>
      <c r="C441" s="18" t="str">
        <f>IFERROR(INDEX(Personnel[Vatandaslik],$K441),"")</f>
        <v>УЗБЕКИСТАН</v>
      </c>
      <c r="D441" s="18" t="str">
        <f>IFERROR(INDEX(Personnel[Santiye],$K441),"")</f>
        <v>GPP Proje</v>
      </c>
      <c r="E441" s="18" t="str">
        <f>IFERROR(INDEX(Personnel[Ogretmen],$K441),"")</f>
        <v xml:space="preserve">Ziazetdinov Arslan </v>
      </c>
      <c r="F441" s="17" t="str">
        <f>IFERROR(INDEX(Personnel[[Sinav ]],$K441),"")</f>
        <v>07.07.2026 Sineva gitti gecdi</v>
      </c>
      <c r="G441" s="17" t="str">
        <f>IFERROR(INDEX(Personnel[Egtim durumu],$K441),"")</f>
        <v>Dil egitimi tamamlandi sinavdan gecti</v>
      </c>
      <c r="H441" s="17" t="str">
        <f>IFERROR(INDEX(Personnel[Shohruh Not],$K441),"")</f>
        <v>-</v>
      </c>
      <c r="I441" s="22">
        <f ca="1">IFERROR(INDEX(Personnel[Дней в РФ],$K441),"")</f>
        <v>60</v>
      </c>
      <c r="K441" s="23">
        <f t="array" ref="K441">IFERROR(_xlfn.AGGREGATE(15,6,(ROW(Personnel[Egtim durumu])-MIN(ROW(Personnel[Egtim durumu]))+1)/((Personnel[Egtim durumu]="Dil egitimi tamamlandi sinavdan gecti")),ROWS($K$7:K441)),"")</f>
        <v>529</v>
      </c>
    </row>
    <row r="442" spans="1:11" ht="38.25" x14ac:dyDescent="0.25">
      <c r="A442" s="40">
        <f>IFERROR(INDEX(Personnel[Sicil],$K442),"")</f>
        <v>278096</v>
      </c>
      <c r="B442" s="41" t="str">
        <f>IFERROR(INDEX(Personnel[Adi Soyadi],$K442),"")</f>
        <v>Шарипов Равшанбек Мустафаевич</v>
      </c>
      <c r="C442" s="40" t="str">
        <f>IFERROR(INDEX(Personnel[Vatandaslik],$K442),"")</f>
        <v>УЗБЕКИСТАН</v>
      </c>
      <c r="D442" s="40" t="str">
        <f>IFERROR(INDEX(Personnel[Santiye],$K442),"")</f>
        <v>GPP Proje</v>
      </c>
      <c r="E442" s="40" t="str">
        <f>IFERROR(INDEX(Personnel[Ogretmen],$K442),"")</f>
        <v>Ziazetdinov Arslan / Ziazetdinov Arslan</v>
      </c>
      <c r="F442" s="41" t="str">
        <f>IFERROR(INDEX(Personnel[[Sinav ]],$K442),"")</f>
        <v>Ic testimizden gecemiyor(29.06.2026 egitime alindi) /07.07.2026 Sineva gitti gecdi</v>
      </c>
      <c r="G442" s="41" t="str">
        <f>IFERROR(INDEX(Personnel[Egtim durumu],$K442),"")</f>
        <v>Dil egitimi tamamlandi sinavdan gecti</v>
      </c>
      <c r="H442" s="41" t="str">
        <f>IFERROR(INDEX(Personnel[Shohruh Not],$K442),"")</f>
        <v>-</v>
      </c>
      <c r="I442" s="42">
        <f ca="1">IFERROR(INDEX(Personnel[Дней в РФ],$K442),"")</f>
        <v>60</v>
      </c>
      <c r="K442" s="23">
        <f t="array" ref="K442">IFERROR(_xlfn.AGGREGATE(15,6,(ROW(Personnel[Egtim durumu])-MIN(ROW(Personnel[Egtim durumu]))+1)/((Personnel[Egtim durumu]="Dil egitimi tamamlandi sinavdan gecti")),ROWS($K$7:K442)),"")</f>
        <v>530</v>
      </c>
    </row>
    <row r="443" spans="1:11" x14ac:dyDescent="0.25">
      <c r="A443" s="18">
        <f>IFERROR(INDEX(Personnel[Sicil],$K443),"")</f>
        <v>645358</v>
      </c>
      <c r="B443" s="17" t="str">
        <f>IFERROR(INDEX(Personnel[Adi Soyadi],$K443),"")</f>
        <v>Туланбоев Умиджон Тошмирза Угли</v>
      </c>
      <c r="C443" s="18" t="str">
        <f>IFERROR(INDEX(Personnel[Vatandaslik],$K443),"")</f>
        <v>УЗБЕКИСТАН</v>
      </c>
      <c r="D443" s="18" t="str">
        <f>IFERROR(INDEX(Personnel[Santiye],$K443),"")</f>
        <v>GPP Proje</v>
      </c>
      <c r="E443" s="18" t="str">
        <f>IFERROR(INDEX(Personnel[Ogretmen],$K443),"")</f>
        <v xml:space="preserve">Ziazetdinov Arslan </v>
      </c>
      <c r="F443" s="17" t="str">
        <f>IFERROR(INDEX(Personnel[[Sinav ]],$K443),"")</f>
        <v>03.07.2026 Sineva gitti gecdi</v>
      </c>
      <c r="G443" s="17" t="str">
        <f>IFERROR(INDEX(Personnel[Egtim durumu],$K443),"")</f>
        <v>Dil egitimi tamamlandi sinavdan gecti</v>
      </c>
      <c r="H443" s="17" t="str">
        <f>IFERROR(INDEX(Personnel[Shohruh Not],$K443),"")</f>
        <v>-</v>
      </c>
      <c r="I443" s="22">
        <f ca="1">IFERROR(INDEX(Personnel[Дней в РФ],$K443),"")</f>
        <v>60</v>
      </c>
      <c r="K443" s="23">
        <f t="array" ref="K443">IFERROR(_xlfn.AGGREGATE(15,6,(ROW(Personnel[Egtim durumu])-MIN(ROW(Personnel[Egtim durumu]))+1)/((Personnel[Egtim durumu]="Dil egitimi tamamlandi sinavdan gecti")),ROWS($K$7:K443)),"")</f>
        <v>531</v>
      </c>
    </row>
    <row r="444" spans="1:11" x14ac:dyDescent="0.25">
      <c r="A444" s="40">
        <f>IFERROR(INDEX(Personnel[Sicil],$K444),"")</f>
        <v>645337</v>
      </c>
      <c r="B444" s="41" t="str">
        <f>IFERROR(INDEX(Personnel[Adi Soyadi],$K444),"")</f>
        <v>Туракулов Парда Бобокулович</v>
      </c>
      <c r="C444" s="40" t="str">
        <f>IFERROR(INDEX(Personnel[Vatandaslik],$K444),"")</f>
        <v>УЗБЕКИСТАН</v>
      </c>
      <c r="D444" s="40" t="str">
        <f>IFERROR(INDEX(Personnel[Santiye],$K444),"")</f>
        <v>GPP Proje</v>
      </c>
      <c r="E444" s="40" t="str">
        <f>IFERROR(INDEX(Personnel[Ogretmen],$K444),"")</f>
        <v xml:space="preserve">Ziazetdinov Arslan </v>
      </c>
      <c r="F444" s="41" t="str">
        <f>IFERROR(INDEX(Personnel[[Sinav ]],$K444),"")</f>
        <v>01.07.2026 Sineva gitti gecdi</v>
      </c>
      <c r="G444" s="41" t="str">
        <f>IFERROR(INDEX(Personnel[Egtim durumu],$K444),"")</f>
        <v>Dil egitimi tamamlandi sinavdan gecti</v>
      </c>
      <c r="H444" s="41" t="str">
        <f>IFERROR(INDEX(Personnel[Shohruh Not],$K444),"")</f>
        <v>-</v>
      </c>
      <c r="I444" s="42">
        <f ca="1">IFERROR(INDEX(Personnel[Дней в РФ],$K444),"")</f>
        <v>61</v>
      </c>
      <c r="K444" s="23">
        <f t="array" ref="K444">IFERROR(_xlfn.AGGREGATE(15,6,(ROW(Personnel[Egtim durumu])-MIN(ROW(Personnel[Egtim durumu]))+1)/((Personnel[Egtim durumu]="Dil egitimi tamamlandi sinavdan gecti")),ROWS($K$7:K444)),"")</f>
        <v>532</v>
      </c>
    </row>
    <row r="445" spans="1:11" x14ac:dyDescent="0.25">
      <c r="A445" s="18">
        <f>IFERROR(INDEX(Personnel[Sicil],$K445),"")</f>
        <v>261882</v>
      </c>
      <c r="B445" s="17" t="str">
        <f>IFERROR(INDEX(Personnel[Adi Soyadi],$K445),"")</f>
        <v>Юсупов Ойбек Максутович</v>
      </c>
      <c r="C445" s="18" t="str">
        <f>IFERROR(INDEX(Personnel[Vatandaslik],$K445),"")</f>
        <v>УЗБЕКИСТАН</v>
      </c>
      <c r="D445" s="18" t="str">
        <f>IFERROR(INDEX(Personnel[Santiye],$K445),"")</f>
        <v>GPP Proje</v>
      </c>
      <c r="E445" s="18" t="str">
        <f>IFERROR(INDEX(Personnel[Ogretmen],$K445),"")</f>
        <v>-</v>
      </c>
      <c r="F445" s="17" t="str">
        <f>IFERROR(INDEX(Personnel[[Sinav ]],$K445),"")</f>
        <v>-</v>
      </c>
      <c r="G445" s="17" t="str">
        <f>IFERROR(INDEX(Personnel[Egtim durumu],$K445),"")</f>
        <v>Dil egitimi tamamlandi sinavdan gecti</v>
      </c>
      <c r="H445" s="17" t="str">
        <f>IFERROR(INDEX(Personnel[Shohruh Not],$K445),"")</f>
        <v>-</v>
      </c>
      <c r="I445" s="18" t="str">
        <f ca="1">IFERROR(INDEX(Personnel[Дней в РФ],$K445),"")</f>
        <v>-</v>
      </c>
      <c r="K445" s="23">
        <f t="array" ref="K445">IFERROR(_xlfn.AGGREGATE(15,6,(ROW(Personnel[Egtim durumu])-MIN(ROW(Personnel[Egtim durumu]))+1)/((Personnel[Egtim durumu]="Dil egitimi tamamlandi sinavdan gecti")),ROWS($K$7:K445)),"")</f>
        <v>533</v>
      </c>
    </row>
    <row r="446" spans="1:11" ht="25.5" x14ac:dyDescent="0.25">
      <c r="A446" s="40">
        <f>IFERROR(INDEX(Personnel[Sicil],$K446),"")</f>
        <v>268940</v>
      </c>
      <c r="B446" s="41" t="str">
        <f>IFERROR(INDEX(Personnel[Adi Soyadi],$K446),"")</f>
        <v>Алланазаров Сардорбек Эгамберганович</v>
      </c>
      <c r="C446" s="40" t="str">
        <f>IFERROR(INDEX(Personnel[Vatandaslik],$K446),"")</f>
        <v>УЗБЕКИСТАН</v>
      </c>
      <c r="D446" s="40" t="str">
        <f>IFERROR(INDEX(Personnel[Santiye],$K446),"")</f>
        <v>GPP Proje</v>
      </c>
      <c r="E446" s="40" t="str">
        <f>IFERROR(INDEX(Personnel[Ogretmen],$K446),"")</f>
        <v xml:space="preserve">Ziazetdinov Arslan </v>
      </c>
      <c r="F446" s="41" t="str">
        <f>IFERROR(INDEX(Personnel[[Sinav ]],$K446),"")</f>
        <v>01.07.2026 Sineva gitti gecdi</v>
      </c>
      <c r="G446" s="41" t="str">
        <f>IFERROR(INDEX(Personnel[Egtim durumu],$K446),"")</f>
        <v>Dil egitimi tamamlandi sinavdan gecti</v>
      </c>
      <c r="H446" s="41" t="str">
        <f>IFERROR(INDEX(Personnel[Shohruh Not],$K446),"")</f>
        <v>-</v>
      </c>
      <c r="I446" s="42">
        <f ca="1">IFERROR(INDEX(Personnel[Дней в РФ],$K446),"")</f>
        <v>577</v>
      </c>
      <c r="K446" s="23">
        <f t="array" ref="K446">IFERROR(_xlfn.AGGREGATE(15,6,(ROW(Personnel[Egtim durumu])-MIN(ROW(Personnel[Egtim durumu]))+1)/((Personnel[Egtim durumu]="Dil egitimi tamamlandi sinavdan gecti")),ROWS($K$7:K446)),"")</f>
        <v>534</v>
      </c>
    </row>
    <row r="447" spans="1:11" x14ac:dyDescent="0.25">
      <c r="A447" s="18">
        <f>IFERROR(INDEX(Personnel[Sicil],$K447),"")</f>
        <v>634561</v>
      </c>
      <c r="B447" s="17" t="str">
        <f>IFERROR(INDEX(Personnel[Adi Soyadi],$K447),"")</f>
        <v>Дудалов Искандар Рахматович</v>
      </c>
      <c r="C447" s="18" t="str">
        <f>IFERROR(INDEX(Personnel[Vatandaslik],$K447),"")</f>
        <v>УЗБЕКИСТАН</v>
      </c>
      <c r="D447" s="18" t="str">
        <f>IFERROR(INDEX(Personnel[Santiye],$K447),"")</f>
        <v>GPP Proje</v>
      </c>
      <c r="E447" s="18" t="str">
        <f>IFERROR(INDEX(Personnel[Ogretmen],$K447),"")</f>
        <v xml:space="preserve">Ziazetdinov Arslan </v>
      </c>
      <c r="F447" s="17" t="str">
        <f>IFERROR(INDEX(Personnel[[Sinav ]],$K447),"")</f>
        <v>03.07.2026 Sineva gitti gecdi</v>
      </c>
      <c r="G447" s="17" t="str">
        <f>IFERROR(INDEX(Personnel[Egtim durumu],$K447),"")</f>
        <v>Dil egitimi tamamlandi sinavdan gecti</v>
      </c>
      <c r="H447" s="17" t="str">
        <f>IFERROR(INDEX(Personnel[Shohruh Not],$K447),"")</f>
        <v>-</v>
      </c>
      <c r="I447" s="22">
        <f ca="1">IFERROR(INDEX(Personnel[Дней в РФ],$K447),"")</f>
        <v>400</v>
      </c>
      <c r="K447" s="23">
        <f t="array" ref="K447">IFERROR(_xlfn.AGGREGATE(15,6,(ROW(Personnel[Egtim durumu])-MIN(ROW(Personnel[Egtim durumu]))+1)/((Personnel[Egtim durumu]="Dil egitimi tamamlandi sinavdan gecti")),ROWS($K$7:K447)),"")</f>
        <v>535</v>
      </c>
    </row>
    <row r="448" spans="1:11" x14ac:dyDescent="0.25">
      <c r="A448" s="40">
        <f>IFERROR(INDEX(Personnel[Sicil],$K448),"")</f>
        <v>507174</v>
      </c>
      <c r="B448" s="41" t="str">
        <f>IFERROR(INDEX(Personnel[Adi Soyadi],$K448),"")</f>
        <v>Бекчанов Улугбек Рахимберганович</v>
      </c>
      <c r="C448" s="40" t="str">
        <f>IFERROR(INDEX(Personnel[Vatandaslik],$K448),"")</f>
        <v>УЗБЕКИСТАН</v>
      </c>
      <c r="D448" s="40" t="str">
        <f>IFERROR(INDEX(Personnel[Santiye],$K448),"")</f>
        <v>GPP Proje</v>
      </c>
      <c r="E448" s="40" t="str">
        <f>IFERROR(INDEX(Personnel[Ogretmen],$K448),"")</f>
        <v xml:space="preserve">Ziazetdinov Arslan </v>
      </c>
      <c r="F448" s="41" t="str">
        <f>IFERROR(INDEX(Personnel[[Sinav ]],$K448),"")</f>
        <v>03.07.2026 Sineva gitti gecdi</v>
      </c>
      <c r="G448" s="41" t="str">
        <f>IFERROR(INDEX(Personnel[Egtim durumu],$K448),"")</f>
        <v>Dil egitimi tamamlandi sinavdan gecti</v>
      </c>
      <c r="H448" s="41" t="str">
        <f>IFERROR(INDEX(Personnel[Shohruh Not],$K448),"")</f>
        <v>-</v>
      </c>
      <c r="I448" s="42">
        <f ca="1">IFERROR(INDEX(Personnel[Дней в РФ],$K448),"")</f>
        <v>60</v>
      </c>
      <c r="K448" s="23">
        <f t="array" ref="K448">IFERROR(_xlfn.AGGREGATE(15,6,(ROW(Personnel[Egtim durumu])-MIN(ROW(Personnel[Egtim durumu]))+1)/((Personnel[Egtim durumu]="Dil egitimi tamamlandi sinavdan gecti")),ROWS($K$7:K448)),"")</f>
        <v>537</v>
      </c>
    </row>
    <row r="449" spans="1:11" ht="38.25" x14ac:dyDescent="0.25">
      <c r="A449" s="18">
        <f>IFERROR(INDEX(Personnel[Sicil],$K449),"")</f>
        <v>645392</v>
      </c>
      <c r="B449" s="17" t="str">
        <f>IFERROR(INDEX(Personnel[Adi Soyadi],$K449),"")</f>
        <v>Каримов Шерзод Джахангирович</v>
      </c>
      <c r="C449" s="18" t="str">
        <f>IFERROR(INDEX(Personnel[Vatandaslik],$K449),"")</f>
        <v>УЗБЕКИСТАН</v>
      </c>
      <c r="D449" s="18" t="str">
        <f>IFERROR(INDEX(Personnel[Santiye],$K449),"")</f>
        <v>GPP Proje</v>
      </c>
      <c r="E449" s="18" t="str">
        <f>IFERROR(INDEX(Personnel[Ogretmen],$K449),"")</f>
        <v>Ziazetdinov Arslan / Ziazetdinov Arslan</v>
      </c>
      <c r="F449" s="17" t="str">
        <f>IFERROR(INDEX(Personnel[[Sinav ]],$K449),"")</f>
        <v>Ic testimizden gecemiyor(29.06.2026 egitime alindi) /09.07.2026 Sineva gitti gecemedi 16.07.2026 Sineva gitti gecdi</v>
      </c>
      <c r="G449" s="17" t="str">
        <f>IFERROR(INDEX(Personnel[Egtim durumu],$K449),"")</f>
        <v>Dil egitimi tamamlandi sinavdan gecti</v>
      </c>
      <c r="H449" s="17">
        <f>IFERROR(INDEX(Personnel[Shohruh Not],$K449),"")</f>
        <v>0</v>
      </c>
      <c r="I449" s="22">
        <f ca="1">IFERROR(INDEX(Personnel[Дней в РФ],$K449),"")</f>
        <v>60</v>
      </c>
      <c r="K449" s="23">
        <f t="array" ref="K449">IFERROR(_xlfn.AGGREGATE(15,6,(ROW(Personnel[Egtim durumu])-MIN(ROW(Personnel[Egtim durumu]))+1)/((Personnel[Egtim durumu]="Dil egitimi tamamlandi sinavdan gecti")),ROWS($K$7:K449)),"")</f>
        <v>538</v>
      </c>
    </row>
    <row r="450" spans="1:11" ht="25.5" x14ac:dyDescent="0.25">
      <c r="A450" s="40">
        <f>IFERROR(INDEX(Personnel[Sicil],$K450),"")</f>
        <v>645384</v>
      </c>
      <c r="B450" s="41" t="str">
        <f>IFERROR(INDEX(Personnel[Adi Soyadi],$K450),"")</f>
        <v>Хударганов Худойшукур Баходир Угли</v>
      </c>
      <c r="C450" s="40" t="str">
        <f>IFERROR(INDEX(Personnel[Vatandaslik],$K450),"")</f>
        <v>УЗБЕКИСТАН</v>
      </c>
      <c r="D450" s="40" t="str">
        <f>IFERROR(INDEX(Personnel[Santiye],$K450),"")</f>
        <v>GPP Proje</v>
      </c>
      <c r="E450" s="40" t="str">
        <f>IFERROR(INDEX(Personnel[Ogretmen],$K450),"")</f>
        <v xml:space="preserve">Ziazetdinov Arslan </v>
      </c>
      <c r="F450" s="41" t="str">
        <f>IFERROR(INDEX(Personnel[[Sinav ]],$K450),"")</f>
        <v>03.07.2026 Sineva gitti gecdi</v>
      </c>
      <c r="G450" s="41" t="str">
        <f>IFERROR(INDEX(Personnel[Egtim durumu],$K450),"")</f>
        <v>Dil egitimi tamamlandi sinavdan gecti</v>
      </c>
      <c r="H450" s="41" t="str">
        <f>IFERROR(INDEX(Personnel[Shohruh Not],$K450),"")</f>
        <v>-</v>
      </c>
      <c r="I450" s="42">
        <f ca="1">IFERROR(INDEX(Personnel[Дней в РФ],$K450),"")</f>
        <v>60</v>
      </c>
      <c r="K450" s="23">
        <f t="array" ref="K450">IFERROR(_xlfn.AGGREGATE(15,6,(ROW(Personnel[Egtim durumu])-MIN(ROW(Personnel[Egtim durumu]))+1)/((Personnel[Egtim durumu]="Dil egitimi tamamlandi sinavdan gecti")),ROWS($K$7:K450)),"")</f>
        <v>539</v>
      </c>
    </row>
    <row r="451" spans="1:11" x14ac:dyDescent="0.25">
      <c r="A451" s="18">
        <f>IFERROR(INDEX(Personnel[Sicil],$K451),"")</f>
        <v>645389</v>
      </c>
      <c r="B451" s="17" t="str">
        <f>IFERROR(INDEX(Personnel[Adi Soyadi],$K451),"")</f>
        <v>Мавлянов Адхам Турсуналиевич</v>
      </c>
      <c r="C451" s="18" t="str">
        <f>IFERROR(INDEX(Personnel[Vatandaslik],$K451),"")</f>
        <v>УЗБЕКИСТАН</v>
      </c>
      <c r="D451" s="18" t="str">
        <f>IFERROR(INDEX(Personnel[Santiye],$K451),"")</f>
        <v>GPP Proje</v>
      </c>
      <c r="E451" s="18" t="str">
        <f>IFERROR(INDEX(Personnel[Ogretmen],$K451),"")</f>
        <v xml:space="preserve">Ziazetdinov Arslan </v>
      </c>
      <c r="F451" s="17" t="str">
        <f>IFERROR(INDEX(Personnel[[Sinav ]],$K451),"")</f>
        <v>07.07.2026 Sineva gitti gecdi</v>
      </c>
      <c r="G451" s="17" t="str">
        <f>IFERROR(INDEX(Personnel[Egtim durumu],$K451),"")</f>
        <v>Dil egitimi tamamlandi sinavdan gecti</v>
      </c>
      <c r="H451" s="17" t="str">
        <f>IFERROR(INDEX(Personnel[Shohruh Not],$K451),"")</f>
        <v>-</v>
      </c>
      <c r="I451" s="22">
        <f ca="1">IFERROR(INDEX(Personnel[Дней в РФ],$K451),"")</f>
        <v>60</v>
      </c>
      <c r="K451" s="23">
        <f t="array" ref="K451">IFERROR(_xlfn.AGGREGATE(15,6,(ROW(Personnel[Egtim durumu])-MIN(ROW(Personnel[Egtim durumu]))+1)/((Personnel[Egtim durumu]="Dil egitimi tamamlandi sinavdan gecti")),ROWS($K$7:K451)),"")</f>
        <v>540</v>
      </c>
    </row>
    <row r="452" spans="1:11" x14ac:dyDescent="0.25">
      <c r="A452" s="40">
        <f>IFERROR(INDEX(Personnel[Sicil],$K452),"")</f>
        <v>645397</v>
      </c>
      <c r="B452" s="41" t="str">
        <f>IFERROR(INDEX(Personnel[Adi Soyadi],$K452),"")</f>
        <v>Мирзажонов Зиёдилло Шерали Угли</v>
      </c>
      <c r="C452" s="40" t="str">
        <f>IFERROR(INDEX(Personnel[Vatandaslik],$K452),"")</f>
        <v>УЗБЕКИСТАН</v>
      </c>
      <c r="D452" s="40" t="str">
        <f>IFERROR(INDEX(Personnel[Santiye],$K452),"")</f>
        <v>GPP Proje</v>
      </c>
      <c r="E452" s="40" t="str">
        <f>IFERROR(INDEX(Personnel[Ogretmen],$K452),"")</f>
        <v xml:space="preserve">Ziazetdinov Arslan </v>
      </c>
      <c r="F452" s="41" t="str">
        <f>IFERROR(INDEX(Personnel[[Sinav ]],$K452),"")</f>
        <v>03.07.2026 Sineva gitti gecdi</v>
      </c>
      <c r="G452" s="41" t="str">
        <f>IFERROR(INDEX(Personnel[Egtim durumu],$K452),"")</f>
        <v>Dil egitimi tamamlandi sinavdan gecti</v>
      </c>
      <c r="H452" s="41" t="str">
        <f>IFERROR(INDEX(Personnel[Shohruh Not],$K452),"")</f>
        <v>-</v>
      </c>
      <c r="I452" s="42">
        <f ca="1">IFERROR(INDEX(Personnel[Дней в РФ],$K452),"")</f>
        <v>60</v>
      </c>
      <c r="K452" s="23">
        <f t="array" ref="K452">IFERROR(_xlfn.AGGREGATE(15,6,(ROW(Personnel[Egtim durumu])-MIN(ROW(Personnel[Egtim durumu]))+1)/((Personnel[Egtim durumu]="Dil egitimi tamamlandi sinavdan gecti")),ROWS($K$7:K452)),"")</f>
        <v>541</v>
      </c>
    </row>
    <row r="453" spans="1:11" x14ac:dyDescent="0.25">
      <c r="A453" s="18">
        <f>IFERROR(INDEX(Personnel[Sicil],$K453),"")</f>
        <v>645388</v>
      </c>
      <c r="B453" s="17" t="str">
        <f>IFERROR(INDEX(Personnel[Adi Soyadi],$K453),"")</f>
        <v>Муссаматов Жохонгир Ражабоевич</v>
      </c>
      <c r="C453" s="18" t="str">
        <f>IFERROR(INDEX(Personnel[Vatandaslik],$K453),"")</f>
        <v>УЗБЕКИСТАН</v>
      </c>
      <c r="D453" s="18" t="str">
        <f>IFERROR(INDEX(Personnel[Santiye],$K453),"")</f>
        <v>GPP Proje</v>
      </c>
      <c r="E453" s="18" t="str">
        <f>IFERROR(INDEX(Personnel[Ogretmen],$K453),"")</f>
        <v xml:space="preserve">Ziazetdinov Arslan </v>
      </c>
      <c r="F453" s="17" t="str">
        <f>IFERROR(INDEX(Personnel[[Sinav ]],$K453),"")</f>
        <v>03.07.2026 Sineva gitti gecdi</v>
      </c>
      <c r="G453" s="17" t="str">
        <f>IFERROR(INDEX(Personnel[Egtim durumu],$K453),"")</f>
        <v>Dil egitimi tamamlandi sinavdan gecti</v>
      </c>
      <c r="H453" s="17" t="str">
        <f>IFERROR(INDEX(Personnel[Shohruh Not],$K453),"")</f>
        <v>-</v>
      </c>
      <c r="I453" s="22">
        <f ca="1">IFERROR(INDEX(Personnel[Дней в РФ],$K453),"")</f>
        <v>60</v>
      </c>
      <c r="K453" s="23">
        <f t="array" ref="K453">IFERROR(_xlfn.AGGREGATE(15,6,(ROW(Personnel[Egtim durumu])-MIN(ROW(Personnel[Egtim durumu]))+1)/((Personnel[Egtim durumu]="Dil egitimi tamamlandi sinavdan gecti")),ROWS($K$7:K453)),"")</f>
        <v>543</v>
      </c>
    </row>
    <row r="454" spans="1:11" x14ac:dyDescent="0.25">
      <c r="A454" s="40">
        <f>IFERROR(INDEX(Personnel[Sicil],$K454),"")</f>
        <v>645383</v>
      </c>
      <c r="B454" s="41" t="str">
        <f>IFERROR(INDEX(Personnel[Adi Soyadi],$K454),"")</f>
        <v>Рахимов Бабамурад Олимбаевич</v>
      </c>
      <c r="C454" s="40" t="str">
        <f>IFERROR(INDEX(Personnel[Vatandaslik],$K454),"")</f>
        <v>УЗБЕКИСТАН</v>
      </c>
      <c r="D454" s="40" t="str">
        <f>IFERROR(INDEX(Personnel[Santiye],$K454),"")</f>
        <v>GPP Proje</v>
      </c>
      <c r="E454" s="40" t="str">
        <f>IFERROR(INDEX(Personnel[Ogretmen],$K454),"")</f>
        <v xml:space="preserve">Ziazetdinov Arslan </v>
      </c>
      <c r="F454" s="41" t="str">
        <f>IFERROR(INDEX(Personnel[[Sinav ]],$K454),"")</f>
        <v>07.07.2026 Sineva gitti gecdi</v>
      </c>
      <c r="G454" s="41" t="str">
        <f>IFERROR(INDEX(Personnel[Egtim durumu],$K454),"")</f>
        <v>Dil egitimi tamamlandi sinavdan gecti</v>
      </c>
      <c r="H454" s="41" t="str">
        <f>IFERROR(INDEX(Personnel[Shohruh Not],$K454),"")</f>
        <v>-</v>
      </c>
      <c r="I454" s="42">
        <f ca="1">IFERROR(INDEX(Personnel[Дней в РФ],$K454),"")</f>
        <v>60</v>
      </c>
      <c r="K454" s="23">
        <f t="array" ref="K454">IFERROR(_xlfn.AGGREGATE(15,6,(ROW(Personnel[Egtim durumu])-MIN(ROW(Personnel[Egtim durumu]))+1)/((Personnel[Egtim durumu]="Dil egitimi tamamlandi sinavdan gecti")),ROWS($K$7:K454)),"")</f>
        <v>544</v>
      </c>
    </row>
    <row r="455" spans="1:11" ht="38.25" x14ac:dyDescent="0.25">
      <c r="A455" s="18">
        <f>IFERROR(INDEX(Personnel[Sicil],$K455),"")</f>
        <v>645394</v>
      </c>
      <c r="B455" s="17" t="str">
        <f>IFERROR(INDEX(Personnel[Adi Soyadi],$K455),"")</f>
        <v>Рузимов Ойбек Каримбаевич</v>
      </c>
      <c r="C455" s="18" t="str">
        <f>IFERROR(INDEX(Personnel[Vatandaslik],$K455),"")</f>
        <v>УЗБЕКИСТАН</v>
      </c>
      <c r="D455" s="18" t="str">
        <f>IFERROR(INDEX(Personnel[Santiye],$K455),"")</f>
        <v>GPP Proje</v>
      </c>
      <c r="E455" s="18" t="str">
        <f>IFERROR(INDEX(Personnel[Ogretmen],$K455),"")</f>
        <v>Ziazetdinov Arslan / Ziazetdinov Arslan</v>
      </c>
      <c r="F455" s="17" t="str">
        <f>IFERROR(INDEX(Personnel[[Sinav ]],$K455),"")</f>
        <v>Ic testimizden gecemiyor(02.07.2026 egitime alindi) /09.07.2026 Sineva gitti gecdi</v>
      </c>
      <c r="G455" s="17" t="str">
        <f>IFERROR(INDEX(Personnel[Egtim durumu],$K455),"")</f>
        <v>Dil egitimi tamamlandi sinavdan gecti</v>
      </c>
      <c r="H455" s="17" t="str">
        <f>IFERROR(INDEX(Personnel[Shohruh Not],$K455),"")</f>
        <v>-</v>
      </c>
      <c r="I455" s="22">
        <f ca="1">IFERROR(INDEX(Personnel[Дней в РФ],$K455),"")</f>
        <v>60</v>
      </c>
      <c r="K455" s="23">
        <f t="array" ref="K455">IFERROR(_xlfn.AGGREGATE(15,6,(ROW(Personnel[Egtim durumu])-MIN(ROW(Personnel[Egtim durumu]))+1)/((Personnel[Egtim durumu]="Dil egitimi tamamlandi sinavdan gecti")),ROWS($K$7:K455)),"")</f>
        <v>545</v>
      </c>
    </row>
    <row r="456" spans="1:11" x14ac:dyDescent="0.25">
      <c r="A456" s="40">
        <f>IFERROR(INDEX(Personnel[Sicil],$K456),"")</f>
        <v>440766</v>
      </c>
      <c r="B456" s="41" t="str">
        <f>IFERROR(INDEX(Personnel[Adi Soyadi],$K456),"")</f>
        <v>Шарипов Давлатмурод Зувайдович</v>
      </c>
      <c r="C456" s="40" t="str">
        <f>IFERROR(INDEX(Personnel[Vatandaslik],$K456),"")</f>
        <v>ТАДЖИКИСТАН</v>
      </c>
      <c r="D456" s="40" t="str">
        <f>IFERROR(INDEX(Personnel[Santiye],$K456),"")</f>
        <v>GPP Proje</v>
      </c>
      <c r="E456" s="40" t="str">
        <f>IFERROR(INDEX(Personnel[Ogretmen],$K456),"")</f>
        <v xml:space="preserve">Ziazetdinov Arslan </v>
      </c>
      <c r="F456" s="41" t="str">
        <f>IFERROR(INDEX(Personnel[[Sinav ]],$K456),"")</f>
        <v>07.07.2026 Sineva gitti gecdi</v>
      </c>
      <c r="G456" s="41" t="str">
        <f>IFERROR(INDEX(Personnel[Egtim durumu],$K456),"")</f>
        <v>Dil egitimi tamamlandi sinavdan gecti</v>
      </c>
      <c r="H456" s="41" t="str">
        <f>IFERROR(INDEX(Personnel[Shohruh Not],$K456),"")</f>
        <v>-</v>
      </c>
      <c r="I456" s="42">
        <f ca="1">IFERROR(INDEX(Personnel[Дней в РФ],$K456),"")</f>
        <v>59</v>
      </c>
      <c r="K456" s="23">
        <f t="array" ref="K456">IFERROR(_xlfn.AGGREGATE(15,6,(ROW(Personnel[Egtim durumu])-MIN(ROW(Personnel[Egtim durumu]))+1)/((Personnel[Egtim durumu]="Dil egitimi tamamlandi sinavdan gecti")),ROWS($K$7:K456)),"")</f>
        <v>546</v>
      </c>
    </row>
    <row r="457" spans="1:11" ht="25.5" x14ac:dyDescent="0.25">
      <c r="A457" s="18">
        <f>IFERROR(INDEX(Personnel[Sicil],$K457),"")</f>
        <v>645386</v>
      </c>
      <c r="B457" s="17" t="str">
        <f>IFERROR(INDEX(Personnel[Adi Soyadi],$K457),"")</f>
        <v>Шомуратов Жалоладдин Журабек Угли</v>
      </c>
      <c r="C457" s="18" t="str">
        <f>IFERROR(INDEX(Personnel[Vatandaslik],$K457),"")</f>
        <v>УЗБЕКИСТАН</v>
      </c>
      <c r="D457" s="18" t="str">
        <f>IFERROR(INDEX(Personnel[Santiye],$K457),"")</f>
        <v>GPP Proje</v>
      </c>
      <c r="E457" s="18" t="str">
        <f>IFERROR(INDEX(Personnel[Ogretmen],$K457),"")</f>
        <v xml:space="preserve">Ziazetdinov Arslan </v>
      </c>
      <c r="F457" s="17" t="str">
        <f>IFERROR(INDEX(Personnel[[Sinav ]],$K457),"")</f>
        <v>03.07.2026 Sineva gitti gecdi</v>
      </c>
      <c r="G457" s="17" t="str">
        <f>IFERROR(INDEX(Personnel[Egtim durumu],$K457),"")</f>
        <v>Dil egitimi tamamlandi sinavdan gecti</v>
      </c>
      <c r="H457" s="17" t="str">
        <f>IFERROR(INDEX(Personnel[Shohruh Not],$K457),"")</f>
        <v>-</v>
      </c>
      <c r="I457" s="22">
        <f ca="1">IFERROR(INDEX(Personnel[Дней в РФ],$K457),"")</f>
        <v>60</v>
      </c>
      <c r="K457" s="23">
        <f t="array" ref="K457">IFERROR(_xlfn.AGGREGATE(15,6,(ROW(Personnel[Egtim durumu])-MIN(ROW(Personnel[Egtim durumu]))+1)/((Personnel[Egtim durumu]="Dil egitimi tamamlandi sinavdan gecti")),ROWS($K$7:K457)),"")</f>
        <v>547</v>
      </c>
    </row>
    <row r="458" spans="1:11" x14ac:dyDescent="0.25">
      <c r="A458" s="40">
        <f>IFERROR(INDEX(Personnel[Sicil],$K458),"")</f>
        <v>645391</v>
      </c>
      <c r="B458" s="41" t="str">
        <f>IFERROR(INDEX(Personnel[Adi Soyadi],$K458),"")</f>
        <v>Умаров Алишер Фахритдинович</v>
      </c>
      <c r="C458" s="40" t="str">
        <f>IFERROR(INDEX(Personnel[Vatandaslik],$K458),"")</f>
        <v>УЗБЕКИСТАН</v>
      </c>
      <c r="D458" s="40" t="str">
        <f>IFERROR(INDEX(Personnel[Santiye],$K458),"")</f>
        <v>GPP Proje</v>
      </c>
      <c r="E458" s="40" t="str">
        <f>IFERROR(INDEX(Personnel[Ogretmen],$K458),"")</f>
        <v xml:space="preserve">Ziazetdinov Arslan </v>
      </c>
      <c r="F458" s="41" t="str">
        <f>IFERROR(INDEX(Personnel[[Sinav ]],$K458),"")</f>
        <v>03.07.2026 Sineva gitti gecdi</v>
      </c>
      <c r="G458" s="41" t="str">
        <f>IFERROR(INDEX(Personnel[Egtim durumu],$K458),"")</f>
        <v>Dil egitimi tamamlandi sinavdan gecti</v>
      </c>
      <c r="H458" s="41" t="str">
        <f>IFERROR(INDEX(Personnel[Shohruh Not],$K458),"")</f>
        <v>-</v>
      </c>
      <c r="I458" s="42">
        <f ca="1">IFERROR(INDEX(Personnel[Дней в РФ],$K458),"")</f>
        <v>60</v>
      </c>
      <c r="K458" s="23">
        <f t="array" ref="K458">IFERROR(_xlfn.AGGREGATE(15,6,(ROW(Personnel[Egtim durumu])-MIN(ROW(Personnel[Egtim durumu]))+1)/((Personnel[Egtim durumu]="Dil egitimi tamamlandi sinavdan gecti")),ROWS($K$7:K458)),"")</f>
        <v>549</v>
      </c>
    </row>
    <row r="459" spans="1:11" x14ac:dyDescent="0.25">
      <c r="A459" s="18">
        <f>IFERROR(INDEX(Personnel[Sicil],$K459),"")</f>
        <v>637823</v>
      </c>
      <c r="B459" s="17" t="str">
        <f>IFERROR(INDEX(Personnel[Adi Soyadi],$K459),"")</f>
        <v>Абдуллаев Даянч Мергенович</v>
      </c>
      <c r="C459" s="18" t="str">
        <f>IFERROR(INDEX(Personnel[Vatandaslik],$K459),"")</f>
        <v>УЗБЕКИСТАН</v>
      </c>
      <c r="D459" s="18" t="str">
        <f>IFERROR(INDEX(Personnel[Santiye],$K459),"")</f>
        <v>GPP Proje</v>
      </c>
      <c r="E459" s="18" t="str">
        <f>IFERROR(INDEX(Personnel[Ogretmen],$K459),"")</f>
        <v xml:space="preserve">Ziazetdinov Arslan </v>
      </c>
      <c r="F459" s="17" t="str">
        <f>IFERROR(INDEX(Personnel[[Sinav ]],$K459),"")</f>
        <v>14.07.2026 Sineva gitti gecdi</v>
      </c>
      <c r="G459" s="17" t="str">
        <f>IFERROR(INDEX(Personnel[Egtim durumu],$K459),"")</f>
        <v>Dil egitimi tamamlandi sinavdan gecti</v>
      </c>
      <c r="H459" s="17" t="str">
        <f>IFERROR(INDEX(Personnel[Shohruh Not],$K459),"")</f>
        <v>-</v>
      </c>
      <c r="I459" s="22">
        <f ca="1">IFERROR(INDEX(Personnel[Дней в РФ],$K459),"")</f>
        <v>382</v>
      </c>
      <c r="K459" s="23">
        <f t="array" ref="K459">IFERROR(_xlfn.AGGREGATE(15,6,(ROW(Personnel[Egtim durumu])-MIN(ROW(Personnel[Egtim durumu]))+1)/((Personnel[Egtim durumu]="Dil egitimi tamamlandi sinavdan gecti")),ROWS($K$7:K459)),"")</f>
        <v>551</v>
      </c>
    </row>
    <row r="460" spans="1:11" ht="25.5" x14ac:dyDescent="0.25">
      <c r="A460" s="40">
        <f>IFERROR(INDEX(Personnel[Sicil],$K460),"")</f>
        <v>631638</v>
      </c>
      <c r="B460" s="41" t="str">
        <f>IFERROR(INDEX(Personnel[Adi Soyadi],$K460),"")</f>
        <v>Эргашев Хосилбек Отабек Угли</v>
      </c>
      <c r="C460" s="40" t="str">
        <f>IFERROR(INDEX(Personnel[Vatandaslik],$K460),"")</f>
        <v>УЗБЕКИСТАН</v>
      </c>
      <c r="D460" s="40" t="str">
        <f>IFERROR(INDEX(Personnel[Santiye],$K460),"")</f>
        <v>GPP Proje</v>
      </c>
      <c r="E460" s="40" t="str">
        <f>IFERROR(INDEX(Personnel[Ogretmen],$K460),"")</f>
        <v>Tyulina Natalya / Ziaztdinov Arslan</v>
      </c>
      <c r="F460" s="41" t="str">
        <f>IFERROR(INDEX(Personnel[[Sinav ]],$K460),"")</f>
        <v>13.07.2026 Sineva gitti gecemedi 20.07.2026 Sineva gitti gecdi</v>
      </c>
      <c r="G460" s="41" t="str">
        <f>IFERROR(INDEX(Personnel[Egtim durumu],$K460),"")</f>
        <v>Dil egitimi tamamlandi sinavdan gecti</v>
      </c>
      <c r="H460" s="41" t="str">
        <f>IFERROR(INDEX(Personnel[Shohruh Not],$K460),"")</f>
        <v xml:space="preserve"> Tarih 05.07.2026 Sineve bilgi verildi gelmedi  PV</v>
      </c>
      <c r="I460" s="42">
        <f ca="1">IFERROR(INDEX(Personnel[Дней в РФ],$K460),"")</f>
        <v>68</v>
      </c>
      <c r="K460" s="23">
        <f t="array" ref="K460">IFERROR(_xlfn.AGGREGATE(15,6,(ROW(Personnel[Egtim durumu])-MIN(ROW(Personnel[Egtim durumu]))+1)/((Personnel[Egtim durumu]="Dil egitimi tamamlandi sinavdan gecti")),ROWS($K$7:K460)),"")</f>
        <v>552</v>
      </c>
    </row>
    <row r="461" spans="1:11" x14ac:dyDescent="0.25">
      <c r="A461" s="18">
        <f>IFERROR(INDEX(Personnel[Sicil],$K461),"")</f>
        <v>636993</v>
      </c>
      <c r="B461" s="17" t="str">
        <f>IFERROR(INDEX(Personnel[Adi Soyadi],$K461),"")</f>
        <v>Холбоев Жавлонбек Валижонович</v>
      </c>
      <c r="C461" s="18" t="str">
        <f>IFERROR(INDEX(Personnel[Vatandaslik],$K461),"")</f>
        <v>УЗБЕКИСТАН</v>
      </c>
      <c r="D461" s="18" t="str">
        <f>IFERROR(INDEX(Personnel[Santiye],$K461),"")</f>
        <v>GPP Proje</v>
      </c>
      <c r="E461" s="18" t="str">
        <f>IFERROR(INDEX(Personnel[Ogretmen],$K461),"")</f>
        <v>-</v>
      </c>
      <c r="F461" s="17" t="str">
        <f>IFERROR(INDEX(Personnel[[Sinav ]],$K461),"")</f>
        <v>07.07.2026 Sineva gitti gecdi</v>
      </c>
      <c r="G461" s="17" t="str">
        <f>IFERROR(INDEX(Personnel[Egtim durumu],$K461),"")</f>
        <v>Dil egitimi tamamlandi sinavdan gecti</v>
      </c>
      <c r="H461" s="17" t="str">
        <f>IFERROR(INDEX(Personnel[Shohruh Not],$K461),"")</f>
        <v>-</v>
      </c>
      <c r="I461" s="22">
        <f ca="1">IFERROR(INDEX(Personnel[Дней в РФ],$K461),"")</f>
        <v>404</v>
      </c>
      <c r="K461" s="23">
        <f t="array" ref="K461">IFERROR(_xlfn.AGGREGATE(15,6,(ROW(Personnel[Egtim durumu])-MIN(ROW(Personnel[Egtim durumu]))+1)/((Personnel[Egtim durumu]="Dil egitimi tamamlandi sinavdan gecti")),ROWS($K$7:K461)),"")</f>
        <v>553</v>
      </c>
    </row>
    <row r="462" spans="1:11" x14ac:dyDescent="0.25">
      <c r="A462" s="40">
        <f>IFERROR(INDEX(Personnel[Sicil],$K462),"")</f>
        <v>270946</v>
      </c>
      <c r="B462" s="41" t="str">
        <f>IFERROR(INDEX(Personnel[Adi Soyadi],$K462),"")</f>
        <v>Курбанов Кемал Аметдурдыевич</v>
      </c>
      <c r="C462" s="40" t="str">
        <f>IFERROR(INDEX(Personnel[Vatandaslik],$K462),"")</f>
        <v>УЗБЕКИСТАН</v>
      </c>
      <c r="D462" s="40" t="str">
        <f>IFERROR(INDEX(Personnel[Santiye],$K462),"")</f>
        <v>GPP Proje</v>
      </c>
      <c r="E462" s="40" t="str">
        <f>IFERROR(INDEX(Personnel[Ogretmen],$K462),"")</f>
        <v>-</v>
      </c>
      <c r="F462" s="41" t="str">
        <f>IFERROR(INDEX(Personnel[[Sinav ]],$K462),"")</f>
        <v>13.07.2026 Sineva gitti gecdi</v>
      </c>
      <c r="G462" s="41" t="str">
        <f>IFERROR(INDEX(Personnel[Egtim durumu],$K462),"")</f>
        <v>Dil egitimi tamamlandi sinavdan gecti</v>
      </c>
      <c r="H462" s="41" t="str">
        <f>IFERROR(INDEX(Personnel[Shohruh Not],$K462),"")</f>
        <v>-</v>
      </c>
      <c r="I462" s="42">
        <f ca="1">IFERROR(INDEX(Personnel[Дней в РФ],$K462),"")</f>
        <v>383</v>
      </c>
      <c r="K462" s="23">
        <f t="array" ref="K462">IFERROR(_xlfn.AGGREGATE(15,6,(ROW(Personnel[Egtim durumu])-MIN(ROW(Personnel[Egtim durumu]))+1)/((Personnel[Egtim durumu]="Dil egitimi tamamlandi sinavdan gecti")),ROWS($K$7:K462)),"")</f>
        <v>554</v>
      </c>
    </row>
    <row r="463" spans="1:11" x14ac:dyDescent="0.25">
      <c r="A463" s="18">
        <f>IFERROR(INDEX(Personnel[Sicil],$K463),"")</f>
        <v>429568</v>
      </c>
      <c r="B463" s="17" t="str">
        <f>IFERROR(INDEX(Personnel[Adi Soyadi],$K463),"")</f>
        <v>Матякубов Гуломжон Садуллаевич</v>
      </c>
      <c r="C463" s="18" t="str">
        <f>IFERROR(INDEX(Personnel[Vatandaslik],$K463),"")</f>
        <v>УЗБЕКИСТАН</v>
      </c>
      <c r="D463" s="18" t="str">
        <f>IFERROR(INDEX(Personnel[Santiye],$K463),"")</f>
        <v>GPP Proje</v>
      </c>
      <c r="E463" s="18" t="str">
        <f>IFERROR(INDEX(Personnel[Ogretmen],$K463),"")</f>
        <v>-</v>
      </c>
      <c r="F463" s="17" t="str">
        <f>IFERROR(INDEX(Personnel[[Sinav ]],$K463),"")</f>
        <v>07.07.2026 Sineva gitti gecdi</v>
      </c>
      <c r="G463" s="17" t="str">
        <f>IFERROR(INDEX(Personnel[Egtim durumu],$K463),"")</f>
        <v>Dil egitimi tamamlandi sinavdan gecti</v>
      </c>
      <c r="H463" s="17" t="str">
        <f>IFERROR(INDEX(Personnel[Shohruh Not],$K463),"")</f>
        <v>-</v>
      </c>
      <c r="I463" s="22">
        <f ca="1">IFERROR(INDEX(Personnel[Дней в РФ],$K463),"")</f>
        <v>168</v>
      </c>
      <c r="K463" s="23">
        <f t="array" ref="K463">IFERROR(_xlfn.AGGREGATE(15,6,(ROW(Personnel[Egtim durumu])-MIN(ROW(Personnel[Egtim durumu]))+1)/((Personnel[Egtim durumu]="Dil egitimi tamamlandi sinavdan gecti")),ROWS($K$7:K463)),"")</f>
        <v>555</v>
      </c>
    </row>
    <row r="464" spans="1:11" ht="25.5" x14ac:dyDescent="0.25">
      <c r="A464" s="40">
        <f>IFERROR(INDEX(Personnel[Sicil],$K464),"")</f>
        <v>613888</v>
      </c>
      <c r="B464" s="41" t="str">
        <f>IFERROR(INDEX(Personnel[Adi Soyadi],$K464),"")</f>
        <v>Сафаржонов Алимардон Алишер Угли</v>
      </c>
      <c r="C464" s="40" t="str">
        <f>IFERROR(INDEX(Personnel[Vatandaslik],$K464),"")</f>
        <v>УЗБЕКИСТАН</v>
      </c>
      <c r="D464" s="40" t="str">
        <f>IFERROR(INDEX(Personnel[Santiye],$K464),"")</f>
        <v>GPP Proje</v>
      </c>
      <c r="E464" s="40" t="str">
        <f>IFERROR(INDEX(Personnel[Ogretmen],$K464),"")</f>
        <v xml:space="preserve">Ziazetdinov Arslan </v>
      </c>
      <c r="F464" s="41" t="str">
        <f>IFERROR(INDEX(Personnel[[Sinav ]],$K464),"")</f>
        <v>09.07.2026 Sineva gitti gecdi</v>
      </c>
      <c r="G464" s="41" t="str">
        <f>IFERROR(INDEX(Personnel[Egtim durumu],$K464),"")</f>
        <v>Dil egitimi tamamlandi sinavdan gecti</v>
      </c>
      <c r="H464" s="41" t="str">
        <f>IFERROR(INDEX(Personnel[Shohruh Not],$K464),"")</f>
        <v>-</v>
      </c>
      <c r="I464" s="42">
        <f ca="1">IFERROR(INDEX(Personnel[Дней в РФ],$K464),"")</f>
        <v>761</v>
      </c>
      <c r="K464" s="23">
        <f t="array" ref="K464">IFERROR(_xlfn.AGGREGATE(15,6,(ROW(Personnel[Egtim durumu])-MIN(ROW(Personnel[Egtim durumu]))+1)/((Personnel[Egtim durumu]="Dil egitimi tamamlandi sinavdan gecti")),ROWS($K$7:K464)),"")</f>
        <v>556</v>
      </c>
    </row>
    <row r="465" spans="1:11" ht="25.5" x14ac:dyDescent="0.25">
      <c r="A465" s="18">
        <f>IFERROR(INDEX(Personnel[Sicil],$K465),"")</f>
        <v>634712</v>
      </c>
      <c r="B465" s="17" t="str">
        <f>IFERROR(INDEX(Personnel[Adi Soyadi],$K465),"")</f>
        <v>Сарманов Шокир Пардабоевич</v>
      </c>
      <c r="C465" s="18" t="str">
        <f>IFERROR(INDEX(Personnel[Vatandaslik],$K465),"")</f>
        <v>УЗБЕКИСТАН</v>
      </c>
      <c r="D465" s="18" t="str">
        <f>IFERROR(INDEX(Personnel[Santiye],$K465),"")</f>
        <v>GPP Proje</v>
      </c>
      <c r="E465" s="18" t="str">
        <f>IFERROR(INDEX(Personnel[Ogretmen],$K465),"")</f>
        <v>Tyulina Natalya</v>
      </c>
      <c r="F465" s="17" t="str">
        <f>IFERROR(INDEX(Personnel[[Sinav ]],$K465),"")</f>
        <v>13.07.2026 Sineva gitti gecdi</v>
      </c>
      <c r="G465" s="17" t="str">
        <f>IFERROR(INDEX(Personnel[Egtim durumu],$K465),"")</f>
        <v>Dil egitimi tamamlandi sinavdan gecti</v>
      </c>
      <c r="H465" s="17" t="str">
        <f>IFERROR(INDEX(Personnel[Shohruh Not],$K465),"")</f>
        <v xml:space="preserve"> Tarih 05.07.2026 Sineve bilgi verildi gelmedi  PV</v>
      </c>
      <c r="I465" s="22">
        <f ca="1">IFERROR(INDEX(Personnel[Дней в РФ],$K465),"")</f>
        <v>389</v>
      </c>
      <c r="K465" s="23">
        <f t="array" ref="K465">IFERROR(_xlfn.AGGREGATE(15,6,(ROW(Personnel[Egtim durumu])-MIN(ROW(Personnel[Egtim durumu]))+1)/((Personnel[Egtim durumu]="Dil egitimi tamamlandi sinavdan gecti")),ROWS($K$7:K465)),"")</f>
        <v>557</v>
      </c>
    </row>
    <row r="466" spans="1:11" ht="38.25" x14ac:dyDescent="0.25">
      <c r="A466" s="40">
        <f>IFERROR(INDEX(Personnel[Sicil],$K466),"")</f>
        <v>645533</v>
      </c>
      <c r="B466" s="41" t="str">
        <f>IFERROR(INDEX(Personnel[Adi Soyadi],$K466),"")</f>
        <v>Бобожонов Курбонназар Бозорбоевич</v>
      </c>
      <c r="C466" s="40" t="str">
        <f>IFERROR(INDEX(Personnel[Vatandaslik],$K466),"")</f>
        <v>УЗБЕКИСТАН</v>
      </c>
      <c r="D466" s="40" t="str">
        <f>IFERROR(INDEX(Personnel[Santiye],$K466),"")</f>
        <v>GPP Proje</v>
      </c>
      <c r="E466" s="40" t="str">
        <f>IFERROR(INDEX(Personnel[Ogretmen],$K466),"")</f>
        <v>Ziazetdinov Arslan / Ziazetdinov Arslan</v>
      </c>
      <c r="F466" s="41" t="str">
        <f>IFERROR(INDEX(Personnel[[Sinav ]],$K466),"")</f>
        <v>Ic testimizden gecemiyor(02.07.2026 egitime alindi) /09.07.2026 Sineva gitti gecdi</v>
      </c>
      <c r="G466" s="41" t="str">
        <f>IFERROR(INDEX(Personnel[Egtim durumu],$K466),"")</f>
        <v>Dil egitimi tamamlandi sinavdan gecti</v>
      </c>
      <c r="H466" s="41" t="str">
        <f>IFERROR(INDEX(Personnel[Shohruh Not],$K466),"")</f>
        <v>-</v>
      </c>
      <c r="I466" s="42">
        <f ca="1">IFERROR(INDEX(Personnel[Дней в РФ],$K466),"")</f>
        <v>57</v>
      </c>
      <c r="K466" s="23">
        <f t="array" ref="K466">IFERROR(_xlfn.AGGREGATE(15,6,(ROW(Personnel[Egtim durumu])-MIN(ROW(Personnel[Egtim durumu]))+1)/((Personnel[Egtim durumu]="Dil egitimi tamamlandi sinavdan gecti")),ROWS($K$7:K466)),"")</f>
        <v>559</v>
      </c>
    </row>
    <row r="467" spans="1:11" ht="38.25" x14ac:dyDescent="0.25">
      <c r="A467" s="18">
        <f>IFERROR(INDEX(Personnel[Sicil],$K467),"")</f>
        <v>645531</v>
      </c>
      <c r="B467" s="17" t="str">
        <f>IFERROR(INDEX(Personnel[Adi Soyadi],$K467),"")</f>
        <v>Файзиев Бобомурод Сайфуллаевич</v>
      </c>
      <c r="C467" s="18" t="str">
        <f>IFERROR(INDEX(Personnel[Vatandaslik],$K467),"")</f>
        <v>УЗБЕКИСТАН</v>
      </c>
      <c r="D467" s="18" t="str">
        <f>IFERROR(INDEX(Personnel[Santiye],$K467),"")</f>
        <v>GPP Proje</v>
      </c>
      <c r="E467" s="18" t="str">
        <f>IFERROR(INDEX(Personnel[Ogretmen],$K467),"")</f>
        <v>Ziazetdinov Arslan / Ziazetdinov Arslan</v>
      </c>
      <c r="F467" s="17" t="str">
        <f>IFERROR(INDEX(Personnel[[Sinav ]],$K467),"")</f>
        <v>Ic testimizden gecemiyor(02.07.2026 egitime alindi) /09.07.2026 Sineva gitti gecdi</v>
      </c>
      <c r="G467" s="17" t="str">
        <f>IFERROR(INDEX(Personnel[Egtim durumu],$K467),"")</f>
        <v>Dil egitimi tamamlandi sinavdan gecti</v>
      </c>
      <c r="H467" s="17" t="str">
        <f>IFERROR(INDEX(Personnel[Shohruh Not],$K467),"")</f>
        <v>-</v>
      </c>
      <c r="I467" s="22">
        <f ca="1">IFERROR(INDEX(Personnel[Дней в РФ],$K467),"")</f>
        <v>57</v>
      </c>
      <c r="K467" s="23">
        <f t="array" ref="K467">IFERROR(_xlfn.AGGREGATE(15,6,(ROW(Personnel[Egtim durumu])-MIN(ROW(Personnel[Egtim durumu]))+1)/((Personnel[Egtim durumu]="Dil egitimi tamamlandi sinavdan gecti")),ROWS($K$7:K467)),"")</f>
        <v>560</v>
      </c>
    </row>
    <row r="468" spans="1:11" ht="25.5" x14ac:dyDescent="0.25">
      <c r="A468" s="40">
        <f>IFERROR(INDEX(Personnel[Sicil],$K468),"")</f>
        <v>592789</v>
      </c>
      <c r="B468" s="41" t="str">
        <f>IFERROR(INDEX(Personnel[Adi Soyadi],$K468),"")</f>
        <v>Исмоилов Мухаммаджон Олимжон угли</v>
      </c>
      <c r="C468" s="40" t="str">
        <f>IFERROR(INDEX(Personnel[Vatandaslik],$K468),"")</f>
        <v>УЗБЕКИСТАН</v>
      </c>
      <c r="D468" s="40" t="str">
        <f>IFERROR(INDEX(Personnel[Santiye],$K468),"")</f>
        <v>GPP Proje</v>
      </c>
      <c r="E468" s="40" t="str">
        <f>IFERROR(INDEX(Personnel[Ogretmen],$K468),"")</f>
        <v>-</v>
      </c>
      <c r="F468" s="41" t="str">
        <f>IFERROR(INDEX(Personnel[[Sinav ]],$K468),"")</f>
        <v>07.07.2026 Sineva gitti gecdi</v>
      </c>
      <c r="G468" s="41" t="str">
        <f>IFERROR(INDEX(Personnel[Egtim durumu],$K468),"")</f>
        <v>Dil egitimi tamamlandi sinavdan gecti</v>
      </c>
      <c r="H468" s="41" t="str">
        <f>IFERROR(INDEX(Personnel[Shohruh Not],$K468),"")</f>
        <v>-</v>
      </c>
      <c r="I468" s="42">
        <f ca="1">IFERROR(INDEX(Personnel[Дней в РФ],$K468),"")</f>
        <v>59</v>
      </c>
      <c r="K468" s="23">
        <f t="array" ref="K468">IFERROR(_xlfn.AGGREGATE(15,6,(ROW(Personnel[Egtim durumu])-MIN(ROW(Personnel[Egtim durumu]))+1)/((Personnel[Egtim durumu]="Dil egitimi tamamlandi sinavdan gecti")),ROWS($K$7:K468)),"")</f>
        <v>561</v>
      </c>
    </row>
    <row r="469" spans="1:11" x14ac:dyDescent="0.25">
      <c r="A469" s="18">
        <f>IFERROR(INDEX(Personnel[Sicil],$K469),"")</f>
        <v>645536</v>
      </c>
      <c r="B469" s="17" t="str">
        <f>IFERROR(INDEX(Personnel[Adi Soyadi],$K469),"")</f>
        <v>Омонбоев Жамшидбек Хамро Угли</v>
      </c>
      <c r="C469" s="18" t="str">
        <f>IFERROR(INDEX(Personnel[Vatandaslik],$K469),"")</f>
        <v>УЗБЕКИСТАН</v>
      </c>
      <c r="D469" s="18" t="str">
        <f>IFERROR(INDEX(Personnel[Santiye],$K469),"")</f>
        <v>GPP Proje</v>
      </c>
      <c r="E469" s="18" t="str">
        <f>IFERROR(INDEX(Personnel[Ogretmen],$K469),"")</f>
        <v xml:space="preserve">Ziazetdinov Arslan </v>
      </c>
      <c r="F469" s="17" t="str">
        <f>IFERROR(INDEX(Personnel[[Sinav ]],$K469),"")</f>
        <v>07.07.2026 Sineva gitti gecdi</v>
      </c>
      <c r="G469" s="17" t="str">
        <f>IFERROR(INDEX(Personnel[Egtim durumu],$K469),"")</f>
        <v>Dil egitimi tamamlandi sinavdan gecti</v>
      </c>
      <c r="H469" s="17" t="str">
        <f>IFERROR(INDEX(Personnel[Shohruh Not],$K469),"")</f>
        <v>-</v>
      </c>
      <c r="I469" s="22">
        <f ca="1">IFERROR(INDEX(Personnel[Дней в РФ],$K469),"")</f>
        <v>57</v>
      </c>
      <c r="K469" s="23">
        <f t="array" ref="K469">IFERROR(_xlfn.AGGREGATE(15,6,(ROW(Personnel[Egtim durumu])-MIN(ROW(Personnel[Egtim durumu]))+1)/((Personnel[Egtim durumu]="Dil egitimi tamamlandi sinavdan gecti")),ROWS($K$7:K469)),"")</f>
        <v>562</v>
      </c>
    </row>
    <row r="470" spans="1:11" x14ac:dyDescent="0.25">
      <c r="A470" s="40">
        <f>IFERROR(INDEX(Personnel[Sicil],$K470),"")</f>
        <v>645534</v>
      </c>
      <c r="B470" s="41" t="str">
        <f>IFERROR(INDEX(Personnel[Adi Soyadi],$K470),"")</f>
        <v>Омонбоев Омонбой Хамроевич</v>
      </c>
      <c r="C470" s="40" t="str">
        <f>IFERROR(INDEX(Personnel[Vatandaslik],$K470),"")</f>
        <v>УЗБЕКИСТАН</v>
      </c>
      <c r="D470" s="40" t="str">
        <f>IFERROR(INDEX(Personnel[Santiye],$K470),"")</f>
        <v>GPP Proje</v>
      </c>
      <c r="E470" s="40" t="str">
        <f>IFERROR(INDEX(Personnel[Ogretmen],$K470),"")</f>
        <v xml:space="preserve">Ziazetdinov Arslan </v>
      </c>
      <c r="F470" s="41" t="str">
        <f>IFERROR(INDEX(Personnel[[Sinav ]],$K470),"")</f>
        <v>07.07.2026 Sineva gitti gecdi</v>
      </c>
      <c r="G470" s="41" t="str">
        <f>IFERROR(INDEX(Personnel[Egtim durumu],$K470),"")</f>
        <v>Dil egitimi tamamlandi sinavdan gecti</v>
      </c>
      <c r="H470" s="41" t="str">
        <f>IFERROR(INDEX(Personnel[Shohruh Not],$K470),"")</f>
        <v>-</v>
      </c>
      <c r="I470" s="42">
        <f ca="1">IFERROR(INDEX(Personnel[Дней в РФ],$K470),"")</f>
        <v>57</v>
      </c>
      <c r="K470" s="23">
        <f t="array" ref="K470">IFERROR(_xlfn.AGGREGATE(15,6,(ROW(Personnel[Egtim durumu])-MIN(ROW(Personnel[Egtim durumu]))+1)/((Personnel[Egtim durumu]="Dil egitimi tamamlandi sinavdan gecti")),ROWS($K$7:K470)),"")</f>
        <v>563</v>
      </c>
    </row>
    <row r="471" spans="1:11" x14ac:dyDescent="0.25">
      <c r="A471" s="18">
        <f>IFERROR(INDEX(Personnel[Sicil],$K471),"")</f>
        <v>645538</v>
      </c>
      <c r="B471" s="17" t="str">
        <f>IFERROR(INDEX(Personnel[Adi Soyadi],$K471),"")</f>
        <v>Ражабов Мираншох Рустамович</v>
      </c>
      <c r="C471" s="18" t="str">
        <f>IFERROR(INDEX(Personnel[Vatandaslik],$K471),"")</f>
        <v>УЗБЕКИСТАН</v>
      </c>
      <c r="D471" s="18" t="str">
        <f>IFERROR(INDEX(Personnel[Santiye],$K471),"")</f>
        <v>GPP Proje</v>
      </c>
      <c r="E471" s="18" t="str">
        <f>IFERROR(INDEX(Personnel[Ogretmen],$K471),"")</f>
        <v xml:space="preserve">Ziazetdinov Arslan </v>
      </c>
      <c r="F471" s="17" t="str">
        <f>IFERROR(INDEX(Personnel[[Sinav ]],$K471),"")</f>
        <v>09.07.2026 Sineva gitti gecdi</v>
      </c>
      <c r="G471" s="17" t="str">
        <f>IFERROR(INDEX(Personnel[Egtim durumu],$K471),"")</f>
        <v>Dil egitimi tamamlandi sinavdan gecti</v>
      </c>
      <c r="H471" s="17" t="str">
        <f>IFERROR(INDEX(Personnel[Shohruh Not],$K471),"")</f>
        <v>-</v>
      </c>
      <c r="I471" s="22">
        <f ca="1">IFERROR(INDEX(Personnel[Дней в РФ],$K471),"")</f>
        <v>60</v>
      </c>
      <c r="K471" s="23">
        <f t="array" ref="K471">IFERROR(_xlfn.AGGREGATE(15,6,(ROW(Personnel[Egtim durumu])-MIN(ROW(Personnel[Egtim durumu]))+1)/((Personnel[Egtim durumu]="Dil egitimi tamamlandi sinavdan gecti")),ROWS($K$7:K471)),"")</f>
        <v>564</v>
      </c>
    </row>
    <row r="472" spans="1:11" ht="25.5" x14ac:dyDescent="0.25">
      <c r="A472" s="40">
        <f>IFERROR(INDEX(Personnel[Sicil],$K472),"")</f>
        <v>645537</v>
      </c>
      <c r="B472" s="41" t="str">
        <f>IFERROR(INDEX(Personnel[Adi Soyadi],$K472),"")</f>
        <v>Рахимов Рахимжон Курвонназарович</v>
      </c>
      <c r="C472" s="40" t="str">
        <f>IFERROR(INDEX(Personnel[Vatandaslik],$K472),"")</f>
        <v>УЗБЕКИСТАН</v>
      </c>
      <c r="D472" s="40" t="str">
        <f>IFERROR(INDEX(Personnel[Santiye],$K472),"")</f>
        <v>GPP Proje</v>
      </c>
      <c r="E472" s="40" t="str">
        <f>IFERROR(INDEX(Personnel[Ogretmen],$K472),"")</f>
        <v xml:space="preserve">Ziazetdinov Arslan </v>
      </c>
      <c r="F472" s="41" t="str">
        <f>IFERROR(INDEX(Personnel[[Sinav ]],$K472),"")</f>
        <v>07.07.2026 Sineva gitti gecdi</v>
      </c>
      <c r="G472" s="41" t="str">
        <f>IFERROR(INDEX(Personnel[Egtim durumu],$K472),"")</f>
        <v>Dil egitimi tamamlandi sinavdan gecti</v>
      </c>
      <c r="H472" s="41" t="str">
        <f>IFERROR(INDEX(Personnel[Shohruh Not],$K472),"")</f>
        <v>-</v>
      </c>
      <c r="I472" s="42">
        <f ca="1">IFERROR(INDEX(Personnel[Дней в РФ],$K472),"")</f>
        <v>57</v>
      </c>
      <c r="K472" s="23">
        <f t="array" ref="K472">IFERROR(_xlfn.AGGREGATE(15,6,(ROW(Personnel[Egtim durumu])-MIN(ROW(Personnel[Egtim durumu]))+1)/((Personnel[Egtim durumu]="Dil egitimi tamamlandi sinavdan gecti")),ROWS($K$7:K472)),"")</f>
        <v>565</v>
      </c>
    </row>
    <row r="473" spans="1:11" x14ac:dyDescent="0.25">
      <c r="A473" s="18">
        <f>IFERROR(INDEX(Personnel[Sicil],$K473),"")</f>
        <v>645532</v>
      </c>
      <c r="B473" s="17" t="str">
        <f>IFERROR(INDEX(Personnel[Adi Soyadi],$K473),"")</f>
        <v>Ташанов Юсуфжон Гелдиевич</v>
      </c>
      <c r="C473" s="18" t="str">
        <f>IFERROR(INDEX(Personnel[Vatandaslik],$K473),"")</f>
        <v>УЗБЕКИСТАН</v>
      </c>
      <c r="D473" s="18" t="str">
        <f>IFERROR(INDEX(Personnel[Santiye],$K473),"")</f>
        <v>GPP Proje</v>
      </c>
      <c r="E473" s="18" t="str">
        <f>IFERROR(INDEX(Personnel[Ogretmen],$K473),"")</f>
        <v xml:space="preserve">Ziazetdinov Arslan </v>
      </c>
      <c r="F473" s="17" t="str">
        <f>IFERROR(INDEX(Personnel[[Sinav ]],$K473),"")</f>
        <v>07.07.2026 Sineva gitti gecdi</v>
      </c>
      <c r="G473" s="17" t="str">
        <f>IFERROR(INDEX(Personnel[Egtim durumu],$K473),"")</f>
        <v>Dil egitimi tamamlandi sinavdan gecti</v>
      </c>
      <c r="H473" s="17" t="str">
        <f>IFERROR(INDEX(Personnel[Shohruh Not],$K473),"")</f>
        <v>-</v>
      </c>
      <c r="I473" s="22">
        <f ca="1">IFERROR(INDEX(Personnel[Дней в РФ],$K473),"")</f>
        <v>58</v>
      </c>
      <c r="K473" s="23">
        <f t="array" ref="K473">IFERROR(_xlfn.AGGREGATE(15,6,(ROW(Personnel[Egtim durumu])-MIN(ROW(Personnel[Egtim durumu]))+1)/((Personnel[Egtim durumu]="Dil egitimi tamamlandi sinavdan gecti")),ROWS($K$7:K473)),"")</f>
        <v>566</v>
      </c>
    </row>
    <row r="474" spans="1:11" x14ac:dyDescent="0.25">
      <c r="A474" s="40">
        <f>IFERROR(INDEX(Personnel[Sicil],$K474),"")</f>
        <v>645529</v>
      </c>
      <c r="B474" s="41" t="str">
        <f>IFERROR(INDEX(Personnel[Adi Soyadi],$K474),"")</f>
        <v>Усаров Шамсидин Шарафович</v>
      </c>
      <c r="C474" s="40" t="str">
        <f>IFERROR(INDEX(Personnel[Vatandaslik],$K474),"")</f>
        <v>УЗБЕКИСТАН</v>
      </c>
      <c r="D474" s="40" t="str">
        <f>IFERROR(INDEX(Personnel[Santiye],$K474),"")</f>
        <v>GPP Proje</v>
      </c>
      <c r="E474" s="40" t="str">
        <f>IFERROR(INDEX(Personnel[Ogretmen],$K474),"")</f>
        <v xml:space="preserve">Ziazetdinov Arslan </v>
      </c>
      <c r="F474" s="41" t="str">
        <f>IFERROR(INDEX(Personnel[[Sinav ]],$K474),"")</f>
        <v>07.07.2026 Sineva gitti gecdi</v>
      </c>
      <c r="G474" s="41" t="str">
        <f>IFERROR(INDEX(Personnel[Egtim durumu],$K474),"")</f>
        <v>Dil egitimi tamamlandi sinavdan gecti</v>
      </c>
      <c r="H474" s="41" t="str">
        <f>IFERROR(INDEX(Personnel[Shohruh Not],$K474),"")</f>
        <v>-</v>
      </c>
      <c r="I474" s="42">
        <f ca="1">IFERROR(INDEX(Personnel[Дней в РФ],$K474),"")</f>
        <v>58</v>
      </c>
      <c r="K474" s="23">
        <f t="array" ref="K474">IFERROR(_xlfn.AGGREGATE(15,6,(ROW(Personnel[Egtim durumu])-MIN(ROW(Personnel[Egtim durumu]))+1)/((Personnel[Egtim durumu]="Dil egitimi tamamlandi sinavdan gecti")),ROWS($K$7:K474)),"")</f>
        <v>567</v>
      </c>
    </row>
    <row r="475" spans="1:11" ht="25.5" x14ac:dyDescent="0.25">
      <c r="A475" s="18">
        <f>IFERROR(INDEX(Personnel[Sicil],$K475),"")</f>
        <v>555905</v>
      </c>
      <c r="B475" s="17" t="str">
        <f>IFERROR(INDEX(Personnel[Adi Soyadi],$K475),"")</f>
        <v>Эргашев Асилбек Отабек Угли</v>
      </c>
      <c r="C475" s="18" t="str">
        <f>IFERROR(INDEX(Personnel[Vatandaslik],$K475),"")</f>
        <v>УЗБЕКИСТАН</v>
      </c>
      <c r="D475" s="18" t="str">
        <f>IFERROR(INDEX(Personnel[Santiye],$K475),"")</f>
        <v>GPP Proje</v>
      </c>
      <c r="E475" s="18" t="str">
        <f>IFERROR(INDEX(Personnel[Ogretmen],$K475),"")</f>
        <v>Tyulina Natalya</v>
      </c>
      <c r="F475" s="17" t="str">
        <f>IFERROR(INDEX(Personnel[[Sinav ]],$K475),"")</f>
        <v>13.07.2026 Sineva gitti gecdi</v>
      </c>
      <c r="G475" s="17" t="str">
        <f>IFERROR(INDEX(Personnel[Egtim durumu],$K475),"")</f>
        <v>Dil egitimi tamamlandi sinavdan gecti</v>
      </c>
      <c r="H475" s="17" t="str">
        <f>IFERROR(INDEX(Personnel[Shohruh Not],$K475),"")</f>
        <v xml:space="preserve"> Tarih 05.07.2026 Sineve bilgi verildi gelmedi  PV</v>
      </c>
      <c r="I475" s="22">
        <f ca="1">IFERROR(INDEX(Personnel[Дней в РФ],$K475),"")</f>
        <v>399</v>
      </c>
      <c r="K475" s="23">
        <f t="array" ref="K475">IFERROR(_xlfn.AGGREGATE(15,6,(ROW(Personnel[Egtim durumu])-MIN(ROW(Personnel[Egtim durumu]))+1)/((Personnel[Egtim durumu]="Dil egitimi tamamlandi sinavdan gecti")),ROWS($K$7:K475)),"")</f>
        <v>568</v>
      </c>
    </row>
    <row r="476" spans="1:11" x14ac:dyDescent="0.25">
      <c r="A476" s="40">
        <f>IFERROR(INDEX(Personnel[Sicil],$K476),"")</f>
        <v>489494</v>
      </c>
      <c r="B476" s="41" t="str">
        <f>IFERROR(INDEX(Personnel[Adi Soyadi],$K476),"")</f>
        <v>Якубова Дилбар Азадовна</v>
      </c>
      <c r="C476" s="40" t="str">
        <f>IFERROR(INDEX(Personnel[Vatandaslik],$K476),"")</f>
        <v>УЗБЕКИСТАН</v>
      </c>
      <c r="D476" s="40" t="str">
        <f>IFERROR(INDEX(Personnel[Santiye],$K476),"")</f>
        <v>GPP Proje</v>
      </c>
      <c r="E476" s="40" t="str">
        <f>IFERROR(INDEX(Personnel[Ogretmen],$K476),"")</f>
        <v>-</v>
      </c>
      <c r="F476" s="41" t="str">
        <f>IFERROR(INDEX(Personnel[[Sinav ]],$K476),"")</f>
        <v>09.07.2026 Sineva gitti gecdi</v>
      </c>
      <c r="G476" s="41" t="str">
        <f>IFERROR(INDEX(Personnel[Egtim durumu],$K476),"")</f>
        <v>Dil egitimi tamamlandi sinavdan gecti</v>
      </c>
      <c r="H476" s="41" t="str">
        <f>IFERROR(INDEX(Personnel[Shohruh Not],$K476),"")</f>
        <v>-</v>
      </c>
      <c r="I476" s="42">
        <f ca="1">IFERROR(INDEX(Personnel[Дней в РФ],$K476),"")</f>
        <v>1039</v>
      </c>
      <c r="K476" s="23">
        <f t="array" ref="K476">IFERROR(_xlfn.AGGREGATE(15,6,(ROW(Personnel[Egtim durumu])-MIN(ROW(Personnel[Egtim durumu]))+1)/((Personnel[Egtim durumu]="Dil egitimi tamamlandi sinavdan gecti")),ROWS($K$7:K476)),"")</f>
        <v>569</v>
      </c>
    </row>
    <row r="477" spans="1:11" ht="25.5" x14ac:dyDescent="0.25">
      <c r="A477" s="18">
        <f>IFERROR(INDEX(Personnel[Sicil],$K477),"")</f>
        <v>645598</v>
      </c>
      <c r="B477" s="17" t="str">
        <f>IFERROR(INDEX(Personnel[Adi Soyadi],$K477),"")</f>
        <v>Жаббаров Мурад Туйчибаевич</v>
      </c>
      <c r="C477" s="18" t="str">
        <f>IFERROR(INDEX(Personnel[Vatandaslik],$K477),"")</f>
        <v>УЗБЕКИСТАН</v>
      </c>
      <c r="D477" s="18" t="str">
        <f>IFERROR(INDEX(Personnel[Santiye],$K477),"")</f>
        <v>GPP Proje</v>
      </c>
      <c r="E477" s="18" t="str">
        <f>IFERROR(INDEX(Personnel[Ogretmen],$K477),"")</f>
        <v>Ziazetdinov Arslan / Ziazetdinov Arslan</v>
      </c>
      <c r="F477" s="17" t="str">
        <f>IFERROR(INDEX(Personnel[[Sinav ]],$K477),"")</f>
        <v>Ic testimizden gecemedi 05.07.2026 16.07.2026 Sineva gitti gecdi</v>
      </c>
      <c r="G477" s="17" t="str">
        <f>IFERROR(INDEX(Personnel[Egtim durumu],$K477),"")</f>
        <v>Dil egitimi tamamlandi sinavdan gecti</v>
      </c>
      <c r="H477" s="17" t="str">
        <f>IFERROR(INDEX(Personnel[Shohruh Not],$K477),"")</f>
        <v>-</v>
      </c>
      <c r="I477" s="22">
        <f ca="1">IFERROR(INDEX(Personnel[Дней в РФ],$K477),"")</f>
        <v>55</v>
      </c>
      <c r="K477" s="23">
        <f t="array" ref="K477">IFERROR(_xlfn.AGGREGATE(15,6,(ROW(Personnel[Egtim durumu])-MIN(ROW(Personnel[Egtim durumu]))+1)/((Personnel[Egtim durumu]="Dil egitimi tamamlandi sinavdan gecti")),ROWS($K$7:K477)),"")</f>
        <v>570</v>
      </c>
    </row>
    <row r="478" spans="1:11" x14ac:dyDescent="0.25">
      <c r="A478" s="40">
        <f>IFERROR(INDEX(Personnel[Sicil],$K478),"")</f>
        <v>645603</v>
      </c>
      <c r="B478" s="41" t="str">
        <f>IFERROR(INDEX(Personnel[Adi Soyadi],$K478),"")</f>
        <v>Кушбаков Аслиддин Бозорович</v>
      </c>
      <c r="C478" s="40" t="str">
        <f>IFERROR(INDEX(Personnel[Vatandaslik],$K478),"")</f>
        <v>УЗБЕКИСТАН</v>
      </c>
      <c r="D478" s="40" t="str">
        <f>IFERROR(INDEX(Personnel[Santiye],$K478),"")</f>
        <v>GPP Proje</v>
      </c>
      <c r="E478" s="40" t="str">
        <f>IFERROR(INDEX(Personnel[Ogretmen],$K478),"")</f>
        <v xml:space="preserve">Ziazetdinov Arslan </v>
      </c>
      <c r="F478" s="41" t="str">
        <f>IFERROR(INDEX(Personnel[[Sinav ]],$K478),"")</f>
        <v>07.07.2026 Sineva gitti gecdi</v>
      </c>
      <c r="G478" s="41" t="str">
        <f>IFERROR(INDEX(Personnel[Egtim durumu],$K478),"")</f>
        <v>Dil egitimi tamamlandi sinavdan gecti</v>
      </c>
      <c r="H478" s="41" t="str">
        <f>IFERROR(INDEX(Personnel[Shohruh Not],$K478),"")</f>
        <v>-</v>
      </c>
      <c r="I478" s="42">
        <f ca="1">IFERROR(INDEX(Personnel[Дней в РФ],$K478),"")</f>
        <v>55</v>
      </c>
      <c r="K478" s="23">
        <f t="array" ref="K478">IFERROR(_xlfn.AGGREGATE(15,6,(ROW(Personnel[Egtim durumu])-MIN(ROW(Personnel[Egtim durumu]))+1)/((Personnel[Egtim durumu]="Dil egitimi tamamlandi sinavdan gecti")),ROWS($K$7:K478)),"")</f>
        <v>571</v>
      </c>
    </row>
    <row r="479" spans="1:11" x14ac:dyDescent="0.25">
      <c r="A479" s="18">
        <f>IFERROR(INDEX(Personnel[Sicil],$K479),"")</f>
        <v>645601</v>
      </c>
      <c r="B479" s="17" t="str">
        <f>IFERROR(INDEX(Personnel[Adi Soyadi],$K479),"")</f>
        <v>Сапаров Гайрат Камол Угли</v>
      </c>
      <c r="C479" s="18" t="str">
        <f>IFERROR(INDEX(Personnel[Vatandaslik],$K479),"")</f>
        <v>УЗБЕКИСТАН</v>
      </c>
      <c r="D479" s="18" t="str">
        <f>IFERROR(INDEX(Personnel[Santiye],$K479),"")</f>
        <v>GPP Proje</v>
      </c>
      <c r="E479" s="18" t="str">
        <f>IFERROR(INDEX(Personnel[Ogretmen],$K479),"")</f>
        <v xml:space="preserve">Ziazetdinov Arslan </v>
      </c>
      <c r="F479" s="17" t="str">
        <f>IFERROR(INDEX(Personnel[[Sinav ]],$K479),"")</f>
        <v>16.07.2026 Sineva gitti gecdi</v>
      </c>
      <c r="G479" s="17" t="str">
        <f>IFERROR(INDEX(Personnel[Egtim durumu],$K479),"")</f>
        <v>Dil egitimi tamamlandi sinavdan gecti</v>
      </c>
      <c r="H479" s="17" t="str">
        <f>IFERROR(INDEX(Personnel[Shohruh Not],$K479),"")</f>
        <v>-</v>
      </c>
      <c r="I479" s="22">
        <f ca="1">IFERROR(INDEX(Personnel[Дней в РФ],$K479),"")</f>
        <v>55</v>
      </c>
      <c r="K479" s="23">
        <f t="array" ref="K479">IFERROR(_xlfn.AGGREGATE(15,6,(ROW(Personnel[Egtim durumu])-MIN(ROW(Personnel[Egtim durumu]))+1)/((Personnel[Egtim durumu]="Dil egitimi tamamlandi sinavdan gecti")),ROWS($K$7:K479)),"")</f>
        <v>572</v>
      </c>
    </row>
    <row r="480" spans="1:11" x14ac:dyDescent="0.25">
      <c r="A480" s="40">
        <f>IFERROR(INDEX(Personnel[Sicil],$K480),"")</f>
        <v>645630</v>
      </c>
      <c r="B480" s="41" t="str">
        <f>IFERROR(INDEX(Personnel[Adi Soyadi],$K480),"")</f>
        <v>Ашуров Авазбек Бозор Угли</v>
      </c>
      <c r="C480" s="40" t="str">
        <f>IFERROR(INDEX(Personnel[Vatandaslik],$K480),"")</f>
        <v>УЗБЕКИСТАН</v>
      </c>
      <c r="D480" s="40" t="str">
        <f>IFERROR(INDEX(Personnel[Santiye],$K480),"")</f>
        <v>GPP Proje</v>
      </c>
      <c r="E480" s="40" t="str">
        <f>IFERROR(INDEX(Personnel[Ogretmen],$K480),"")</f>
        <v xml:space="preserve">Ziazetdinov Arslan </v>
      </c>
      <c r="F480" s="41" t="str">
        <f>IFERROR(INDEX(Personnel[[Sinav ]],$K480),"")</f>
        <v>07.07.2026 Sineva gitti gecdi</v>
      </c>
      <c r="G480" s="41" t="str">
        <f>IFERROR(INDEX(Personnel[Egtim durumu],$K480),"")</f>
        <v>Dil egitimi tamamlandi sinavdan gecti</v>
      </c>
      <c r="H480" s="41" t="str">
        <f>IFERROR(INDEX(Personnel[Shohruh Not],$K480),"")</f>
        <v>-</v>
      </c>
      <c r="I480" s="42">
        <f ca="1">IFERROR(INDEX(Personnel[Дней в РФ],$K480),"")</f>
        <v>54</v>
      </c>
      <c r="K480" s="23">
        <f t="array" ref="K480">IFERROR(_xlfn.AGGREGATE(15,6,(ROW(Personnel[Egtim durumu])-MIN(ROW(Personnel[Egtim durumu]))+1)/((Personnel[Egtim durumu]="Dil egitimi tamamlandi sinavdan gecti")),ROWS($K$7:K480)),"")</f>
        <v>573</v>
      </c>
    </row>
    <row r="481" spans="1:11" x14ac:dyDescent="0.25">
      <c r="A481" s="18">
        <f>IFERROR(INDEX(Personnel[Sicil],$K481),"")</f>
        <v>645617</v>
      </c>
      <c r="B481" s="17" t="str">
        <f>IFERROR(INDEX(Personnel[Adi Soyadi],$K481),"")</f>
        <v>Ёкубов Комилжон Мелибоевич</v>
      </c>
      <c r="C481" s="18" t="str">
        <f>IFERROR(INDEX(Personnel[Vatandaslik],$K481),"")</f>
        <v>УЗБЕКИСТАН</v>
      </c>
      <c r="D481" s="18" t="str">
        <f>IFERROR(INDEX(Personnel[Santiye],$K481),"")</f>
        <v>GPP Proje</v>
      </c>
      <c r="E481" s="18" t="str">
        <f>IFERROR(INDEX(Personnel[Ogretmen],$K481),"")</f>
        <v xml:space="preserve">Ziazetdinov Arslan </v>
      </c>
      <c r="F481" s="17" t="str">
        <f>IFERROR(INDEX(Personnel[[Sinav ]],$K481),"")</f>
        <v>07.07.2026 Sineva gitti gecdi</v>
      </c>
      <c r="G481" s="17" t="str">
        <f>IFERROR(INDEX(Personnel[Egtim durumu],$K481),"")</f>
        <v>Dil egitimi tamamlandi sinavdan gecti</v>
      </c>
      <c r="H481" s="17" t="str">
        <f>IFERROR(INDEX(Personnel[Shohruh Not],$K481),"")</f>
        <v>-</v>
      </c>
      <c r="I481" s="22">
        <f ca="1">IFERROR(INDEX(Personnel[Дней в РФ],$K481),"")</f>
        <v>54</v>
      </c>
      <c r="K481" s="23">
        <f t="array" ref="K481">IFERROR(_xlfn.AGGREGATE(15,6,(ROW(Personnel[Egtim durumu])-MIN(ROW(Personnel[Egtim durumu]))+1)/((Personnel[Egtim durumu]="Dil egitimi tamamlandi sinavdan gecti")),ROWS($K$7:K481)),"")</f>
        <v>574</v>
      </c>
    </row>
    <row r="482" spans="1:11" x14ac:dyDescent="0.25">
      <c r="A482" s="40">
        <f>IFERROR(INDEX(Personnel[Sicil],$K482),"")</f>
        <v>645613</v>
      </c>
      <c r="B482" s="41" t="str">
        <f>IFERROR(INDEX(Personnel[Adi Soyadi],$K482),"")</f>
        <v>Жураева Феруза Махматмурод Кизи</v>
      </c>
      <c r="C482" s="40" t="str">
        <f>IFERROR(INDEX(Personnel[Vatandaslik],$K482),"")</f>
        <v>УЗБЕКИСТАН</v>
      </c>
      <c r="D482" s="40" t="str">
        <f>IFERROR(INDEX(Personnel[Santiye],$K482),"")</f>
        <v>GPP Proje</v>
      </c>
      <c r="E482" s="40" t="str">
        <f>IFERROR(INDEX(Personnel[Ogretmen],$K482),"")</f>
        <v xml:space="preserve">Ziazetdinov Arslan </v>
      </c>
      <c r="F482" s="41" t="str">
        <f>IFERROR(INDEX(Personnel[[Sinav ]],$K482),"")</f>
        <v>07.07.2026 Sineva gitti gecdi</v>
      </c>
      <c r="G482" s="41" t="str">
        <f>IFERROR(INDEX(Personnel[Egtim durumu],$K482),"")</f>
        <v>Dil egitimi tamamlandi sinavdan gecti</v>
      </c>
      <c r="H482" s="41" t="str">
        <f>IFERROR(INDEX(Personnel[Shohruh Not],$K482),"")</f>
        <v>-</v>
      </c>
      <c r="I482" s="42">
        <f ca="1">IFERROR(INDEX(Personnel[Дней в РФ],$K482),"")</f>
        <v>54</v>
      </c>
      <c r="K482" s="23">
        <f t="array" ref="K482">IFERROR(_xlfn.AGGREGATE(15,6,(ROW(Personnel[Egtim durumu])-MIN(ROW(Personnel[Egtim durumu]))+1)/((Personnel[Egtim durumu]="Dil egitimi tamamlandi sinavdan gecti")),ROWS($K$7:K482)),"")</f>
        <v>576</v>
      </c>
    </row>
    <row r="483" spans="1:11" ht="38.25" x14ac:dyDescent="0.25">
      <c r="A483" s="18">
        <f>IFERROR(INDEX(Personnel[Sicil],$K483),"")</f>
        <v>645614</v>
      </c>
      <c r="B483" s="17" t="str">
        <f>IFERROR(INDEX(Personnel[Adi Soyadi],$K483),"")</f>
        <v>Исмоилов Шохрух Холияр Угли</v>
      </c>
      <c r="C483" s="18" t="str">
        <f>IFERROR(INDEX(Personnel[Vatandaslik],$K483),"")</f>
        <v>УЗБЕКИСТАН</v>
      </c>
      <c r="D483" s="18" t="str">
        <f>IFERROR(INDEX(Personnel[Santiye],$K483),"")</f>
        <v>GPP Proje</v>
      </c>
      <c r="E483" s="18" t="str">
        <f>IFERROR(INDEX(Personnel[Ogretmen],$K483),"")</f>
        <v>Ziazetdinov Arslan  / Tyulina Natalya</v>
      </c>
      <c r="F483" s="17" t="str">
        <f>IFERROR(INDEX(Personnel[[Sinav ]],$K483),"")</f>
        <v>Ic testimizden gecemiyor (03.07.2026 egitime alindi) /13.07.2026 Sineva gitti gecdi</v>
      </c>
      <c r="G483" s="17" t="str">
        <f>IFERROR(INDEX(Personnel[Egtim durumu],$K483),"")</f>
        <v>Dil egitimi tamamlandi sinavdan gecti</v>
      </c>
      <c r="H483" s="17" t="str">
        <f>IFERROR(INDEX(Personnel[Shohruh Not],$K483),"")</f>
        <v>-</v>
      </c>
      <c r="I483" s="22">
        <f ca="1">IFERROR(INDEX(Personnel[Дней в РФ],$K483),"")</f>
        <v>54</v>
      </c>
      <c r="K483" s="23">
        <f t="array" ref="K483">IFERROR(_xlfn.AGGREGATE(15,6,(ROW(Personnel[Egtim durumu])-MIN(ROW(Personnel[Egtim durumu]))+1)/((Personnel[Egtim durumu]="Dil egitimi tamamlandi sinavdan gecti")),ROWS($K$7:K483)),"")</f>
        <v>577</v>
      </c>
    </row>
    <row r="484" spans="1:11" ht="38.25" x14ac:dyDescent="0.25">
      <c r="A484" s="40">
        <f>IFERROR(INDEX(Personnel[Sicil],$K484),"")</f>
        <v>645627</v>
      </c>
      <c r="B484" s="41" t="str">
        <f>IFERROR(INDEX(Personnel[Adi Soyadi],$K484),"")</f>
        <v>Махамов Шохрух Рамазон Угли</v>
      </c>
      <c r="C484" s="40" t="str">
        <f>IFERROR(INDEX(Personnel[Vatandaslik],$K484),"")</f>
        <v>УЗБЕКИСТАН</v>
      </c>
      <c r="D484" s="40" t="str">
        <f>IFERROR(INDEX(Personnel[Santiye],$K484),"")</f>
        <v>GPP Proje</v>
      </c>
      <c r="E484" s="40" t="str">
        <f>IFERROR(INDEX(Personnel[Ogretmen],$K484),"")</f>
        <v>Ziazetdinov Arslan  / Tyulina Natalya</v>
      </c>
      <c r="F484" s="41" t="str">
        <f>IFERROR(INDEX(Personnel[[Sinav ]],$K484),"")</f>
        <v>Ic testimizden gecemiyor (03.07.2026 egitime alindi) /13.07.2026 Sineva gitti gecdi</v>
      </c>
      <c r="G484" s="41" t="str">
        <f>IFERROR(INDEX(Personnel[Egtim durumu],$K484),"")</f>
        <v>Dil egitimi tamamlandi sinavdan gecti</v>
      </c>
      <c r="H484" s="41" t="str">
        <f>IFERROR(INDEX(Personnel[Shohruh Not],$K484),"")</f>
        <v>-</v>
      </c>
      <c r="I484" s="42">
        <f ca="1">IFERROR(INDEX(Personnel[Дней в РФ],$K484),"")</f>
        <v>54</v>
      </c>
      <c r="K484" s="23">
        <f t="array" ref="K484">IFERROR(_xlfn.AGGREGATE(15,6,(ROW(Personnel[Egtim durumu])-MIN(ROW(Personnel[Egtim durumu]))+1)/((Personnel[Egtim durumu]="Dil egitimi tamamlandi sinavdan gecti")),ROWS($K$7:K484)),"")</f>
        <v>579</v>
      </c>
    </row>
    <row r="485" spans="1:11" ht="38.25" x14ac:dyDescent="0.25">
      <c r="A485" s="18">
        <f>IFERROR(INDEX(Personnel[Sicil],$K485),"")</f>
        <v>645636</v>
      </c>
      <c r="B485" s="17" t="str">
        <f>IFERROR(INDEX(Personnel[Adi Soyadi],$K485),"")</f>
        <v>Махкамов Жасур Абдухалим Угли</v>
      </c>
      <c r="C485" s="18" t="str">
        <f>IFERROR(INDEX(Personnel[Vatandaslik],$K485),"")</f>
        <v>УЗБЕКИСТАН</v>
      </c>
      <c r="D485" s="18" t="str">
        <f>IFERROR(INDEX(Personnel[Santiye],$K485),"")</f>
        <v>GPP Proje</v>
      </c>
      <c r="E485" s="18" t="str">
        <f>IFERROR(INDEX(Personnel[Ogretmen],$K485),"")</f>
        <v>Ziazetdinov Arslan  / Tyulina Natalya</v>
      </c>
      <c r="F485" s="17" t="str">
        <f>IFERROR(INDEX(Personnel[[Sinav ]],$K485),"")</f>
        <v>Ic testimizden gecemiyor (03.07.2026 egitime alindi) 13.07.2026 Sineva gitti gecdi</v>
      </c>
      <c r="G485" s="17" t="str">
        <f>IFERROR(INDEX(Personnel[Egtim durumu],$K485),"")</f>
        <v>Dil egitimi tamamlandi sinavdan gecti</v>
      </c>
      <c r="H485" s="17" t="str">
        <f>IFERROR(INDEX(Personnel[Shohruh Not],$K485),"")</f>
        <v>-</v>
      </c>
      <c r="I485" s="22">
        <f ca="1">IFERROR(INDEX(Personnel[Дней в РФ],$K485),"")</f>
        <v>54</v>
      </c>
      <c r="K485" s="23">
        <f t="array" ref="K485">IFERROR(_xlfn.AGGREGATE(15,6,(ROW(Personnel[Egtim durumu])-MIN(ROW(Personnel[Egtim durumu]))+1)/((Personnel[Egtim durumu]="Dil egitimi tamamlandi sinavdan gecti")),ROWS($K$7:K485)),"")</f>
        <v>580</v>
      </c>
    </row>
    <row r="486" spans="1:11" ht="38.25" x14ac:dyDescent="0.25">
      <c r="A486" s="40">
        <f>IFERROR(INDEX(Personnel[Sicil],$K486),"")</f>
        <v>569635</v>
      </c>
      <c r="B486" s="41" t="str">
        <f>IFERROR(INDEX(Personnel[Adi Soyadi],$K486),"")</f>
        <v>Махмадиёров Уткир Шухрат Угли</v>
      </c>
      <c r="C486" s="40" t="str">
        <f>IFERROR(INDEX(Personnel[Vatandaslik],$K486),"")</f>
        <v>УЗБЕКИСТАН</v>
      </c>
      <c r="D486" s="40" t="str">
        <f>IFERROR(INDEX(Personnel[Santiye],$K486),"")</f>
        <v>GPP Proje</v>
      </c>
      <c r="E486" s="40" t="str">
        <f>IFERROR(INDEX(Personnel[Ogretmen],$K486),"")</f>
        <v>Ziazetdinov Arslan  / Tyulina Natalya</v>
      </c>
      <c r="F486" s="41" t="str">
        <f>IFERROR(INDEX(Personnel[[Sinav ]],$K486),"")</f>
        <v>Ic testimizden gecemiyor (03.07.2026 egitime alindi) 13.07.2026 Sineva gitti gecdi</v>
      </c>
      <c r="G486" s="41" t="str">
        <f>IFERROR(INDEX(Personnel[Egtim durumu],$K486),"")</f>
        <v>Dil egitimi tamamlandi sinavdan gecti</v>
      </c>
      <c r="H486" s="41" t="str">
        <f>IFERROR(INDEX(Personnel[Shohruh Not],$K486),"")</f>
        <v>-</v>
      </c>
      <c r="I486" s="42">
        <f ca="1">IFERROR(INDEX(Personnel[Дней в РФ],$K486),"")</f>
        <v>54</v>
      </c>
      <c r="K486" s="23">
        <f t="array" ref="K486">IFERROR(_xlfn.AGGREGATE(15,6,(ROW(Personnel[Egtim durumu])-MIN(ROW(Personnel[Egtim durumu]))+1)/((Personnel[Egtim durumu]="Dil egitimi tamamlandi sinavdan gecti")),ROWS($K$7:K486)),"")</f>
        <v>581</v>
      </c>
    </row>
    <row r="487" spans="1:11" ht="25.5" x14ac:dyDescent="0.25">
      <c r="A487" s="18">
        <f>IFERROR(INDEX(Personnel[Sicil],$K487),"")</f>
        <v>645645</v>
      </c>
      <c r="B487" s="17" t="str">
        <f>IFERROR(INDEX(Personnel[Adi Soyadi],$K487),"")</f>
        <v>Мусурмонов Диёрбек Фахриддин Угли</v>
      </c>
      <c r="C487" s="18" t="str">
        <f>IFERROR(INDEX(Personnel[Vatandaslik],$K487),"")</f>
        <v>УЗБЕКИСТАН</v>
      </c>
      <c r="D487" s="18" t="str">
        <f>IFERROR(INDEX(Personnel[Santiye],$K487),"")</f>
        <v>GPP Proje</v>
      </c>
      <c r="E487" s="18" t="str">
        <f>IFERROR(INDEX(Personnel[Ogretmen],$K487),"")</f>
        <v xml:space="preserve">Ziazetdinov Arslan </v>
      </c>
      <c r="F487" s="17" t="str">
        <f>IFERROR(INDEX(Personnel[[Sinav ]],$K487),"")</f>
        <v>07.07.2026 Sineva gitti gecdi</v>
      </c>
      <c r="G487" s="17" t="str">
        <f>IFERROR(INDEX(Personnel[Egtim durumu],$K487),"")</f>
        <v>Dil egitimi tamamlandi sinavdan gecti</v>
      </c>
      <c r="H487" s="17" t="str">
        <f>IFERROR(INDEX(Personnel[Shohruh Not],$K487),"")</f>
        <v>-</v>
      </c>
      <c r="I487" s="22">
        <f ca="1">IFERROR(INDEX(Personnel[Дней в РФ],$K487),"")</f>
        <v>54</v>
      </c>
      <c r="K487" s="23">
        <f t="array" ref="K487">IFERROR(_xlfn.AGGREGATE(15,6,(ROW(Personnel[Egtim durumu])-MIN(ROW(Personnel[Egtim durumu]))+1)/((Personnel[Egtim durumu]="Dil egitimi tamamlandi sinavdan gecti")),ROWS($K$7:K487)),"")</f>
        <v>582</v>
      </c>
    </row>
    <row r="488" spans="1:11" x14ac:dyDescent="0.25">
      <c r="A488" s="40">
        <f>IFERROR(INDEX(Personnel[Sicil],$K488),"")</f>
        <v>645612</v>
      </c>
      <c r="B488" s="41" t="str">
        <f>IFERROR(INDEX(Personnel[Adi Soyadi],$K488),"")</f>
        <v>Номозов Сардорбек Илхом Угли</v>
      </c>
      <c r="C488" s="40" t="str">
        <f>IFERROR(INDEX(Personnel[Vatandaslik],$K488),"")</f>
        <v>УЗБЕКИСТАН</v>
      </c>
      <c r="D488" s="40" t="str">
        <f>IFERROR(INDEX(Personnel[Santiye],$K488),"")</f>
        <v>GPP Proje</v>
      </c>
      <c r="E488" s="40" t="str">
        <f>IFERROR(INDEX(Personnel[Ogretmen],$K488),"")</f>
        <v xml:space="preserve">Ziazetdinov Arslan </v>
      </c>
      <c r="F488" s="41" t="str">
        <f>IFERROR(INDEX(Personnel[[Sinav ]],$K488),"")</f>
        <v>07.07.2026 Sineva gitti gecdi</v>
      </c>
      <c r="G488" s="41" t="str">
        <f>IFERROR(INDEX(Personnel[Egtim durumu],$K488),"")</f>
        <v>Dil egitimi tamamlandi sinavdan gecti</v>
      </c>
      <c r="H488" s="41" t="str">
        <f>IFERROR(INDEX(Personnel[Shohruh Not],$K488),"")</f>
        <v>-</v>
      </c>
      <c r="I488" s="42">
        <f ca="1">IFERROR(INDEX(Personnel[Дней в РФ],$K488),"")</f>
        <v>54</v>
      </c>
      <c r="K488" s="23">
        <f t="array" ref="K488">IFERROR(_xlfn.AGGREGATE(15,6,(ROW(Personnel[Egtim durumu])-MIN(ROW(Personnel[Egtim durumu]))+1)/((Personnel[Egtim durumu]="Dil egitimi tamamlandi sinavdan gecti")),ROWS($K$7:K488)),"")</f>
        <v>583</v>
      </c>
    </row>
    <row r="489" spans="1:11" ht="38.25" x14ac:dyDescent="0.25">
      <c r="A489" s="18">
        <f>IFERROR(INDEX(Personnel[Sicil],$K489),"")</f>
        <v>645644</v>
      </c>
      <c r="B489" s="17" t="str">
        <f>IFERROR(INDEX(Personnel[Adi Soyadi],$K489),"")</f>
        <v>Уролов Аслиддин Кахрамон Угли</v>
      </c>
      <c r="C489" s="18" t="str">
        <f>IFERROR(INDEX(Personnel[Vatandaslik],$K489),"")</f>
        <v>УЗБЕКИСТАН</v>
      </c>
      <c r="D489" s="18" t="str">
        <f>IFERROR(INDEX(Personnel[Santiye],$K489),"")</f>
        <v>GPP Proje</v>
      </c>
      <c r="E489" s="18" t="str">
        <f>IFERROR(INDEX(Personnel[Ogretmen],$K489),"")</f>
        <v>Ziazetdinov Arslan  / Tyulina Natalya</v>
      </c>
      <c r="F489" s="17" t="str">
        <f>IFERROR(INDEX(Personnel[[Sinav ]],$K489),"")</f>
        <v>Ic testimizden gecemiyor (03.07.2026 egitime alindi) 13.07.2026 Sineva gitti gecemedi /20.07.2026 Sineva gitti gecdi</v>
      </c>
      <c r="G489" s="17" t="str">
        <f>IFERROR(INDEX(Personnel[Egtim durumu],$K489),"")</f>
        <v>Dil egitimi tamamlandi sinavdan gecti</v>
      </c>
      <c r="H489" s="17" t="str">
        <f>IFERROR(INDEX(Personnel[Shohruh Not],$K489),"")</f>
        <v xml:space="preserve">2 kere sinavden gecemedi </v>
      </c>
      <c r="I489" s="22">
        <f ca="1">IFERROR(INDEX(Personnel[Дней в РФ],$K489),"")</f>
        <v>54</v>
      </c>
      <c r="K489" s="23">
        <f t="array" ref="K489">IFERROR(_xlfn.AGGREGATE(15,6,(ROW(Personnel[Egtim durumu])-MIN(ROW(Personnel[Egtim durumu]))+1)/((Personnel[Egtim durumu]="Dil egitimi tamamlandi sinavdan gecti")),ROWS($K$7:K489)),"")</f>
        <v>584</v>
      </c>
    </row>
    <row r="490" spans="1:11" x14ac:dyDescent="0.25">
      <c r="A490" s="40">
        <f>IFERROR(INDEX(Personnel[Sicil],$K490),"")</f>
        <v>645642</v>
      </c>
      <c r="B490" s="41" t="str">
        <f>IFERROR(INDEX(Personnel[Adi Soyadi],$K490),"")</f>
        <v>Хасанов Рустам Хайрулла Угли</v>
      </c>
      <c r="C490" s="40" t="str">
        <f>IFERROR(INDEX(Personnel[Vatandaslik],$K490),"")</f>
        <v>УЗБЕКИСТАН</v>
      </c>
      <c r="D490" s="40" t="str">
        <f>IFERROR(INDEX(Personnel[Santiye],$K490),"")</f>
        <v>GPP Proje</v>
      </c>
      <c r="E490" s="40" t="str">
        <f>IFERROR(INDEX(Personnel[Ogretmen],$K490),"")</f>
        <v xml:space="preserve">Ziazetdinov Arslan </v>
      </c>
      <c r="F490" s="41" t="str">
        <f>IFERROR(INDEX(Personnel[[Sinav ]],$K490),"")</f>
        <v>07.07.2026 Sineva gitti gecdi</v>
      </c>
      <c r="G490" s="41" t="str">
        <f>IFERROR(INDEX(Personnel[Egtim durumu],$K490),"")</f>
        <v>Dil egitimi tamamlandi sinavdan gecti</v>
      </c>
      <c r="H490" s="41" t="str">
        <f>IFERROR(INDEX(Personnel[Shohruh Not],$K490),"")</f>
        <v>-</v>
      </c>
      <c r="I490" s="42">
        <f ca="1">IFERROR(INDEX(Personnel[Дней в РФ],$K490),"")</f>
        <v>54</v>
      </c>
      <c r="K490" s="23">
        <f t="array" ref="K490">IFERROR(_xlfn.AGGREGATE(15,6,(ROW(Personnel[Egtim durumu])-MIN(ROW(Personnel[Egtim durumu]))+1)/((Personnel[Egtim durumu]="Dil egitimi tamamlandi sinavdan gecti")),ROWS($K$7:K490)),"")</f>
        <v>585</v>
      </c>
    </row>
    <row r="491" spans="1:11" ht="25.5" x14ac:dyDescent="0.25">
      <c r="A491" s="18">
        <f>IFERROR(INDEX(Personnel[Sicil],$K491),"")</f>
        <v>407121</v>
      </c>
      <c r="B491" s="17" t="str">
        <f>IFERROR(INDEX(Personnel[Adi Soyadi],$K491),"")</f>
        <v>Бекимбетов Эргашбай Джангирович</v>
      </c>
      <c r="C491" s="18" t="str">
        <f>IFERROR(INDEX(Personnel[Vatandaslik],$K491),"")</f>
        <v>УЗБЕКИСТАН</v>
      </c>
      <c r="D491" s="18" t="str">
        <f>IFERROR(INDEX(Personnel[Santiye],$K491),"")</f>
        <v>GPP Proje</v>
      </c>
      <c r="E491" s="18" t="str">
        <f>IFERROR(INDEX(Personnel[Ogretmen],$K491),"")</f>
        <v>Ziazetdinov Arslan / Ziazetdinov Arslan</v>
      </c>
      <c r="F491" s="17" t="str">
        <f>IFERROR(INDEX(Personnel[[Sinav ]],$K491),"")</f>
        <v>09.07.2026 Sineva gitti gecemedi /14.07.2026 Sineva gitti gecdi</v>
      </c>
      <c r="G491" s="17" t="str">
        <f>IFERROR(INDEX(Personnel[Egtim durumu],$K491),"")</f>
        <v>Dil egitimi tamamlandi sinavdan gecti</v>
      </c>
      <c r="H491" s="17" t="str">
        <f>IFERROR(INDEX(Personnel[Shohruh Not],$K491),"")</f>
        <v>-</v>
      </c>
      <c r="I491" s="22">
        <f ca="1">IFERROR(INDEX(Personnel[Дней в РФ],$K491),"")</f>
        <v>53</v>
      </c>
      <c r="K491" s="23">
        <f t="array" ref="K491">IFERROR(_xlfn.AGGREGATE(15,6,(ROW(Personnel[Egtim durumu])-MIN(ROW(Personnel[Egtim durumu]))+1)/((Personnel[Egtim durumu]="Dil egitimi tamamlandi sinavdan gecti")),ROWS($K$7:K491)),"")</f>
        <v>587</v>
      </c>
    </row>
    <row r="492" spans="1:11" ht="25.5" x14ac:dyDescent="0.25">
      <c r="A492" s="40">
        <f>IFERROR(INDEX(Personnel[Sicil],$K492),"")</f>
        <v>645634</v>
      </c>
      <c r="B492" s="41" t="str">
        <f>IFERROR(INDEX(Personnel[Adi Soyadi],$K492),"")</f>
        <v>Бобохонов Акмал Зиядуллаевич</v>
      </c>
      <c r="C492" s="40" t="str">
        <f>IFERROR(INDEX(Personnel[Vatandaslik],$K492),"")</f>
        <v>УЗБЕКИСТАН</v>
      </c>
      <c r="D492" s="40" t="str">
        <f>IFERROR(INDEX(Personnel[Santiye],$K492),"")</f>
        <v>GPP Proje</v>
      </c>
      <c r="E492" s="40" t="str">
        <f>IFERROR(INDEX(Personnel[Ogretmen],$K492),"")</f>
        <v>Ziazetdinov Arslan / Ziazetdinov Arslan</v>
      </c>
      <c r="F492" s="41" t="str">
        <f>IFERROR(INDEX(Personnel[[Sinav ]],$K492),"")</f>
        <v>Ic testimizden gecemedi 05.07.2026 /14.07.2026 Sineva gitti gecdi</v>
      </c>
      <c r="G492" s="41" t="str">
        <f>IFERROR(INDEX(Personnel[Egtim durumu],$K492),"")</f>
        <v>Dil egitimi tamamlandi sinavdan gecti</v>
      </c>
      <c r="H492" s="41" t="str">
        <f>IFERROR(INDEX(Personnel[Shohruh Not],$K492),"")</f>
        <v>Dil setifikasi var Toskenttan gecmis</v>
      </c>
      <c r="I492" s="42">
        <f ca="1">IFERROR(INDEX(Personnel[Дней в РФ],$K492),"")</f>
        <v>54</v>
      </c>
      <c r="K492" s="23">
        <f t="array" ref="K492">IFERROR(_xlfn.AGGREGATE(15,6,(ROW(Personnel[Egtim durumu])-MIN(ROW(Personnel[Egtim durumu]))+1)/((Personnel[Egtim durumu]="Dil egitimi tamamlandi sinavdan gecti")),ROWS($K$7:K492)),"")</f>
        <v>588</v>
      </c>
    </row>
    <row r="493" spans="1:11" ht="25.5" x14ac:dyDescent="0.25">
      <c r="A493" s="18">
        <f>IFERROR(INDEX(Personnel[Sicil],$K493),"")</f>
        <v>645658</v>
      </c>
      <c r="B493" s="17" t="str">
        <f>IFERROR(INDEX(Personnel[Adi Soyadi],$K493),"")</f>
        <v>Кенжаев Асрорбек Тулкин Угли</v>
      </c>
      <c r="C493" s="18" t="str">
        <f>IFERROR(INDEX(Personnel[Vatandaslik],$K493),"")</f>
        <v>УЗБЕКИСТАН</v>
      </c>
      <c r="D493" s="18" t="str">
        <f>IFERROR(INDEX(Personnel[Santiye],$K493),"")</f>
        <v>GPP Proje</v>
      </c>
      <c r="E493" s="18" t="str">
        <f>IFERROR(INDEX(Personnel[Ogretmen],$K493),"")</f>
        <v>Tyulina Natalya</v>
      </c>
      <c r="F493" s="17" t="str">
        <f>IFERROR(INDEX(Personnel[[Sinav ]],$K493),"")</f>
        <v>13.07.2026 Sineva gitti gecdi</v>
      </c>
      <c r="G493" s="17" t="str">
        <f>IFERROR(INDEX(Personnel[Egtim durumu],$K493),"")</f>
        <v>Dil egitimi tamamlandi sinavdan gecti</v>
      </c>
      <c r="H493" s="17" t="str">
        <f>IFERROR(INDEX(Personnel[Shohruh Not],$K493),"")</f>
        <v xml:space="preserve"> Tarih 05.07.2026 Bilgi verildi gelmedi</v>
      </c>
      <c r="I493" s="22">
        <f ca="1">IFERROR(INDEX(Personnel[Дней в РФ],$K493),"")</f>
        <v>53</v>
      </c>
      <c r="K493" s="23">
        <f t="array" ref="K493">IFERROR(_xlfn.AGGREGATE(15,6,(ROW(Personnel[Egtim durumu])-MIN(ROW(Personnel[Egtim durumu]))+1)/((Personnel[Egtim durumu]="Dil egitimi tamamlandi sinavdan gecti")),ROWS($K$7:K493)),"")</f>
        <v>589</v>
      </c>
    </row>
    <row r="494" spans="1:11" ht="25.5" x14ac:dyDescent="0.25">
      <c r="A494" s="40">
        <f>IFERROR(INDEX(Personnel[Sicil],$K494),"")</f>
        <v>645638</v>
      </c>
      <c r="B494" s="41" t="str">
        <f>IFERROR(INDEX(Personnel[Adi Soyadi],$K494),"")</f>
        <v xml:space="preserve">Хусанов Бекзод Уктамович </v>
      </c>
      <c r="C494" s="40" t="str">
        <f>IFERROR(INDEX(Personnel[Vatandaslik],$K494),"")</f>
        <v>УЗБЕКИСТАН</v>
      </c>
      <c r="D494" s="40" t="str">
        <f>IFERROR(INDEX(Personnel[Santiye],$K494),"")</f>
        <v>GPP Proje</v>
      </c>
      <c r="E494" s="40" t="str">
        <f>IFERROR(INDEX(Personnel[Ogretmen],$K494),"")</f>
        <v>Tyulina Natalya / Ziaztdinov Arslan</v>
      </c>
      <c r="F494" s="41" t="str">
        <f>IFERROR(INDEX(Personnel[[Sinav ]],$K494),"")</f>
        <v>13.07.2026 Sineva gitti gecemedi /20.07.2026 Sineva gitti gecdi</v>
      </c>
      <c r="G494" s="41" t="str">
        <f>IFERROR(INDEX(Personnel[Egtim durumu],$K494),"")</f>
        <v>Dil egitimi tamamlandi sinavdan gecti</v>
      </c>
      <c r="H494" s="41" t="str">
        <f>IFERROR(INDEX(Personnel[Shohruh Not],$K494),"")</f>
        <v xml:space="preserve"> Tarih 05.07.2026 Bilgi verildi gelmedi</v>
      </c>
      <c r="I494" s="42">
        <f ca="1">IFERROR(INDEX(Personnel[Дней в РФ],$K494),"")</f>
        <v>54</v>
      </c>
      <c r="K494" s="23">
        <f t="array" ref="K494">IFERROR(_xlfn.AGGREGATE(15,6,(ROW(Personnel[Egtim durumu])-MIN(ROW(Personnel[Egtim durumu]))+1)/((Personnel[Egtim durumu]="Dil egitimi tamamlandi sinavdan gecti")),ROWS($K$7:K494)),"")</f>
        <v>590</v>
      </c>
    </row>
    <row r="495" spans="1:11" x14ac:dyDescent="0.25">
      <c r="A495" s="18">
        <f>IFERROR(INDEX(Personnel[Sicil],$K495),"")</f>
        <v>645663</v>
      </c>
      <c r="B495" s="17" t="str">
        <f>IFERROR(INDEX(Personnel[Adi Soyadi],$K495),"")</f>
        <v>Кодирова Муяссар Махмудовна</v>
      </c>
      <c r="C495" s="18" t="str">
        <f>IFERROR(INDEX(Personnel[Vatandaslik],$K495),"")</f>
        <v>УЗБЕКИСТАН</v>
      </c>
      <c r="D495" s="18" t="str">
        <f>IFERROR(INDEX(Personnel[Santiye],$K495),"")</f>
        <v>GPP Proje</v>
      </c>
      <c r="E495" s="18" t="str">
        <f>IFERROR(INDEX(Personnel[Ogretmen],$K495),"")</f>
        <v xml:space="preserve">Ziazetdinov Arslan </v>
      </c>
      <c r="F495" s="17" t="str">
        <f>IFERROR(INDEX(Personnel[[Sinav ]],$K495),"")</f>
        <v>14.07.2026 Sineva gitti gecdi</v>
      </c>
      <c r="G495" s="17" t="str">
        <f>IFERROR(INDEX(Personnel[Egtim durumu],$K495),"")</f>
        <v>Dil egitimi tamamlandi sinavdan gecti</v>
      </c>
      <c r="H495" s="17" t="str">
        <f>IFERROR(INDEX(Personnel[Shohruh Not],$K495),"")</f>
        <v>-</v>
      </c>
      <c r="I495" s="22">
        <f ca="1">IFERROR(INDEX(Personnel[Дней в РФ],$K495),"")</f>
        <v>53</v>
      </c>
      <c r="K495" s="23">
        <f t="array" ref="K495">IFERROR(_xlfn.AGGREGATE(15,6,(ROW(Personnel[Egtim durumu])-MIN(ROW(Personnel[Egtim durumu]))+1)/((Personnel[Egtim durumu]="Dil egitimi tamamlandi sinavdan gecti")),ROWS($K$7:K495)),"")</f>
        <v>591</v>
      </c>
    </row>
    <row r="496" spans="1:11" ht="25.5" x14ac:dyDescent="0.25">
      <c r="A496" s="40">
        <f>IFERROR(INDEX(Personnel[Sicil],$K496),"")</f>
        <v>645661</v>
      </c>
      <c r="B496" s="41" t="str">
        <f>IFERROR(INDEX(Personnel[Adi Soyadi],$K496),"")</f>
        <v>Матёкубов Адхамбек Мансурбек Угли</v>
      </c>
      <c r="C496" s="40" t="str">
        <f>IFERROR(INDEX(Personnel[Vatandaslik],$K496),"")</f>
        <v>УЗБЕКИСТАН</v>
      </c>
      <c r="D496" s="40" t="str">
        <f>IFERROR(INDEX(Personnel[Santiye],$K496),"")</f>
        <v>GPP Proje</v>
      </c>
      <c r="E496" s="40" t="str">
        <f>IFERROR(INDEX(Personnel[Ogretmen],$K496),"")</f>
        <v>Tyulina Natalya</v>
      </c>
      <c r="F496" s="41" t="str">
        <f>IFERROR(INDEX(Personnel[[Sinav ]],$K496),"")</f>
        <v>13.07.2026 Sineva gitti gecdi</v>
      </c>
      <c r="G496" s="41" t="str">
        <f>IFERROR(INDEX(Personnel[Egtim durumu],$K496),"")</f>
        <v>Dil egitimi tamamlandi sinavdan gecti</v>
      </c>
      <c r="H496" s="41" t="str">
        <f>IFERROR(INDEX(Personnel[Shohruh Not],$K496),"")</f>
        <v xml:space="preserve"> Tarih 05.07.2026 Bilgi verildi gelmedi </v>
      </c>
      <c r="I496" s="42">
        <f ca="1">IFERROR(INDEX(Personnel[Дней в РФ],$K496),"")</f>
        <v>53</v>
      </c>
      <c r="K496" s="23">
        <f t="array" ref="K496">IFERROR(_xlfn.AGGREGATE(15,6,(ROW(Personnel[Egtim durumu])-MIN(ROW(Personnel[Egtim durumu]))+1)/((Personnel[Egtim durumu]="Dil egitimi tamamlandi sinavdan gecti")),ROWS($K$7:K496)),"")</f>
        <v>592</v>
      </c>
    </row>
    <row r="497" spans="1:11" ht="25.5" x14ac:dyDescent="0.25">
      <c r="A497" s="18">
        <f>IFERROR(INDEX(Personnel[Sicil],$K497),"")</f>
        <v>645667</v>
      </c>
      <c r="B497" s="17" t="str">
        <f>IFERROR(INDEX(Personnel[Adi Soyadi],$K497),"")</f>
        <v>Мирзахмедов Авазбек Абдуманноб Угли</v>
      </c>
      <c r="C497" s="18" t="str">
        <f>IFERROR(INDEX(Personnel[Vatandaslik],$K497),"")</f>
        <v>УЗБЕКИСТАН</v>
      </c>
      <c r="D497" s="18" t="str">
        <f>IFERROR(INDEX(Personnel[Santiye],$K497),"")</f>
        <v>GPP Proje</v>
      </c>
      <c r="E497" s="18" t="str">
        <f>IFERROR(INDEX(Personnel[Ogretmen],$K497),"")</f>
        <v>Ziazetdinov Arslan / Ziazetdinov Arslan</v>
      </c>
      <c r="F497" s="17" t="str">
        <f>IFERROR(INDEX(Personnel[[Sinav ]],$K497),"")</f>
        <v>Ic testimizden gecemiyor 10.07.2026 /20.07.2026 Sineva gitti gecdi</v>
      </c>
      <c r="G497" s="17" t="str">
        <f>IFERROR(INDEX(Personnel[Egtim durumu],$K497),"")</f>
        <v>Dil egitimi tamamlandi sinavdan gecti</v>
      </c>
      <c r="H497" s="17" t="str">
        <f>IFERROR(INDEX(Personnel[Shohruh Not],$K497),"")</f>
        <v xml:space="preserve">Tekrar egitime alinacak </v>
      </c>
      <c r="I497" s="22">
        <f ca="1">IFERROR(INDEX(Personnel[Дней в РФ],$K497),"")</f>
        <v>53</v>
      </c>
      <c r="K497" s="23">
        <f t="array" ref="K497">IFERROR(_xlfn.AGGREGATE(15,6,(ROW(Personnel[Egtim durumu])-MIN(ROW(Personnel[Egtim durumu]))+1)/((Personnel[Egtim durumu]="Dil egitimi tamamlandi sinavdan gecti")),ROWS($K$7:K497)),"")</f>
        <v>593</v>
      </c>
    </row>
    <row r="498" spans="1:11" ht="25.5" x14ac:dyDescent="0.25">
      <c r="A498" s="40">
        <f>IFERROR(INDEX(Personnel[Sicil],$K498),"")</f>
        <v>645664</v>
      </c>
      <c r="B498" s="41" t="str">
        <f>IFERROR(INDEX(Personnel[Adi Soyadi],$K498),"")</f>
        <v xml:space="preserve">Мусаев Тулкин Кенжаевич </v>
      </c>
      <c r="C498" s="40" t="str">
        <f>IFERROR(INDEX(Personnel[Vatandaslik],$K498),"")</f>
        <v>УЗБЕКИСТАН</v>
      </c>
      <c r="D498" s="40" t="str">
        <f>IFERROR(INDEX(Personnel[Santiye],$K498),"")</f>
        <v>GPP Proje</v>
      </c>
      <c r="E498" s="40" t="str">
        <f>IFERROR(INDEX(Personnel[Ogretmen],$K498),"")</f>
        <v>Tyulina Natalya</v>
      </c>
      <c r="F498" s="41" t="str">
        <f>IFERROR(INDEX(Personnel[[Sinav ]],$K498),"")</f>
        <v>13.07.2026 Sineva gitti gecdi</v>
      </c>
      <c r="G498" s="41" t="str">
        <f>IFERROR(INDEX(Personnel[Egtim durumu],$K498),"")</f>
        <v>Dil egitimi tamamlandi sinavdan gecti</v>
      </c>
      <c r="H498" s="41" t="str">
        <f>IFERROR(INDEX(Personnel[Shohruh Not],$K498),"")</f>
        <v xml:space="preserve"> Tarih 05.07.2026 Bilgi verildi gelmedi </v>
      </c>
      <c r="I498" s="42">
        <f ca="1">IFERROR(INDEX(Personnel[Дней в РФ],$K498),"")</f>
        <v>53</v>
      </c>
      <c r="K498" s="23">
        <f t="array" ref="K498">IFERROR(_xlfn.AGGREGATE(15,6,(ROW(Personnel[Egtim durumu])-MIN(ROW(Personnel[Egtim durumu]))+1)/((Personnel[Egtim durumu]="Dil egitimi tamamlandi sinavdan gecti")),ROWS($K$7:K498)),"")</f>
        <v>594</v>
      </c>
    </row>
    <row r="499" spans="1:11" ht="25.5" x14ac:dyDescent="0.25">
      <c r="A499" s="18">
        <f>IFERROR(INDEX(Personnel[Sicil],$K499),"")</f>
        <v>634711</v>
      </c>
      <c r="B499" s="17" t="str">
        <f>IFERROR(INDEX(Personnel[Adi Soyadi],$K499),"")</f>
        <v>Тошпулатов Хаким Давлятмурод Угли</v>
      </c>
      <c r="C499" s="18" t="str">
        <f>IFERROR(INDEX(Personnel[Vatandaslik],$K499),"")</f>
        <v>УЗБЕКИСТАН</v>
      </c>
      <c r="D499" s="18" t="str">
        <f>IFERROR(INDEX(Personnel[Santiye],$K499),"")</f>
        <v>GPP Proje</v>
      </c>
      <c r="E499" s="18" t="str">
        <f>IFERROR(INDEX(Personnel[Ogretmen],$K499),"")</f>
        <v xml:space="preserve">Ziazetdinov Arslan </v>
      </c>
      <c r="F499" s="17" t="str">
        <f>IFERROR(INDEX(Personnel[[Sinav ]],$K499),"")</f>
        <v>16.07.2026 Sineva gitti gecdi</v>
      </c>
      <c r="G499" s="17" t="str">
        <f>IFERROR(INDEX(Personnel[Egtim durumu],$K499),"")</f>
        <v>Dil egitimi tamamlandi sinavdan gecti</v>
      </c>
      <c r="H499" s="17" t="str">
        <f>IFERROR(INDEX(Personnel[Shohruh Not],$K499),"")</f>
        <v>-</v>
      </c>
      <c r="I499" s="22">
        <f ca="1">IFERROR(INDEX(Personnel[Дней в РФ],$K499),"")</f>
        <v>51</v>
      </c>
      <c r="K499" s="23">
        <f t="array" ref="K499">IFERROR(_xlfn.AGGREGATE(15,6,(ROW(Personnel[Egtim durumu])-MIN(ROW(Personnel[Egtim durumu]))+1)/((Personnel[Egtim durumu]="Dil egitimi tamamlandi sinavdan gecti")),ROWS($K$7:K499)),"")</f>
        <v>595</v>
      </c>
    </row>
    <row r="500" spans="1:11" x14ac:dyDescent="0.25">
      <c r="A500" s="40">
        <f>IFERROR(INDEX(Personnel[Sicil],$K500),"")</f>
        <v>644691</v>
      </c>
      <c r="B500" s="41" t="str">
        <f>IFERROR(INDEX(Personnel[Adi Soyadi],$K500),"")</f>
        <v>Эшназаров Аббос Аброр угли</v>
      </c>
      <c r="C500" s="40" t="str">
        <f>IFERROR(INDEX(Personnel[Vatandaslik],$K500),"")</f>
        <v>УЗБЕКИСТАН</v>
      </c>
      <c r="D500" s="40" t="str">
        <f>IFERROR(INDEX(Personnel[Santiye],$K500),"")</f>
        <v>GPP Proje</v>
      </c>
      <c r="E500" s="40" t="str">
        <f>IFERROR(INDEX(Personnel[Ogretmen],$K500),"")</f>
        <v xml:space="preserve">Ziazetdinov Arslan </v>
      </c>
      <c r="F500" s="41" t="str">
        <f>IFERROR(INDEX(Personnel[[Sinav ]],$K500),"")</f>
        <v>16.07.2026 Sineva gitti gecdi</v>
      </c>
      <c r="G500" s="41" t="str">
        <f>IFERROR(INDEX(Personnel[Egtim durumu],$K500),"")</f>
        <v>Dil egitimi tamamlandi sinavdan gecti</v>
      </c>
      <c r="H500" s="41" t="str">
        <f>IFERROR(INDEX(Personnel[Shohruh Not],$K500),"")</f>
        <v>-</v>
      </c>
      <c r="I500" s="42">
        <f ca="1">IFERROR(INDEX(Personnel[Дней в РФ],$K500),"")</f>
        <v>51</v>
      </c>
      <c r="K500" s="23">
        <f t="array" ref="K500">IFERROR(_xlfn.AGGREGATE(15,6,(ROW(Personnel[Egtim durumu])-MIN(ROW(Personnel[Egtim durumu]))+1)/((Personnel[Egtim durumu]="Dil egitimi tamamlandi sinavdan gecti")),ROWS($K$7:K500)),"")</f>
        <v>596</v>
      </c>
    </row>
    <row r="501" spans="1:11" x14ac:dyDescent="0.25">
      <c r="A501" s="18">
        <f>IFERROR(INDEX(Personnel[Sicil],$K501),"")</f>
        <v>645656</v>
      </c>
      <c r="B501" s="17" t="str">
        <f>IFERROR(INDEX(Personnel[Adi Soyadi],$K501),"")</f>
        <v xml:space="preserve">Омонбоев Жамшидбек Тулкин Угли </v>
      </c>
      <c r="C501" s="18" t="str">
        <f>IFERROR(INDEX(Personnel[Vatandaslik],$K501),"")</f>
        <v>УЗБЕКИСТАН</v>
      </c>
      <c r="D501" s="18" t="str">
        <f>IFERROR(INDEX(Personnel[Santiye],$K501),"")</f>
        <v>GPP Proje</v>
      </c>
      <c r="E501" s="18" t="str">
        <f>IFERROR(INDEX(Personnel[Ogretmen],$K501),"")</f>
        <v xml:space="preserve">Ziazetdinov Arslan </v>
      </c>
      <c r="F501" s="17" t="str">
        <f>IFERROR(INDEX(Personnel[[Sinav ]],$K501),"")</f>
        <v>14.07.2026 Sineva gitti gecdi</v>
      </c>
      <c r="G501" s="17" t="str">
        <f>IFERROR(INDEX(Personnel[Egtim durumu],$K501),"")</f>
        <v>Dil egitimi tamamlandi sinavdan gecti</v>
      </c>
      <c r="H501" s="17" t="str">
        <f>IFERROR(INDEX(Personnel[Shohruh Not],$K501),"")</f>
        <v>-</v>
      </c>
      <c r="I501" s="22">
        <f ca="1">IFERROR(INDEX(Personnel[Дней в РФ],$K501),"")</f>
        <v>53</v>
      </c>
      <c r="K501" s="23">
        <f t="array" ref="K501">IFERROR(_xlfn.AGGREGATE(15,6,(ROW(Personnel[Egtim durumu])-MIN(ROW(Personnel[Egtim durumu]))+1)/((Personnel[Egtim durumu]="Dil egitimi tamamlandi sinavdan gecti")),ROWS($K$7:K501)),"")</f>
        <v>598</v>
      </c>
    </row>
    <row r="502" spans="1:11" x14ac:dyDescent="0.25">
      <c r="A502" s="40">
        <f>IFERROR(INDEX(Personnel[Sicil],$K502),"")</f>
        <v>609388</v>
      </c>
      <c r="B502" s="41" t="str">
        <f>IFERROR(INDEX(Personnel[Adi Soyadi],$K502),"")</f>
        <v>Отажанов Шохрух Давронбек Угли</v>
      </c>
      <c r="C502" s="40" t="str">
        <f>IFERROR(INDEX(Personnel[Vatandaslik],$K502),"")</f>
        <v>УЗБЕКИСТАН</v>
      </c>
      <c r="D502" s="40" t="str">
        <f>IFERROR(INDEX(Personnel[Santiye],$K502),"")</f>
        <v>GPP Proje</v>
      </c>
      <c r="E502" s="40" t="str">
        <f>IFERROR(INDEX(Personnel[Ogretmen],$K502),"")</f>
        <v xml:space="preserve">Ziazetdinov Arslan </v>
      </c>
      <c r="F502" s="41" t="str">
        <f>IFERROR(INDEX(Personnel[[Sinav ]],$K502),"")</f>
        <v>14.07.2026 Sineva gitti gecdi</v>
      </c>
      <c r="G502" s="41" t="str">
        <f>IFERROR(INDEX(Personnel[Egtim durumu],$K502),"")</f>
        <v>Dil egitimi tamamlandi sinavdan gecti</v>
      </c>
      <c r="H502" s="41" t="str">
        <f>IFERROR(INDEX(Personnel[Shohruh Not],$K502),"")</f>
        <v>-</v>
      </c>
      <c r="I502" s="42">
        <f ca="1">IFERROR(INDEX(Personnel[Дней в РФ],$K502),"")</f>
        <v>49</v>
      </c>
      <c r="K502" s="23">
        <f t="array" ref="K502">IFERROR(_xlfn.AGGREGATE(15,6,(ROW(Personnel[Egtim durumu])-MIN(ROW(Personnel[Egtim durumu]))+1)/((Personnel[Egtim durumu]="Dil egitimi tamamlandi sinavdan gecti")),ROWS($K$7:K502)),"")</f>
        <v>599</v>
      </c>
    </row>
    <row r="503" spans="1:11" x14ac:dyDescent="0.25">
      <c r="A503" s="18">
        <f>IFERROR(INDEX(Personnel[Sicil],$K503),"")</f>
        <v>645816</v>
      </c>
      <c r="B503" s="17" t="str">
        <f>IFERROR(INDEX(Personnel[Adi Soyadi],$K503),"")</f>
        <v xml:space="preserve">Тургунов Отабек Уткир Угли </v>
      </c>
      <c r="C503" s="18" t="str">
        <f>IFERROR(INDEX(Personnel[Vatandaslik],$K503),"")</f>
        <v>УЗБЕКИСТАН</v>
      </c>
      <c r="D503" s="18" t="str">
        <f>IFERROR(INDEX(Personnel[Santiye],$K503),"")</f>
        <v>GPP Proje</v>
      </c>
      <c r="E503" s="18" t="str">
        <f>IFERROR(INDEX(Personnel[Ogretmen],$K503),"")</f>
        <v xml:space="preserve">Ziazetdinov Arslan </v>
      </c>
      <c r="F503" s="17" t="str">
        <f>IFERROR(INDEX(Personnel[[Sinav ]],$K503),"")</f>
        <v>14.07.2026 Sineva gitti gecdi</v>
      </c>
      <c r="G503" s="17" t="str">
        <f>IFERROR(INDEX(Personnel[Egtim durumu],$K503),"")</f>
        <v>Dil egitimi tamamlandi sinavdan gecti</v>
      </c>
      <c r="H503" s="17" t="str">
        <f>IFERROR(INDEX(Personnel[Shohruh Not],$K503),"")</f>
        <v>-</v>
      </c>
      <c r="I503" s="22">
        <f ca="1">IFERROR(INDEX(Personnel[Дней в РФ],$K503),"")</f>
        <v>55</v>
      </c>
      <c r="K503" s="23">
        <f t="array" ref="K503">IFERROR(_xlfn.AGGREGATE(15,6,(ROW(Personnel[Egtim durumu])-MIN(ROW(Personnel[Egtim durumu]))+1)/((Personnel[Egtim durumu]="Dil egitimi tamamlandi sinavdan gecti")),ROWS($K$7:K503)),"")</f>
        <v>600</v>
      </c>
    </row>
    <row r="504" spans="1:11" x14ac:dyDescent="0.25">
      <c r="A504" s="40">
        <f>IFERROR(INDEX(Personnel[Sicil],$K504),"")</f>
        <v>605797</v>
      </c>
      <c r="B504" s="41" t="str">
        <f>IFERROR(INDEX(Personnel[Adi Soyadi],$K504),"")</f>
        <v>Реймбаева Гулсанам Сабуровна</v>
      </c>
      <c r="C504" s="40" t="str">
        <f>IFERROR(INDEX(Personnel[Vatandaslik],$K504),"")</f>
        <v>УЗБЕКИСТАН</v>
      </c>
      <c r="D504" s="40" t="str">
        <f>IFERROR(INDEX(Personnel[Santiye],$K504),"")</f>
        <v>GPP Proje</v>
      </c>
      <c r="E504" s="40" t="str">
        <f>IFERROR(INDEX(Personnel[Ogretmen],$K504),"")</f>
        <v xml:space="preserve">Ziazetdinov Arslan </v>
      </c>
      <c r="F504" s="41" t="str">
        <f>IFERROR(INDEX(Personnel[[Sinav ]],$K504),"")</f>
        <v>14.07.2026 Sineva gitti gecdi</v>
      </c>
      <c r="G504" s="41" t="str">
        <f>IFERROR(INDEX(Personnel[Egtim durumu],$K504),"")</f>
        <v>Dil egitimi tamamlandi sinavdan gecti</v>
      </c>
      <c r="H504" s="41" t="str">
        <f>IFERROR(INDEX(Personnel[Shohruh Not],$K504),"")</f>
        <v>-</v>
      </c>
      <c r="I504" s="42">
        <f ca="1">IFERROR(INDEX(Personnel[Дней в РФ],$K504),"")</f>
        <v>49</v>
      </c>
      <c r="K504" s="23">
        <f t="array" ref="K504">IFERROR(_xlfn.AGGREGATE(15,6,(ROW(Personnel[Egtim durumu])-MIN(ROW(Personnel[Egtim durumu]))+1)/((Personnel[Egtim durumu]="Dil egitimi tamamlandi sinavdan gecti")),ROWS($K$7:K504)),"")</f>
        <v>601</v>
      </c>
    </row>
    <row r="505" spans="1:11" x14ac:dyDescent="0.25">
      <c r="A505" s="18">
        <f>IFERROR(INDEX(Personnel[Sicil],$K505),"")</f>
        <v>530253</v>
      </c>
      <c r="B505" s="17" t="str">
        <f>IFERROR(INDEX(Personnel[Adi Soyadi],$K505),"")</f>
        <v>Якубов Дилшод Аллаберганович</v>
      </c>
      <c r="C505" s="18" t="str">
        <f>IFERROR(INDEX(Personnel[Vatandaslik],$K505),"")</f>
        <v>УЗБЕКИСТАН</v>
      </c>
      <c r="D505" s="18" t="str">
        <f>IFERROR(INDEX(Personnel[Santiye],$K505),"")</f>
        <v>GPP Proje</v>
      </c>
      <c r="E505" s="18" t="str">
        <f>IFERROR(INDEX(Personnel[Ogretmen],$K505),"")</f>
        <v xml:space="preserve">Ziazetdinov Arslan </v>
      </c>
      <c r="F505" s="17" t="str">
        <f>IFERROR(INDEX(Personnel[[Sinav ]],$K505),"")</f>
        <v>16.07.2026 Sineva gitti gecdi</v>
      </c>
      <c r="G505" s="17" t="str">
        <f>IFERROR(INDEX(Personnel[Egtim durumu],$K505),"")</f>
        <v>Dil egitimi tamamlandi sinavdan gecti</v>
      </c>
      <c r="H505" s="17" t="str">
        <f>IFERROR(INDEX(Personnel[Shohruh Not],$K505),"")</f>
        <v>-</v>
      </c>
      <c r="I505" s="22">
        <f ca="1">IFERROR(INDEX(Personnel[Дней в РФ],$K505),"")</f>
        <v>49</v>
      </c>
      <c r="K505" s="23">
        <f t="array" ref="K505">IFERROR(_xlfn.AGGREGATE(15,6,(ROW(Personnel[Egtim durumu])-MIN(ROW(Personnel[Egtim durumu]))+1)/((Personnel[Egtim durumu]="Dil egitimi tamamlandi sinavdan gecti")),ROWS($K$7:K505)),"")</f>
        <v>602</v>
      </c>
    </row>
    <row r="506" spans="1:11" ht="38.25" x14ac:dyDescent="0.25">
      <c r="A506" s="40">
        <f>IFERROR(INDEX(Personnel[Sicil],$K506),"")</f>
        <v>645981</v>
      </c>
      <c r="B506" s="41" t="str">
        <f>IFERROR(INDEX(Personnel[Adi Soyadi],$K506),"")</f>
        <v>Абдимуродов Темурмалик Тоштурди Угли</v>
      </c>
      <c r="C506" s="40" t="str">
        <f>IFERROR(INDEX(Personnel[Vatandaslik],$K506),"")</f>
        <v>УЗБЕКИСТАН</v>
      </c>
      <c r="D506" s="40" t="str">
        <f>IFERROR(INDEX(Personnel[Santiye],$K506),"")</f>
        <v>GPP Proje</v>
      </c>
      <c r="E506" s="40" t="str">
        <f>IFERROR(INDEX(Personnel[Ogretmen],$K506),"")</f>
        <v>Ziazetdinov Arslan / Ziazetdinov Arslan</v>
      </c>
      <c r="F506" s="41" t="str">
        <f>IFERROR(INDEX(Personnel[[Sinav ]],$K506),"")</f>
        <v>Ic testimizden gecemiyor 12.07.2026 egitime alindi /20.07.2026 Sineva gitti gecdi</v>
      </c>
      <c r="G506" s="41" t="str">
        <f>IFERROR(INDEX(Personnel[Egtim durumu],$K506),"")</f>
        <v>Dil egitimi tamamlandi sinavdan gecti</v>
      </c>
      <c r="H506" s="41" t="str">
        <f>IFERROR(INDEX(Personnel[Shohruh Not],$K506),"")</f>
        <v xml:space="preserve">Tekrar egitime alinacak </v>
      </c>
      <c r="I506" s="42">
        <f ca="1">IFERROR(INDEX(Personnel[Дней в РФ],$K506),"")</f>
        <v>48</v>
      </c>
      <c r="K506" s="23">
        <f t="array" ref="K506">IFERROR(_xlfn.AGGREGATE(15,6,(ROW(Personnel[Egtim durumu])-MIN(ROW(Personnel[Egtim durumu]))+1)/((Personnel[Egtim durumu]="Dil egitimi tamamlandi sinavdan gecti")),ROWS($K$7:K506)),"")</f>
        <v>603</v>
      </c>
    </row>
    <row r="507" spans="1:11" ht="38.25" x14ac:dyDescent="0.25">
      <c r="A507" s="18">
        <f>IFERROR(INDEX(Personnel[Sicil],$K507),"")</f>
        <v>645984</v>
      </c>
      <c r="B507" s="17" t="str">
        <f>IFERROR(INDEX(Personnel[Adi Soyadi],$K507),"")</f>
        <v>Чутбоев Бектемир Юсупович</v>
      </c>
      <c r="C507" s="18" t="str">
        <f>IFERROR(INDEX(Personnel[Vatandaslik],$K507),"")</f>
        <v>УЗБЕКИСТАН</v>
      </c>
      <c r="D507" s="18" t="str">
        <f>IFERROR(INDEX(Personnel[Santiye],$K507),"")</f>
        <v>GPP Proje</v>
      </c>
      <c r="E507" s="18" t="str">
        <f>IFERROR(INDEX(Personnel[Ogretmen],$K507),"")</f>
        <v>Ziazetdinov Arslan / Ziazetdinov Arslan</v>
      </c>
      <c r="F507" s="17" t="str">
        <f>IFERROR(INDEX(Personnel[[Sinav ]],$K507),"")</f>
        <v>Ic testimizden gecemiyor 12.07.2026 egitime alindi /20.07.2026 Sineva gitti gecdi</v>
      </c>
      <c r="G507" s="17" t="str">
        <f>IFERROR(INDEX(Personnel[Egtim durumu],$K507),"")</f>
        <v>Dil egitimi tamamlandi sinavdan gecti</v>
      </c>
      <c r="H507" s="17" t="str">
        <f>IFERROR(INDEX(Personnel[Shohruh Not],$K507),"")</f>
        <v xml:space="preserve">Tekrar egitime alinacak </v>
      </c>
      <c r="I507" s="22">
        <f ca="1">IFERROR(INDEX(Personnel[Дней в РФ],$K507),"")</f>
        <v>48</v>
      </c>
      <c r="K507" s="23">
        <f t="array" ref="K507">IFERROR(_xlfn.AGGREGATE(15,6,(ROW(Personnel[Egtim durumu])-MIN(ROW(Personnel[Egtim durumu]))+1)/((Personnel[Egtim durumu]="Dil egitimi tamamlandi sinavdan gecti")),ROWS($K$7:K507)),"")</f>
        <v>604</v>
      </c>
    </row>
    <row r="508" spans="1:11" x14ac:dyDescent="0.25">
      <c r="A508" s="40">
        <f>IFERROR(INDEX(Personnel[Sicil],$K508),"")</f>
        <v>478303</v>
      </c>
      <c r="B508" s="41" t="str">
        <f>IFERROR(INDEX(Personnel[Adi Soyadi],$K508),"")</f>
        <v>Джуманиёзов Зокиржон Аминович</v>
      </c>
      <c r="C508" s="40" t="str">
        <f>IFERROR(INDEX(Personnel[Vatandaslik],$K508),"")</f>
        <v>УЗБЕКИСТАН</v>
      </c>
      <c r="D508" s="40" t="str">
        <f>IFERROR(INDEX(Personnel[Santiye],$K508),"")</f>
        <v>GPP Proje</v>
      </c>
      <c r="E508" s="40" t="str">
        <f>IFERROR(INDEX(Personnel[Ogretmen],$K508),"")</f>
        <v xml:space="preserve">Ziazetdinov Arslan </v>
      </c>
      <c r="F508" s="41" t="str">
        <f>IFERROR(INDEX(Personnel[[Sinav ]],$K508),"")</f>
        <v>16.07.2026 Sineva gitti gecdi</v>
      </c>
      <c r="G508" s="41" t="str">
        <f>IFERROR(INDEX(Personnel[Egtim durumu],$K508),"")</f>
        <v>Dil egitimi tamamlandi sinavdan gecti</v>
      </c>
      <c r="H508" s="41" t="str">
        <f>IFERROR(INDEX(Personnel[Shohruh Not],$K508),"")</f>
        <v>-</v>
      </c>
      <c r="I508" s="42">
        <f ca="1">IFERROR(INDEX(Personnel[Дней в РФ],$K508),"")</f>
        <v>48</v>
      </c>
      <c r="K508" s="23">
        <f t="array" ref="K508">IFERROR(_xlfn.AGGREGATE(15,6,(ROW(Personnel[Egtim durumu])-MIN(ROW(Personnel[Egtim durumu]))+1)/((Personnel[Egtim durumu]="Dil egitimi tamamlandi sinavdan gecti")),ROWS($K$7:K508)),"")</f>
        <v>605</v>
      </c>
    </row>
    <row r="509" spans="1:11" x14ac:dyDescent="0.25">
      <c r="A509" s="18">
        <f>IFERROR(INDEX(Personnel[Sicil],$K509),"")</f>
        <v>268006</v>
      </c>
      <c r="B509" s="17" t="str">
        <f>IFERROR(INDEX(Personnel[Adi Soyadi],$K509),"")</f>
        <v>Рахманов Шухрат Шохмирзоевич</v>
      </c>
      <c r="C509" s="18" t="str">
        <f>IFERROR(INDEX(Personnel[Vatandaslik],$K509),"")</f>
        <v>ТАДЖИКИСТАН</v>
      </c>
      <c r="D509" s="18" t="str">
        <f>IFERROR(INDEX(Personnel[Santiye],$K509),"")</f>
        <v>GPP Proje</v>
      </c>
      <c r="E509" s="18" t="str">
        <f>IFERROR(INDEX(Personnel[Ogretmen],$K509),"")</f>
        <v xml:space="preserve">Ziazetdinov Arslan </v>
      </c>
      <c r="F509" s="17" t="str">
        <f>IFERROR(INDEX(Personnel[[Sinav ]],$K509),"")</f>
        <v>16.07.2026 Sineva gitti gecdi</v>
      </c>
      <c r="G509" s="17" t="str">
        <f>IFERROR(INDEX(Personnel[Egtim durumu],$K509),"")</f>
        <v>Dil egitimi tamamlandi sinavdan gecti</v>
      </c>
      <c r="H509" s="17" t="str">
        <f>IFERROR(INDEX(Personnel[Shohruh Not],$K509),"")</f>
        <v>-</v>
      </c>
      <c r="I509" s="22">
        <f ca="1">IFERROR(INDEX(Personnel[Дней в РФ],$K509),"")</f>
        <v>47</v>
      </c>
      <c r="K509" s="23">
        <f t="array" ref="K509">IFERROR(_xlfn.AGGREGATE(15,6,(ROW(Personnel[Egtim durumu])-MIN(ROW(Personnel[Egtim durumu]))+1)/((Personnel[Egtim durumu]="Dil egitimi tamamlandi sinavdan gecti")),ROWS($K$7:K509)),"")</f>
        <v>608</v>
      </c>
    </row>
    <row r="510" spans="1:11" x14ac:dyDescent="0.25">
      <c r="A510" s="40">
        <f>IFERROR(INDEX(Personnel[Sicil],$K510),"")</f>
        <v>645983</v>
      </c>
      <c r="B510" s="41" t="str">
        <f>IFERROR(INDEX(Personnel[Adi Soyadi],$K510),"")</f>
        <v xml:space="preserve">Саидов Максад Худайберганович </v>
      </c>
      <c r="C510" s="40" t="str">
        <f>IFERROR(INDEX(Personnel[Vatandaslik],$K510),"")</f>
        <v>УЗБЕКИСТАН</v>
      </c>
      <c r="D510" s="40" t="str">
        <f>IFERROR(INDEX(Personnel[Santiye],$K510),"")</f>
        <v>GPP Proje</v>
      </c>
      <c r="E510" s="40" t="str">
        <f>IFERROR(INDEX(Personnel[Ogretmen],$K510),"")</f>
        <v xml:space="preserve">Ziazetdinov Arslan </v>
      </c>
      <c r="F510" s="41" t="str">
        <f>IFERROR(INDEX(Personnel[[Sinav ]],$K510),"")</f>
        <v>16.07.2026 Sineva gitti gecdi</v>
      </c>
      <c r="G510" s="41" t="str">
        <f>IFERROR(INDEX(Personnel[Egtim durumu],$K510),"")</f>
        <v>Dil egitimi tamamlandi sinavdan gecti</v>
      </c>
      <c r="H510" s="41" t="str">
        <f>IFERROR(INDEX(Personnel[Shohruh Not],$K510),"")</f>
        <v>-</v>
      </c>
      <c r="I510" s="42">
        <f ca="1">IFERROR(INDEX(Personnel[Дней в РФ],$K510),"")</f>
        <v>48</v>
      </c>
      <c r="K510" s="23">
        <f t="array" ref="K510">IFERROR(_xlfn.AGGREGATE(15,6,(ROW(Personnel[Egtim durumu])-MIN(ROW(Personnel[Egtim durumu]))+1)/((Personnel[Egtim durumu]="Dil egitimi tamamlandi sinavdan gecti")),ROWS($K$7:K510)),"")</f>
        <v>609</v>
      </c>
    </row>
    <row r="511" spans="1:11" x14ac:dyDescent="0.25">
      <c r="A511" s="18">
        <f>IFERROR(INDEX(Personnel[Sicil],$K511),"")</f>
        <v>646003</v>
      </c>
      <c r="B511" s="17" t="str">
        <f>IFERROR(INDEX(Personnel[Adi Soyadi],$K511),"")</f>
        <v>Каримов Бахтиёр Янгибой Угли</v>
      </c>
      <c r="C511" s="18" t="str">
        <f>IFERROR(INDEX(Personnel[Vatandaslik],$K511),"")</f>
        <v>УЗБЕКИСТАН</v>
      </c>
      <c r="D511" s="18" t="str">
        <f>IFERROR(INDEX(Personnel[Santiye],$K511),"")</f>
        <v>GPP Proje</v>
      </c>
      <c r="E511" s="18" t="str">
        <f>IFERROR(INDEX(Personnel[Ogretmen],$K511),"")</f>
        <v xml:space="preserve">Ziazetdinov Arslan </v>
      </c>
      <c r="F511" s="17" t="str">
        <f>IFERROR(INDEX(Personnel[[Sinav ]],$K511),"")</f>
        <v>16.07.2026 Sineva gitti gecdi</v>
      </c>
      <c r="G511" s="17" t="str">
        <f>IFERROR(INDEX(Personnel[Egtim durumu],$K511),"")</f>
        <v>Dil egitimi tamamlandi sinavdan gecti</v>
      </c>
      <c r="H511" s="17" t="str">
        <f>IFERROR(INDEX(Personnel[Shohruh Not],$K511),"")</f>
        <v>-</v>
      </c>
      <c r="I511" s="22">
        <f ca="1">IFERROR(INDEX(Personnel[Дней в РФ],$K511),"")</f>
        <v>47</v>
      </c>
      <c r="K511" s="23">
        <f t="array" ref="K511">IFERROR(_xlfn.AGGREGATE(15,6,(ROW(Personnel[Egtim durumu])-MIN(ROW(Personnel[Egtim durumu]))+1)/((Personnel[Egtim durumu]="Dil egitimi tamamlandi sinavdan gecti")),ROWS($K$7:K511)),"")</f>
        <v>612</v>
      </c>
    </row>
    <row r="512" spans="1:11" x14ac:dyDescent="0.25">
      <c r="A512" s="40">
        <f>IFERROR(INDEX(Personnel[Sicil],$K512),"")</f>
        <v>646158</v>
      </c>
      <c r="B512" s="41" t="str">
        <f>IFERROR(INDEX(Personnel[Adi Soyadi],$K512),"")</f>
        <v>Иргашев Жахонгир Рустам Угли</v>
      </c>
      <c r="C512" s="40" t="str">
        <f>IFERROR(INDEX(Personnel[Vatandaslik],$K512),"")</f>
        <v>УЗБЕКИСТАН</v>
      </c>
      <c r="D512" s="40" t="str">
        <f>IFERROR(INDEX(Personnel[Santiye],$K512),"")</f>
        <v>GPP Proje</v>
      </c>
      <c r="E512" s="40" t="str">
        <f>IFERROR(INDEX(Personnel[Ogretmen],$K512),"")</f>
        <v>Tyulina Natalya</v>
      </c>
      <c r="F512" s="41" t="str">
        <f>IFERROR(INDEX(Personnel[[Sinav ]],$K512),"")</f>
        <v>28.07.2026 Sineva gitti gecdi</v>
      </c>
      <c r="G512" s="41" t="str">
        <f>IFERROR(INDEX(Personnel[Egtim durumu],$K512),"")</f>
        <v>Dil egitimi tamamlandi sinavdan gecti</v>
      </c>
      <c r="H512" s="41" t="str">
        <f>IFERROR(INDEX(Personnel[Shohruh Not],$K512),"")</f>
        <v>-</v>
      </c>
      <c r="I512" s="42">
        <f ca="1">IFERROR(INDEX(Personnel[Дней в РФ],$K512),"")</f>
        <v>46</v>
      </c>
      <c r="K512" s="23">
        <f t="array" ref="K512">IFERROR(_xlfn.AGGREGATE(15,6,(ROW(Personnel[Egtim durumu])-MIN(ROW(Personnel[Egtim durumu]))+1)/((Personnel[Egtim durumu]="Dil egitimi tamamlandi sinavdan gecti")),ROWS($K$7:K512)),"")</f>
        <v>615</v>
      </c>
    </row>
    <row r="513" spans="1:11" x14ac:dyDescent="0.25">
      <c r="A513" s="18">
        <f>IFERROR(INDEX(Personnel[Sicil],$K513),"")</f>
        <v>617058</v>
      </c>
      <c r="B513" s="17" t="str">
        <f>IFERROR(INDEX(Personnel[Adi Soyadi],$K513),"")</f>
        <v>Хакимов Жасурбек Абдумумин Угли</v>
      </c>
      <c r="C513" s="18" t="str">
        <f>IFERROR(INDEX(Personnel[Vatandaslik],$K513),"")</f>
        <v>УЗБЕКИСТАН</v>
      </c>
      <c r="D513" s="18" t="str">
        <f>IFERROR(INDEX(Personnel[Santiye],$K513),"")</f>
        <v>GPP Proje</v>
      </c>
      <c r="E513" s="18" t="str">
        <f>IFERROR(INDEX(Personnel[Ogretmen],$K513),"")</f>
        <v xml:space="preserve">Ziazetdinov Arslan </v>
      </c>
      <c r="F513" s="17" t="str">
        <f>IFERROR(INDEX(Personnel[[Sinav ]],$K513),"")</f>
        <v>20.07.2026 Sineva gitti gecdi</v>
      </c>
      <c r="G513" s="17" t="str">
        <f>IFERROR(INDEX(Personnel[Egtim durumu],$K513),"")</f>
        <v>Dil egitimi tamamlandi sinavdan gecti</v>
      </c>
      <c r="H513" s="17" t="str">
        <f>IFERROR(INDEX(Personnel[Shohruh Not],$K513),"")</f>
        <v>-</v>
      </c>
      <c r="I513" s="22">
        <f ca="1">IFERROR(INDEX(Personnel[Дней в РФ],$K513),"")</f>
        <v>46</v>
      </c>
      <c r="K513" s="23">
        <f t="array" ref="K513">IFERROR(_xlfn.AGGREGATE(15,6,(ROW(Personnel[Egtim durumu])-MIN(ROW(Personnel[Egtim durumu]))+1)/((Personnel[Egtim durumu]="Dil egitimi tamamlandi sinavdan gecti")),ROWS($K$7:K513)),"")</f>
        <v>616</v>
      </c>
    </row>
    <row r="514" spans="1:11" ht="25.5" x14ac:dyDescent="0.25">
      <c r="A514" s="40">
        <f>IFERROR(INDEX(Personnel[Sicil],$K514),"")</f>
        <v>646167</v>
      </c>
      <c r="B514" s="41" t="str">
        <f>IFERROR(INDEX(Personnel[Adi Soyadi],$K514),"")</f>
        <v>Холикулов Шерзод Юлдашмуродович</v>
      </c>
      <c r="C514" s="40" t="str">
        <f>IFERROR(INDEX(Personnel[Vatandaslik],$K514),"")</f>
        <v>УЗБЕКИСТАН</v>
      </c>
      <c r="D514" s="40" t="str">
        <f>IFERROR(INDEX(Personnel[Santiye],$K514),"")</f>
        <v>GPP Proje</v>
      </c>
      <c r="E514" s="40" t="str">
        <f>IFERROR(INDEX(Personnel[Ogretmen],$K514),"")</f>
        <v xml:space="preserve">Ziazetdinov Arslan </v>
      </c>
      <c r="F514" s="41" t="str">
        <f>IFERROR(INDEX(Personnel[[Sinav ]],$K514),"")</f>
        <v>20.07.2026 Sineva gitti gecdi</v>
      </c>
      <c r="G514" s="41" t="str">
        <f>IFERROR(INDEX(Personnel[Egtim durumu],$K514),"")</f>
        <v>Dil egitimi tamamlandi sinavdan gecti</v>
      </c>
      <c r="H514" s="41" t="str">
        <f>IFERROR(INDEX(Personnel[Shohruh Not],$K514),"")</f>
        <v>-</v>
      </c>
      <c r="I514" s="42">
        <f ca="1">IFERROR(INDEX(Personnel[Дней в РФ],$K514),"")</f>
        <v>46</v>
      </c>
      <c r="K514" s="23">
        <f t="array" ref="K514">IFERROR(_xlfn.AGGREGATE(15,6,(ROW(Personnel[Egtim durumu])-MIN(ROW(Personnel[Egtim durumu]))+1)/((Personnel[Egtim durumu]="Dil egitimi tamamlandi sinavdan gecti")),ROWS($K$7:K514)),"")</f>
        <v>617</v>
      </c>
    </row>
    <row r="515" spans="1:11" ht="25.5" x14ac:dyDescent="0.25">
      <c r="A515" s="18">
        <f>IFERROR(INDEX(Personnel[Sicil],$K515),"")</f>
        <v>646161</v>
      </c>
      <c r="B515" s="17" t="str">
        <f>IFERROR(INDEX(Personnel[Adi Soyadi],$K515),"")</f>
        <v>Одилов Сарварбек Гофиржон Угли</v>
      </c>
      <c r="C515" s="18" t="str">
        <f>IFERROR(INDEX(Personnel[Vatandaslik],$K515),"")</f>
        <v>УЗБЕКИСТАН</v>
      </c>
      <c r="D515" s="18" t="str">
        <f>IFERROR(INDEX(Personnel[Santiye],$K515),"")</f>
        <v>GPP Proje</v>
      </c>
      <c r="E515" s="18" t="str">
        <f>IFERROR(INDEX(Personnel[Ogretmen],$K515),"")</f>
        <v xml:space="preserve">Ziazetdinov Arslan </v>
      </c>
      <c r="F515" s="17" t="str">
        <f>IFERROR(INDEX(Personnel[[Sinav ]],$K515),"")</f>
        <v>20.07.2026 Sineva gitti gecemedi /28.07.2026 Sineva gitti gecdi</v>
      </c>
      <c r="G515" s="17" t="str">
        <f>IFERROR(INDEX(Personnel[Egtim durumu],$K515),"")</f>
        <v>Dil egitimi tamamlandi sinavdan gecti</v>
      </c>
      <c r="H515" s="17" t="str">
        <f>IFERROR(INDEX(Personnel[Shohruh Not],$K515),"")</f>
        <v xml:space="preserve"> Tarih 15.07.2026 Bilgi verildi gelmedi</v>
      </c>
      <c r="I515" s="22">
        <f ca="1">IFERROR(INDEX(Personnel[Дней в РФ],$K515),"")</f>
        <v>46</v>
      </c>
      <c r="K515" s="23">
        <f t="array" ref="K515">IFERROR(_xlfn.AGGREGATE(15,6,(ROW(Personnel[Egtim durumu])-MIN(ROW(Personnel[Egtim durumu]))+1)/((Personnel[Egtim durumu]="Dil egitimi tamamlandi sinavdan gecti")),ROWS($K$7:K515)),"")</f>
        <v>619</v>
      </c>
    </row>
    <row r="516" spans="1:11" x14ac:dyDescent="0.25">
      <c r="A516" s="40">
        <f>IFERROR(INDEX(Personnel[Sicil],$K516),"")</f>
        <v>646162</v>
      </c>
      <c r="B516" s="41" t="str">
        <f>IFERROR(INDEX(Personnel[Adi Soyadi],$K516),"")</f>
        <v>Ражабов Бехруз Алишер Угли</v>
      </c>
      <c r="C516" s="40" t="str">
        <f>IFERROR(INDEX(Personnel[Vatandaslik],$K516),"")</f>
        <v>УЗБЕКИСТАН</v>
      </c>
      <c r="D516" s="40" t="str">
        <f>IFERROR(INDEX(Personnel[Santiye],$K516),"")</f>
        <v>GPP Proje</v>
      </c>
      <c r="E516" s="40" t="str">
        <f>IFERROR(INDEX(Personnel[Ogretmen],$K516),"")</f>
        <v>Tyulina Natalya</v>
      </c>
      <c r="F516" s="41" t="str">
        <f>IFERROR(INDEX(Personnel[[Sinav ]],$K516),"")</f>
        <v>28.07.2026 Sineva gitti gecdi</v>
      </c>
      <c r="G516" s="41" t="str">
        <f>IFERROR(INDEX(Personnel[Egtim durumu],$K516),"")</f>
        <v>Dil egitimi tamamlandi sinavdan gecti</v>
      </c>
      <c r="H516" s="41" t="str">
        <f>IFERROR(INDEX(Personnel[Shohruh Not],$K516),"")</f>
        <v>-</v>
      </c>
      <c r="I516" s="42">
        <f ca="1">IFERROR(INDEX(Personnel[Дней в РФ],$K516),"")</f>
        <v>46</v>
      </c>
      <c r="K516" s="23">
        <f t="array" ref="K516">IFERROR(_xlfn.AGGREGATE(15,6,(ROW(Personnel[Egtim durumu])-MIN(ROW(Personnel[Egtim durumu]))+1)/((Personnel[Egtim durumu]="Dil egitimi tamamlandi sinavdan gecti")),ROWS($K$7:K516)),"")</f>
        <v>620</v>
      </c>
    </row>
    <row r="517" spans="1:11" x14ac:dyDescent="0.25">
      <c r="A517" s="18">
        <f>IFERROR(INDEX(Personnel[Sicil],$K517),"")</f>
        <v>646168</v>
      </c>
      <c r="B517" s="17" t="str">
        <f>IFERROR(INDEX(Personnel[Adi Soyadi],$K517),"")</f>
        <v>Сулейманов Мурад Мехман Оглы</v>
      </c>
      <c r="C517" s="18" t="str">
        <f>IFERROR(INDEX(Personnel[Vatandaslik],$K517),"")</f>
        <v>АЗЕРБАЙДЖАН</v>
      </c>
      <c r="D517" s="18" t="str">
        <f>IFERROR(INDEX(Personnel[Santiye],$K517),"")</f>
        <v>GPP Proje</v>
      </c>
      <c r="E517" s="18" t="str">
        <f>IFERROR(INDEX(Personnel[Ogretmen],$K517),"")</f>
        <v>Tyulina Natalya</v>
      </c>
      <c r="F517" s="17" t="str">
        <f>IFERROR(INDEX(Personnel[[Sinav ]],$K517),"")</f>
        <v>28.07.2026 Sineva gitti gecdi</v>
      </c>
      <c r="G517" s="17" t="str">
        <f>IFERROR(INDEX(Personnel[Egtim durumu],$K517),"")</f>
        <v>Dil egitimi tamamlandi sinavdan gecti</v>
      </c>
      <c r="H517" s="17" t="str">
        <f>IFERROR(INDEX(Personnel[Shohruh Not],$K517),"")</f>
        <v>-</v>
      </c>
      <c r="I517" s="22">
        <f ca="1">IFERROR(INDEX(Personnel[Дней в РФ],$K517),"")</f>
        <v>46</v>
      </c>
      <c r="K517" s="23">
        <f t="array" ref="K517">IFERROR(_xlfn.AGGREGATE(15,6,(ROW(Personnel[Egtim durumu])-MIN(ROW(Personnel[Egtim durumu]))+1)/((Personnel[Egtim durumu]="Dil egitimi tamamlandi sinavdan gecti")),ROWS($K$7:K517)),"")</f>
        <v>621</v>
      </c>
    </row>
    <row r="518" spans="1:11" ht="25.5" x14ac:dyDescent="0.25">
      <c r="A518" s="40">
        <f>IFERROR(INDEX(Personnel[Sicil],$K518),"")</f>
        <v>646159</v>
      </c>
      <c r="B518" s="41" t="str">
        <f>IFERROR(INDEX(Personnel[Adi Soyadi],$K518),"")</f>
        <v>Юлдашев Ибрагимжон Рахмонович</v>
      </c>
      <c r="C518" s="40" t="str">
        <f>IFERROR(INDEX(Personnel[Vatandaslik],$K518),"")</f>
        <v>УЗБЕКИСТАН</v>
      </c>
      <c r="D518" s="40" t="str">
        <f>IFERROR(INDEX(Personnel[Santiye],$K518),"")</f>
        <v>GPP Proje</v>
      </c>
      <c r="E518" s="40" t="str">
        <f>IFERROR(INDEX(Personnel[Ogretmen],$K518),"")</f>
        <v xml:space="preserve">Ziazetdinov Arslan </v>
      </c>
      <c r="F518" s="41" t="str">
        <f>IFERROR(INDEX(Personnel[[Sinav ]],$K518),"")</f>
        <v>20.07.2026 Sineva gitti gecdi</v>
      </c>
      <c r="G518" s="41" t="str">
        <f>IFERROR(INDEX(Personnel[Egtim durumu],$K518),"")</f>
        <v>Dil egitimi tamamlandi sinavdan gecti</v>
      </c>
      <c r="H518" s="41" t="str">
        <f>IFERROR(INDEX(Personnel[Shohruh Not],$K518),"")</f>
        <v xml:space="preserve"> Tarih 15.07.2026 Bilgi verildi gelmedi</v>
      </c>
      <c r="I518" s="42">
        <f ca="1">IFERROR(INDEX(Personnel[Дней в РФ],$K518),"")</f>
        <v>46</v>
      </c>
      <c r="K518" s="23">
        <f t="array" ref="K518">IFERROR(_xlfn.AGGREGATE(15,6,(ROW(Personnel[Egtim durumu])-MIN(ROW(Personnel[Egtim durumu]))+1)/((Personnel[Egtim durumu]="Dil egitimi tamamlandi sinavdan gecti")),ROWS($K$7:K518)),"")</f>
        <v>622</v>
      </c>
    </row>
    <row r="519" spans="1:11" x14ac:dyDescent="0.25">
      <c r="A519" s="18">
        <f>IFERROR(INDEX(Personnel[Sicil],$K519),"")</f>
        <v>646217</v>
      </c>
      <c r="B519" s="17" t="str">
        <f>IFERROR(INDEX(Personnel[Adi Soyadi],$K519),"")</f>
        <v>Эшкобилов Жахонгир Эшкувват Угли</v>
      </c>
      <c r="C519" s="18" t="str">
        <f>IFERROR(INDEX(Personnel[Vatandaslik],$K519),"")</f>
        <v>УЗБЕКИСТАН</v>
      </c>
      <c r="D519" s="18" t="str">
        <f>IFERROR(INDEX(Personnel[Santiye],$K519),"")</f>
        <v>GPP Proje</v>
      </c>
      <c r="E519" s="18" t="str">
        <f>IFERROR(INDEX(Personnel[Ogretmen],$K519),"")</f>
        <v>Tyulina Natalya</v>
      </c>
      <c r="F519" s="17" t="str">
        <f>IFERROR(INDEX(Personnel[[Sinav ]],$K519),"")</f>
        <v>31.07.2026 Sineva gitti gecdi</v>
      </c>
      <c r="G519" s="17" t="str">
        <f>IFERROR(INDEX(Personnel[Egtim durumu],$K519),"")</f>
        <v>Dil egitimi tamamlandi sinavdan gecti</v>
      </c>
      <c r="H519" s="17" t="str">
        <f>IFERROR(INDEX(Personnel[Shohruh Not],$K519),"")</f>
        <v>-</v>
      </c>
      <c r="I519" s="22">
        <f ca="1">IFERROR(INDEX(Personnel[Дней в РФ],$K519),"")</f>
        <v>44</v>
      </c>
      <c r="K519" s="23">
        <f t="array" ref="K519">IFERROR(_xlfn.AGGREGATE(15,6,(ROW(Personnel[Egtim durumu])-MIN(ROW(Personnel[Egtim durumu]))+1)/((Personnel[Egtim durumu]="Dil egitimi tamamlandi sinavdan gecti")),ROWS($K$7:K519)),"")</f>
        <v>623</v>
      </c>
    </row>
    <row r="520" spans="1:11" x14ac:dyDescent="0.25">
      <c r="A520" s="40">
        <f>IFERROR(INDEX(Personnel[Sicil],$K520),"")</f>
        <v>646215</v>
      </c>
      <c r="B520" s="41" t="str">
        <f>IFERROR(INDEX(Personnel[Adi Soyadi],$K520),"")</f>
        <v>Хамзаев Азамжон Хамдам Угли</v>
      </c>
      <c r="C520" s="40" t="str">
        <f>IFERROR(INDEX(Personnel[Vatandaslik],$K520),"")</f>
        <v>УЗБЕКИСТАН</v>
      </c>
      <c r="D520" s="40" t="str">
        <f>IFERROR(INDEX(Personnel[Santiye],$K520),"")</f>
        <v>GPP Proje</v>
      </c>
      <c r="E520" s="40" t="str">
        <f>IFERROR(INDEX(Personnel[Ogretmen],$K520),"")</f>
        <v>Tyulina Natalya</v>
      </c>
      <c r="F520" s="41" t="str">
        <f>IFERROR(INDEX(Personnel[[Sinav ]],$K520),"")</f>
        <v>31.07.2026 Sineva gitti gecdi</v>
      </c>
      <c r="G520" s="41" t="str">
        <f>IFERROR(INDEX(Personnel[Egtim durumu],$K520),"")</f>
        <v>Dil egitimi tamamlandi sinavdan gecti</v>
      </c>
      <c r="H520" s="41" t="str">
        <f>IFERROR(INDEX(Personnel[Shohruh Not],$K520),"")</f>
        <v>-</v>
      </c>
      <c r="I520" s="42">
        <f ca="1">IFERROR(INDEX(Personnel[Дней в РФ],$K520),"")</f>
        <v>44</v>
      </c>
      <c r="K520" s="23">
        <f t="array" ref="K520">IFERROR(_xlfn.AGGREGATE(15,6,(ROW(Personnel[Egtim durumu])-MIN(ROW(Personnel[Egtim durumu]))+1)/((Personnel[Egtim durumu]="Dil egitimi tamamlandi sinavdan gecti")),ROWS($K$7:K520)),"")</f>
        <v>624</v>
      </c>
    </row>
    <row r="521" spans="1:11" x14ac:dyDescent="0.25">
      <c r="A521" s="18">
        <f>IFERROR(INDEX(Personnel[Sicil],$K521),"")</f>
        <v>517368</v>
      </c>
      <c r="B521" s="17" t="str">
        <f>IFERROR(INDEX(Personnel[Adi Soyadi],$K521),"")</f>
        <v>Машарипов Азамат Улугбекович</v>
      </c>
      <c r="C521" s="18" t="str">
        <f>IFERROR(INDEX(Personnel[Vatandaslik],$K521),"")</f>
        <v>УЗБЕКИСТАН</v>
      </c>
      <c r="D521" s="18" t="str">
        <f>IFERROR(INDEX(Personnel[Santiye],$K521),"")</f>
        <v>GPP Proje</v>
      </c>
      <c r="E521" s="18" t="str">
        <f>IFERROR(INDEX(Personnel[Ogretmen],$K521),"")</f>
        <v>Tyulina Natalya</v>
      </c>
      <c r="F521" s="17" t="str">
        <f>IFERROR(INDEX(Personnel[[Sinav ]],$K521),"")</f>
        <v>28.07.2026 Sineva gitti gecdi</v>
      </c>
      <c r="G521" s="17" t="str">
        <f>IFERROR(INDEX(Personnel[Egtim durumu],$K521),"")</f>
        <v>Dil egitimi tamamlandi sinavdan gecti</v>
      </c>
      <c r="H521" s="17" t="str">
        <f>IFERROR(INDEX(Personnel[Shohruh Not],$K521),"")</f>
        <v>-</v>
      </c>
      <c r="I521" s="22">
        <f ca="1">IFERROR(INDEX(Personnel[Дней в РФ],$K521),"")</f>
        <v>41</v>
      </c>
      <c r="K521" s="23">
        <f t="array" ref="K521">IFERROR(_xlfn.AGGREGATE(15,6,(ROW(Personnel[Egtim durumu])-MIN(ROW(Personnel[Egtim durumu]))+1)/((Personnel[Egtim durumu]="Dil egitimi tamamlandi sinavdan gecti")),ROWS($K$7:K521)),"")</f>
        <v>625</v>
      </c>
    </row>
    <row r="522" spans="1:11" x14ac:dyDescent="0.25">
      <c r="A522" s="40">
        <f>IFERROR(INDEX(Personnel[Sicil],$K522),"")</f>
        <v>568824</v>
      </c>
      <c r="B522" s="41" t="str">
        <f>IFERROR(INDEX(Personnel[Adi Soyadi],$K522),"")</f>
        <v>Матякубов Сардар Бахтиярович</v>
      </c>
      <c r="C522" s="40" t="str">
        <f>IFERROR(INDEX(Personnel[Vatandaslik],$K522),"")</f>
        <v>УЗБЕКИСТАН</v>
      </c>
      <c r="D522" s="40" t="str">
        <f>IFERROR(INDEX(Personnel[Santiye],$K522),"")</f>
        <v>GPP Proje</v>
      </c>
      <c r="E522" s="40" t="str">
        <f>IFERROR(INDEX(Personnel[Ogretmen],$K522),"")</f>
        <v>Tyulina Natalya</v>
      </c>
      <c r="F522" s="41" t="str">
        <f>IFERROR(INDEX(Personnel[[Sinav ]],$K522),"")</f>
        <v>28.07.2026 Sineva gitti gecdi</v>
      </c>
      <c r="G522" s="41" t="str">
        <f>IFERROR(INDEX(Personnel[Egtim durumu],$K522),"")</f>
        <v>Dil egitimi tamamlandi sinavdan gecti</v>
      </c>
      <c r="H522" s="41" t="str">
        <f>IFERROR(INDEX(Personnel[Shohruh Not],$K522),"")</f>
        <v>-</v>
      </c>
      <c r="I522" s="42">
        <f ca="1">IFERROR(INDEX(Personnel[Дней в РФ],$K522),"")</f>
        <v>41</v>
      </c>
      <c r="K522" s="23">
        <f t="array" ref="K522">IFERROR(_xlfn.AGGREGATE(15,6,(ROW(Personnel[Egtim durumu])-MIN(ROW(Personnel[Egtim durumu]))+1)/((Personnel[Egtim durumu]="Dil egitimi tamamlandi sinavdan gecti")),ROWS($K$7:K522)),"")</f>
        <v>626</v>
      </c>
    </row>
    <row r="523" spans="1:11" x14ac:dyDescent="0.25">
      <c r="A523" s="18">
        <f>IFERROR(INDEX(Personnel[Sicil],$K523),"")</f>
        <v>646219</v>
      </c>
      <c r="B523" s="17" t="str">
        <f>IFERROR(INDEX(Personnel[Adi Soyadi],$K523),"")</f>
        <v>Мустапов Хасан Ишанкулович</v>
      </c>
      <c r="C523" s="18" t="str">
        <f>IFERROR(INDEX(Personnel[Vatandaslik],$K523),"")</f>
        <v>УЗБЕКИСТАН</v>
      </c>
      <c r="D523" s="18" t="str">
        <f>IFERROR(INDEX(Personnel[Santiye],$K523),"")</f>
        <v>GPP Proje</v>
      </c>
      <c r="E523" s="18" t="str">
        <f>IFERROR(INDEX(Personnel[Ogretmen],$K523),"")</f>
        <v>Tyulina Natalya</v>
      </c>
      <c r="F523" s="17" t="str">
        <f>IFERROR(INDEX(Personnel[[Sinav ]],$K523),"")</f>
        <v>31.07.2026 Sineva gitti gecdi</v>
      </c>
      <c r="G523" s="17" t="str">
        <f>IFERROR(INDEX(Personnel[Egtim durumu],$K523),"")</f>
        <v>Dil egitimi tamamlandi sinavdan gecti</v>
      </c>
      <c r="H523" s="17" t="str">
        <f>IFERROR(INDEX(Personnel[Shohruh Not],$K523),"")</f>
        <v>-</v>
      </c>
      <c r="I523" s="22">
        <f ca="1">IFERROR(INDEX(Personnel[Дней в РФ],$K523),"")</f>
        <v>44</v>
      </c>
      <c r="K523" s="23">
        <f t="array" ref="K523">IFERROR(_xlfn.AGGREGATE(15,6,(ROW(Personnel[Egtim durumu])-MIN(ROW(Personnel[Egtim durumu]))+1)/((Personnel[Egtim durumu]="Dil egitimi tamamlandi sinavdan gecti")),ROWS($K$7:K523)),"")</f>
        <v>627</v>
      </c>
    </row>
    <row r="524" spans="1:11" x14ac:dyDescent="0.25">
      <c r="A524" s="40">
        <f>IFERROR(INDEX(Personnel[Sicil],$K524),"")</f>
        <v>552887</v>
      </c>
      <c r="B524" s="41" t="str">
        <f>IFERROR(INDEX(Personnel[Adi Soyadi],$K524),"")</f>
        <v>Тошбоев Сардор Норжигит угли</v>
      </c>
      <c r="C524" s="40" t="str">
        <f>IFERROR(INDEX(Personnel[Vatandaslik],$K524),"")</f>
        <v>УЗБЕКИСТАН</v>
      </c>
      <c r="D524" s="40" t="str">
        <f>IFERROR(INDEX(Personnel[Santiye],$K524),"")</f>
        <v>GPP Proje</v>
      </c>
      <c r="E524" s="40" t="str">
        <f>IFERROR(INDEX(Personnel[Ogretmen],$K524),"")</f>
        <v>Tyulina Natalya</v>
      </c>
      <c r="F524" s="41" t="str">
        <f>IFERROR(INDEX(Personnel[[Sinav ]],$K524),"")</f>
        <v>28.07.2026 Sineva gitti gecdi</v>
      </c>
      <c r="G524" s="41" t="str">
        <f>IFERROR(INDEX(Personnel[Egtim durumu],$K524),"")</f>
        <v>Dil egitimi tamamlandi sinavdan gecti</v>
      </c>
      <c r="H524" s="41" t="str">
        <f>IFERROR(INDEX(Personnel[Shohruh Not],$K524),"")</f>
        <v>-</v>
      </c>
      <c r="I524" s="42">
        <f ca="1">IFERROR(INDEX(Personnel[Дней в РФ],$K524),"")</f>
        <v>44</v>
      </c>
      <c r="K524" s="23">
        <f t="array" ref="K524">IFERROR(_xlfn.AGGREGATE(15,6,(ROW(Personnel[Egtim durumu])-MIN(ROW(Personnel[Egtim durumu]))+1)/((Personnel[Egtim durumu]="Dil egitimi tamamlandi sinavdan gecti")),ROWS($K$7:K524)),"")</f>
        <v>628</v>
      </c>
    </row>
    <row r="525" spans="1:11" ht="38.25" x14ac:dyDescent="0.25">
      <c r="A525" s="18">
        <f>IFERROR(INDEX(Personnel[Sicil],$K525),"")</f>
        <v>646291</v>
      </c>
      <c r="B525" s="17" t="str">
        <f>IFERROR(INDEX(Personnel[Adi Soyadi],$K525),"")</f>
        <v>Курбанов Фаррух Фарход Угли</v>
      </c>
      <c r="C525" s="18" t="str">
        <f>IFERROR(INDEX(Personnel[Vatandaslik],$K525),"")</f>
        <v>УЗБЕКИСТАН</v>
      </c>
      <c r="D525" s="18" t="str">
        <f>IFERROR(INDEX(Personnel[Santiye],$K525),"")</f>
        <v>GPP Proje (TSF)</v>
      </c>
      <c r="E525" s="18" t="str">
        <f>IFERROR(INDEX(Personnel[Ogretmen],$K525),"")</f>
        <v>Tyulina Natalya / Ziaztdinov Arslan</v>
      </c>
      <c r="F525" s="17" t="str">
        <f>IFERROR(INDEX(Personnel[[Sinav ]],$K525),"")</f>
        <v>Ic testimizden gecemiyor 20.06.2026 egitime alindi /31.07.2026 Sineva gitti gecdi</v>
      </c>
      <c r="G525" s="17" t="str">
        <f>IFERROR(INDEX(Personnel[Egtim durumu],$K525),"")</f>
        <v>Dil egitimi tamamlandi sinavdan gecti</v>
      </c>
      <c r="H525" s="17" t="str">
        <f>IFERROR(INDEX(Personnel[Shohruh Not],$K525),"")</f>
        <v>-</v>
      </c>
      <c r="I525" s="22">
        <f ca="1">IFERROR(INDEX(Personnel[Дней в РФ],$K525),"")</f>
        <v>40</v>
      </c>
      <c r="K525" s="23">
        <f t="array" ref="K525">IFERROR(_xlfn.AGGREGATE(15,6,(ROW(Personnel[Egtim durumu])-MIN(ROW(Personnel[Egtim durumu]))+1)/((Personnel[Egtim durumu]="Dil egitimi tamamlandi sinavdan gecti")),ROWS($K$7:K525)),"")</f>
        <v>630</v>
      </c>
    </row>
    <row r="526" spans="1:11" x14ac:dyDescent="0.25">
      <c r="A526" s="40">
        <f>IFERROR(INDEX(Personnel[Sicil],$K526),"")</f>
        <v>610441</v>
      </c>
      <c r="B526" s="41" t="str">
        <f>IFERROR(INDEX(Personnel[Adi Soyadi],$K526),"")</f>
        <v>Наимов Файзали Баглоншоевич</v>
      </c>
      <c r="C526" s="40" t="str">
        <f>IFERROR(INDEX(Personnel[Vatandaslik],$K526),"")</f>
        <v>ТАДЖИКИСТАН</v>
      </c>
      <c r="D526" s="40" t="str">
        <f>IFERROR(INDEX(Personnel[Santiye],$K526),"")</f>
        <v>GPP Proje</v>
      </c>
      <c r="E526" s="40" t="str">
        <f>IFERROR(INDEX(Personnel[Ogretmen],$K526),"")</f>
        <v>Tyulina Natalya</v>
      </c>
      <c r="F526" s="41" t="str">
        <f>IFERROR(INDEX(Personnel[[Sinav ]],$K526),"")</f>
        <v>28.07.2026 Sineva gitti gecdi</v>
      </c>
      <c r="G526" s="41" t="str">
        <f>IFERROR(INDEX(Personnel[Egtim durumu],$K526),"")</f>
        <v>Dil egitimi tamamlandi sinavdan gecti</v>
      </c>
      <c r="H526" s="41" t="str">
        <f>IFERROR(INDEX(Personnel[Shohruh Not],$K526),"")</f>
        <v>-</v>
      </c>
      <c r="I526" s="42">
        <f ca="1">IFERROR(INDEX(Personnel[Дней в РФ],$K526),"")</f>
        <v>169</v>
      </c>
      <c r="K526" s="23">
        <f t="array" ref="K526">IFERROR(_xlfn.AGGREGATE(15,6,(ROW(Personnel[Egtim durumu])-MIN(ROW(Personnel[Egtim durumu]))+1)/((Personnel[Egtim durumu]="Dil egitimi tamamlandi sinavdan gecti")),ROWS($K$7:K526)),"")</f>
        <v>631</v>
      </c>
    </row>
    <row r="527" spans="1:11" ht="25.5" x14ac:dyDescent="0.25">
      <c r="A527" s="18">
        <f>IFERROR(INDEX(Personnel[Sicil],$K527),"")</f>
        <v>549784</v>
      </c>
      <c r="B527" s="17" t="str">
        <f>IFERROR(INDEX(Personnel[Adi Soyadi],$K527),"")</f>
        <v>Рахимов Шехназар Бахтиёрович</v>
      </c>
      <c r="C527" s="18" t="str">
        <f>IFERROR(INDEX(Personnel[Vatandaslik],$K527),"")</f>
        <v>УЗБЕКИСТАН</v>
      </c>
      <c r="D527" s="18" t="str">
        <f>IFERROR(INDEX(Personnel[Santiye],$K527),"")</f>
        <v>GPP Proje (TSF)</v>
      </c>
      <c r="E527" s="18" t="str">
        <f>IFERROR(INDEX(Personnel[Ogretmen],$K527),"")</f>
        <v>Tyulina Natalya</v>
      </c>
      <c r="F527" s="17" t="str">
        <f>IFERROR(INDEX(Personnel[[Sinav ]],$K527),"")</f>
        <v>28.07.2026 Sineva gitti gecemedi 31.07.2026 Sineva gitti gecdi</v>
      </c>
      <c r="G527" s="17" t="str">
        <f>IFERROR(INDEX(Personnel[Egtim durumu],$K527),"")</f>
        <v>Dil egitimi tamamlandi sinavdan gecti</v>
      </c>
      <c r="H527" s="17" t="str">
        <f>IFERROR(INDEX(Personnel[Shohruh Not],$K527),"")</f>
        <v>-</v>
      </c>
      <c r="I527" s="22">
        <f ca="1">IFERROR(INDEX(Personnel[Дней в РФ],$K527),"")</f>
        <v>40</v>
      </c>
      <c r="K527" s="23">
        <f t="array" ref="K527">IFERROR(_xlfn.AGGREGATE(15,6,(ROW(Personnel[Egtim durumu])-MIN(ROW(Personnel[Egtim durumu]))+1)/((Personnel[Egtim durumu]="Dil egitimi tamamlandi sinavdan gecti")),ROWS($K$7:K527)),"")</f>
        <v>632</v>
      </c>
    </row>
    <row r="528" spans="1:11" x14ac:dyDescent="0.25">
      <c r="A528" s="40">
        <f>IFERROR(INDEX(Personnel[Sicil],$K528),"")</f>
        <v>646303</v>
      </c>
      <c r="B528" s="41" t="str">
        <f>IFERROR(INDEX(Personnel[Adi Soyadi],$K528),"")</f>
        <v>Бектошев Элмурод Мамарасулович</v>
      </c>
      <c r="C528" s="40" t="str">
        <f>IFERROR(INDEX(Personnel[Vatandaslik],$K528),"")</f>
        <v>УЗБЕКИСТАН</v>
      </c>
      <c r="D528" s="40" t="str">
        <f>IFERROR(INDEX(Personnel[Santiye],$K528),"")</f>
        <v>GPP Proje</v>
      </c>
      <c r="E528" s="40" t="str">
        <f>IFERROR(INDEX(Personnel[Ogretmen],$K528),"")</f>
        <v>Tyulina Natalya</v>
      </c>
      <c r="F528" s="41" t="str">
        <f>IFERROR(INDEX(Personnel[[Sinav ]],$K528),"")</f>
        <v>28.07.2026 Sineva gitti gecdi</v>
      </c>
      <c r="G528" s="41" t="str">
        <f>IFERROR(INDEX(Personnel[Egtim durumu],$K528),"")</f>
        <v>Dil egitimi tamamlandi sinavdan gecti</v>
      </c>
      <c r="H528" s="41" t="str">
        <f>IFERROR(INDEX(Personnel[Shohruh Not],$K528),"")</f>
        <v>-</v>
      </c>
      <c r="I528" s="42">
        <f ca="1">IFERROR(INDEX(Personnel[Дней в РФ],$K528),"")</f>
        <v>39</v>
      </c>
      <c r="K528" s="23">
        <f t="array" ref="K528">IFERROR(_xlfn.AGGREGATE(15,6,(ROW(Personnel[Egtim durumu])-MIN(ROW(Personnel[Egtim durumu]))+1)/((Personnel[Egtim durumu]="Dil egitimi tamamlandi sinavdan gecti")),ROWS($K$7:K528)),"")</f>
        <v>634</v>
      </c>
    </row>
    <row r="529" spans="1:11" ht="38.25" x14ac:dyDescent="0.25">
      <c r="A529" s="18">
        <f>IFERROR(INDEX(Personnel[Sicil],$K529),"")</f>
        <v>646302</v>
      </c>
      <c r="B529" s="17" t="str">
        <f>IFERROR(INDEX(Personnel[Adi Soyadi],$K529),"")</f>
        <v>Бектошов Ихтиёр Амириллоевич</v>
      </c>
      <c r="C529" s="18" t="str">
        <f>IFERROR(INDEX(Personnel[Vatandaslik],$K529),"")</f>
        <v>УЗБЕКИСТАН</v>
      </c>
      <c r="D529" s="18" t="str">
        <f>IFERROR(INDEX(Personnel[Santiye],$K529),"")</f>
        <v>GPP Proje</v>
      </c>
      <c r="E529" s="18" t="str">
        <f>IFERROR(INDEX(Personnel[Ogretmen],$K529),"")</f>
        <v>Tyulina Natalya / Ziaztdinov Arslan</v>
      </c>
      <c r="F529" s="17" t="str">
        <f>IFERROR(INDEX(Personnel[[Sinav ]],$K529),"")</f>
        <v>Ic testimizden gecemiyor 20.06.2026 egitime alindi /31.07.2026 Sineva gitti gecdi</v>
      </c>
      <c r="G529" s="17" t="str">
        <f>IFERROR(INDEX(Personnel[Egtim durumu],$K529),"")</f>
        <v>Dil egitimi tamamlandi sinavdan gecti</v>
      </c>
      <c r="H529" s="17" t="str">
        <f>IFERROR(INDEX(Personnel[Shohruh Not],$K529),"")</f>
        <v>-</v>
      </c>
      <c r="I529" s="22">
        <f ca="1">IFERROR(INDEX(Personnel[Дней в РФ],$K529),"")</f>
        <v>39</v>
      </c>
      <c r="K529" s="23">
        <f t="array" ref="K529">IFERROR(_xlfn.AGGREGATE(15,6,(ROW(Personnel[Egtim durumu])-MIN(ROW(Personnel[Egtim durumu]))+1)/((Personnel[Egtim durumu]="Dil egitimi tamamlandi sinavdan gecti")),ROWS($K$7:K529)),"")</f>
        <v>635</v>
      </c>
    </row>
    <row r="530" spans="1:11" x14ac:dyDescent="0.25">
      <c r="A530" s="40">
        <f>IFERROR(INDEX(Personnel[Sicil],$K530),"")</f>
        <v>635334</v>
      </c>
      <c r="B530" s="41" t="str">
        <f>IFERROR(INDEX(Personnel[Adi Soyadi],$K530),"")</f>
        <v>Имомалиев Нушервон Джамшедович</v>
      </c>
      <c r="C530" s="40" t="str">
        <f>IFERROR(INDEX(Personnel[Vatandaslik],$K530),"")</f>
        <v>ТАДЖИКИСТАН</v>
      </c>
      <c r="D530" s="40" t="str">
        <f>IFERROR(INDEX(Personnel[Santiye],$K530),"")</f>
        <v>GPP Proje</v>
      </c>
      <c r="E530" s="40" t="str">
        <f>IFERROR(INDEX(Personnel[Ogretmen],$K530),"")</f>
        <v>Tyulina Natalya</v>
      </c>
      <c r="F530" s="41" t="str">
        <f>IFERROR(INDEX(Personnel[[Sinav ]],$K530),"")</f>
        <v>28.07.2026 Sineva gitti gecdi</v>
      </c>
      <c r="G530" s="41" t="str">
        <f>IFERROR(INDEX(Personnel[Egtim durumu],$K530),"")</f>
        <v>Dil egitimi tamamlandi sinavdan gecti</v>
      </c>
      <c r="H530" s="41" t="str">
        <f>IFERROR(INDEX(Personnel[Shohruh Not],$K530),"")</f>
        <v>-</v>
      </c>
      <c r="I530" s="42">
        <f ca="1">IFERROR(INDEX(Personnel[Дней в РФ],$K530),"")</f>
        <v>39</v>
      </c>
      <c r="K530" s="23">
        <f t="array" ref="K530">IFERROR(_xlfn.AGGREGATE(15,6,(ROW(Personnel[Egtim durumu])-MIN(ROW(Personnel[Egtim durumu]))+1)/((Personnel[Egtim durumu]="Dil egitimi tamamlandi sinavdan gecti")),ROWS($K$7:K530)),"")</f>
        <v>636</v>
      </c>
    </row>
    <row r="531" spans="1:11" ht="25.5" x14ac:dyDescent="0.25">
      <c r="A531" s="18">
        <f>IFERROR(INDEX(Personnel[Sicil],$K531),"")</f>
        <v>549707</v>
      </c>
      <c r="B531" s="17" t="str">
        <f>IFERROR(INDEX(Personnel[Adi Soyadi],$K531),"")</f>
        <v>Какабаев Иззатбек Машерийбай Огли</v>
      </c>
      <c r="C531" s="18" t="str">
        <f>IFERROR(INDEX(Personnel[Vatandaslik],$K531),"")</f>
        <v>УЗБЕКИСТАН</v>
      </c>
      <c r="D531" s="18" t="str">
        <f>IFERROR(INDEX(Personnel[Santiye],$K531),"")</f>
        <v>GPP Proje</v>
      </c>
      <c r="E531" s="18" t="str">
        <f>IFERROR(INDEX(Personnel[Ogretmen],$K531),"")</f>
        <v>Tyulina Natalya</v>
      </c>
      <c r="F531" s="17" t="str">
        <f>IFERROR(INDEX(Personnel[[Sinav ]],$K531),"")</f>
        <v>28.07.2026 Sineva gitti gecdi</v>
      </c>
      <c r="G531" s="17" t="str">
        <f>IFERROR(INDEX(Personnel[Egtim durumu],$K531),"")</f>
        <v>Dil egitimi tamamlandi sinavdan gecti</v>
      </c>
      <c r="H531" s="17" t="str">
        <f>IFERROR(INDEX(Personnel[Shohruh Not],$K531),"")</f>
        <v>-</v>
      </c>
      <c r="I531" s="22">
        <f ca="1">IFERROR(INDEX(Personnel[Дней в РФ],$K531),"")</f>
        <v>39</v>
      </c>
      <c r="K531" s="23">
        <f t="array" ref="K531">IFERROR(_xlfn.AGGREGATE(15,6,(ROW(Personnel[Egtim durumu])-MIN(ROW(Personnel[Egtim durumu]))+1)/((Personnel[Egtim durumu]="Dil egitimi tamamlandi sinavdan gecti")),ROWS($K$7:K531)),"")</f>
        <v>637</v>
      </c>
    </row>
    <row r="532" spans="1:11" x14ac:dyDescent="0.25">
      <c r="A532" s="40">
        <f>IFERROR(INDEX(Personnel[Sicil],$K532),"")</f>
        <v>646312</v>
      </c>
      <c r="B532" s="41" t="str">
        <f>IFERROR(INDEX(Personnel[Adi Soyadi],$K532),"")</f>
        <v>Курбонов Хикматбек Рустамович</v>
      </c>
      <c r="C532" s="40" t="str">
        <f>IFERROR(INDEX(Personnel[Vatandaslik],$K532),"")</f>
        <v>УЗБЕКИСТАН</v>
      </c>
      <c r="D532" s="40" t="str">
        <f>IFERROR(INDEX(Personnel[Santiye],$K532),"")</f>
        <v>GPP Proje</v>
      </c>
      <c r="E532" s="40" t="str">
        <f>IFERROR(INDEX(Personnel[Ogretmen],$K532),"")</f>
        <v>Tyulina Natalya</v>
      </c>
      <c r="F532" s="41" t="str">
        <f>IFERROR(INDEX(Personnel[[Sinav ]],$K532),"")</f>
        <v>28.07.2026 Sineva gitti gecdi</v>
      </c>
      <c r="G532" s="41" t="str">
        <f>IFERROR(INDEX(Personnel[Egtim durumu],$K532),"")</f>
        <v>Dil egitimi tamamlandi sinavdan gecti</v>
      </c>
      <c r="H532" s="41" t="str">
        <f>IFERROR(INDEX(Personnel[Shohruh Not],$K532),"")</f>
        <v>-</v>
      </c>
      <c r="I532" s="42">
        <f ca="1">IFERROR(INDEX(Personnel[Дней в РФ],$K532),"")</f>
        <v>39</v>
      </c>
      <c r="K532" s="23">
        <f t="array" ref="K532">IFERROR(_xlfn.AGGREGATE(15,6,(ROW(Personnel[Egtim durumu])-MIN(ROW(Personnel[Egtim durumu]))+1)/((Personnel[Egtim durumu]="Dil egitimi tamamlandi sinavdan gecti")),ROWS($K$7:K532)),"")</f>
        <v>638</v>
      </c>
    </row>
    <row r="533" spans="1:11" x14ac:dyDescent="0.25">
      <c r="A533" s="18">
        <f>IFERROR(INDEX(Personnel[Sicil],$K533),"")</f>
        <v>646301</v>
      </c>
      <c r="B533" s="17" t="str">
        <f>IFERROR(INDEX(Personnel[Adi Soyadi],$K533),"")</f>
        <v>Шамсиев Жонибек Шухратович</v>
      </c>
      <c r="C533" s="18" t="str">
        <f>IFERROR(INDEX(Personnel[Vatandaslik],$K533),"")</f>
        <v>УЗБЕКИСТАН</v>
      </c>
      <c r="D533" s="18" t="str">
        <f>IFERROR(INDEX(Personnel[Santiye],$K533),"")</f>
        <v>GPP Proje</v>
      </c>
      <c r="E533" s="18" t="str">
        <f>IFERROR(INDEX(Personnel[Ogretmen],$K533),"")</f>
        <v>Tyulina Natalya</v>
      </c>
      <c r="F533" s="17" t="str">
        <f>IFERROR(INDEX(Personnel[[Sinav ]],$K533),"")</f>
        <v>28.07.2026 Sineva gitti gecdi</v>
      </c>
      <c r="G533" s="17" t="str">
        <f>IFERROR(INDEX(Personnel[Egtim durumu],$K533),"")</f>
        <v>Dil egitimi tamamlandi sinavdan gecti</v>
      </c>
      <c r="H533" s="17" t="str">
        <f>IFERROR(INDEX(Personnel[Shohruh Not],$K533),"")</f>
        <v>-</v>
      </c>
      <c r="I533" s="22">
        <f ca="1">IFERROR(INDEX(Personnel[Дней в РФ],$K533),"")</f>
        <v>39</v>
      </c>
      <c r="K533" s="23">
        <f t="array" ref="K533">IFERROR(_xlfn.AGGREGATE(15,6,(ROW(Personnel[Egtim durumu])-MIN(ROW(Personnel[Egtim durumu]))+1)/((Personnel[Egtim durumu]="Dil egitimi tamamlandi sinavdan gecti")),ROWS($K$7:K533)),"")</f>
        <v>639</v>
      </c>
    </row>
    <row r="534" spans="1:11" ht="38.25" x14ac:dyDescent="0.25">
      <c r="A534" s="40">
        <f>IFERROR(INDEX(Personnel[Sicil],$K534),"")</f>
        <v>646427</v>
      </c>
      <c r="B534" s="41" t="str">
        <f>IFERROR(INDEX(Personnel[Adi Soyadi],$K534),"")</f>
        <v>Абдухакимов Абдукаххор Азимахаммад Угли</v>
      </c>
      <c r="C534" s="40" t="str">
        <f>IFERROR(INDEX(Personnel[Vatandaslik],$K534),"")</f>
        <v>УЗБЕКИСТАН</v>
      </c>
      <c r="D534" s="40" t="str">
        <f>IFERROR(INDEX(Personnel[Santiye],$K534),"")</f>
        <v>GPP Proje</v>
      </c>
      <c r="E534" s="40" t="str">
        <f>IFERROR(INDEX(Personnel[Ogretmen],$K534),"")</f>
        <v>Ziazetdinov Arslan / Ziazetdinov Arslan</v>
      </c>
      <c r="F534" s="41" t="str">
        <f>IFERROR(INDEX(Personnel[[Sinav ]],$K534),"")</f>
        <v>Ic testimizden gecemiyor 27.07.2026 egitime alindi /04.08.2026 Sineva gitti gecdi</v>
      </c>
      <c r="G534" s="41" t="str">
        <f>IFERROR(INDEX(Personnel[Egtim durumu],$K534),"")</f>
        <v>Dil egitimi tamamlandi sinavdan gecti</v>
      </c>
      <c r="H534" s="41" t="str">
        <f>IFERROR(INDEX(Personnel[Shohruh Not],$K534),"")</f>
        <v>-</v>
      </c>
      <c r="I534" s="42">
        <f ca="1">IFERROR(INDEX(Personnel[Дней в РФ],$K534),"")</f>
        <v>32</v>
      </c>
      <c r="K534" s="23">
        <f t="array" ref="K534">IFERROR(_xlfn.AGGREGATE(15,6,(ROW(Personnel[Egtim durumu])-MIN(ROW(Personnel[Egtim durumu]))+1)/((Personnel[Egtim durumu]="Dil egitimi tamamlandi sinavdan gecti")),ROWS($K$7:K534)),"")</f>
        <v>640</v>
      </c>
    </row>
    <row r="535" spans="1:11" x14ac:dyDescent="0.25">
      <c r="A535" s="18">
        <f>IFERROR(INDEX(Personnel[Sicil],$K535),"")</f>
        <v>646438</v>
      </c>
      <c r="B535" s="17" t="str">
        <f>IFERROR(INDEX(Personnel[Adi Soyadi],$K535),"")</f>
        <v>Аменов Равшан Зариббоевич</v>
      </c>
      <c r="C535" s="18" t="str">
        <f>IFERROR(INDEX(Personnel[Vatandaslik],$K535),"")</f>
        <v>УЗБЕКИСТАН</v>
      </c>
      <c r="D535" s="18" t="str">
        <f>IFERROR(INDEX(Personnel[Santiye],$K535),"")</f>
        <v>GPP Proje</v>
      </c>
      <c r="E535" s="18" t="str">
        <f>IFERROR(INDEX(Personnel[Ogretmen],$K535),"")</f>
        <v xml:space="preserve">Ziazetdinov Arslan </v>
      </c>
      <c r="F535" s="17" t="str">
        <f>IFERROR(INDEX(Personnel[[Sinav ]],$K535),"")</f>
        <v>28.07.2026 Sineva gitti gecdi</v>
      </c>
      <c r="G535" s="17" t="str">
        <f>IFERROR(INDEX(Personnel[Egtim durumu],$K535),"")</f>
        <v>Dil egitimi tamamlandi sinavdan gecti</v>
      </c>
      <c r="H535" s="17" t="str">
        <f>IFERROR(INDEX(Personnel[Shohruh Not],$K535),"")</f>
        <v>-</v>
      </c>
      <c r="I535" s="22">
        <f ca="1">IFERROR(INDEX(Personnel[Дней в РФ],$K535),"")</f>
        <v>32</v>
      </c>
      <c r="K535" s="23">
        <f t="array" ref="K535">IFERROR(_xlfn.AGGREGATE(15,6,(ROW(Personnel[Egtim durumu])-MIN(ROW(Personnel[Egtim durumu]))+1)/((Personnel[Egtim durumu]="Dil egitimi tamamlandi sinavdan gecti")),ROWS($K$7:K535)),"")</f>
        <v>641</v>
      </c>
    </row>
    <row r="536" spans="1:11" x14ac:dyDescent="0.25">
      <c r="A536" s="40">
        <f>IFERROR(INDEX(Personnel[Sicil],$K536),"")</f>
        <v>646387</v>
      </c>
      <c r="B536" s="41" t="str">
        <f>IFERROR(INDEX(Personnel[Adi Soyadi],$K536),"")</f>
        <v>Бобокулов Жамшид Холикович</v>
      </c>
      <c r="C536" s="40" t="str">
        <f>IFERROR(INDEX(Personnel[Vatandaslik],$K536),"")</f>
        <v>УЗБЕКИСТАН</v>
      </c>
      <c r="D536" s="40" t="str">
        <f>IFERROR(INDEX(Personnel[Santiye],$K536),"")</f>
        <v>GPP Proje</v>
      </c>
      <c r="E536" s="40" t="str">
        <f>IFERROR(INDEX(Personnel[Ogretmen],$K536),"")</f>
        <v xml:space="preserve">Ziazetdinov Arslan </v>
      </c>
      <c r="F536" s="41" t="str">
        <f>IFERROR(INDEX(Personnel[[Sinav ]],$K536),"")</f>
        <v>31.07.2026 Sineva gitti gecdi</v>
      </c>
      <c r="G536" s="41" t="str">
        <f>IFERROR(INDEX(Personnel[Egtim durumu],$K536),"")</f>
        <v>Dil egitimi tamamlandi sinavdan gecti</v>
      </c>
      <c r="H536" s="41" t="str">
        <f>IFERROR(INDEX(Personnel[Shohruh Not],$K536),"")</f>
        <v>-</v>
      </c>
      <c r="I536" s="42">
        <f ca="1">IFERROR(INDEX(Personnel[Дней в РФ],$K536),"")</f>
        <v>33</v>
      </c>
      <c r="K536" s="23">
        <f t="array" ref="K536">IFERROR(_xlfn.AGGREGATE(15,6,(ROW(Personnel[Egtim durumu])-MIN(ROW(Personnel[Egtim durumu]))+1)/((Personnel[Egtim durumu]="Dil egitimi tamamlandi sinavdan gecti")),ROWS($K$7:K536)),"")</f>
        <v>643</v>
      </c>
    </row>
    <row r="537" spans="1:11" x14ac:dyDescent="0.25">
      <c r="A537" s="18">
        <f>IFERROR(INDEX(Personnel[Sicil],$K537),"")</f>
        <v>646388</v>
      </c>
      <c r="B537" s="17" t="str">
        <f>IFERROR(INDEX(Personnel[Adi Soyadi],$K537),"")</f>
        <v>Чориев Тулкин Хурсанович</v>
      </c>
      <c r="C537" s="18" t="str">
        <f>IFERROR(INDEX(Personnel[Vatandaslik],$K537),"")</f>
        <v>УЗБЕКИСТАН</v>
      </c>
      <c r="D537" s="18" t="str">
        <f>IFERROR(INDEX(Personnel[Santiye],$K537),"")</f>
        <v>GPP Proje</v>
      </c>
      <c r="E537" s="18" t="str">
        <f>IFERROR(INDEX(Personnel[Ogretmen],$K537),"")</f>
        <v xml:space="preserve">Ziazetdinov Arslan </v>
      </c>
      <c r="F537" s="17" t="str">
        <f>IFERROR(INDEX(Personnel[[Sinav ]],$K537),"")</f>
        <v>31.07.2026 Sineva gitti gecdi</v>
      </c>
      <c r="G537" s="17" t="str">
        <f>IFERROR(INDEX(Personnel[Egtim durumu],$K537),"")</f>
        <v>Dil egitimi tamamlandi sinavdan gecti</v>
      </c>
      <c r="H537" s="17" t="str">
        <f>IFERROR(INDEX(Personnel[Shohruh Not],$K537),"")</f>
        <v>-</v>
      </c>
      <c r="I537" s="22">
        <f ca="1">IFERROR(INDEX(Personnel[Дней в РФ],$K537),"")</f>
        <v>33</v>
      </c>
      <c r="K537" s="23">
        <f t="array" ref="K537">IFERROR(_xlfn.AGGREGATE(15,6,(ROW(Personnel[Egtim durumu])-MIN(ROW(Personnel[Egtim durumu]))+1)/((Personnel[Egtim durumu]="Dil egitimi tamamlandi sinavdan gecti")),ROWS($K$7:K537)),"")</f>
        <v>644</v>
      </c>
    </row>
    <row r="538" spans="1:11" ht="38.25" x14ac:dyDescent="0.25">
      <c r="A538" s="40">
        <f>IFERROR(INDEX(Personnel[Sicil],$K538),"")</f>
        <v>646385</v>
      </c>
      <c r="B538" s="41" t="str">
        <f>IFERROR(INDEX(Personnel[Adi Soyadi],$K538),"")</f>
        <v>Джураев Олимжон Довлятович</v>
      </c>
      <c r="C538" s="40" t="str">
        <f>IFERROR(INDEX(Personnel[Vatandaslik],$K538),"")</f>
        <v>УЗБЕКИСТАН</v>
      </c>
      <c r="D538" s="40" t="str">
        <f>IFERROR(INDEX(Personnel[Santiye],$K538),"")</f>
        <v>GPP Proje</v>
      </c>
      <c r="E538" s="40" t="str">
        <f>IFERROR(INDEX(Personnel[Ogretmen],$K538),"")</f>
        <v>Ziazetdinov Arslan / Ziazetdinov Arslan</v>
      </c>
      <c r="F538" s="41" t="str">
        <f>IFERROR(INDEX(Personnel[[Sinav ]],$K538),"")</f>
        <v>Ic testimizden gecemiyor 27.07.2026 egitime alindi /04.08.2026 Sineva gitti gecemedi /12.08.2026 Sineva gitti gecdi</v>
      </c>
      <c r="G538" s="41" t="str">
        <f>IFERROR(INDEX(Personnel[Egtim durumu],$K538),"")</f>
        <v>Dil egitimi tamamlandi sinavdan gecti</v>
      </c>
      <c r="H538" s="41" t="str">
        <f>IFERROR(INDEX(Personnel[Shohruh Not],$K538),"")</f>
        <v>-</v>
      </c>
      <c r="I538" s="42">
        <f ca="1">IFERROR(INDEX(Personnel[Дней в РФ],$K538),"")</f>
        <v>33</v>
      </c>
      <c r="K538" s="23">
        <f t="array" ref="K538">IFERROR(_xlfn.AGGREGATE(15,6,(ROW(Personnel[Egtim durumu])-MIN(ROW(Personnel[Egtim durumu]))+1)/((Personnel[Egtim durumu]="Dil egitimi tamamlandi sinavdan gecti")),ROWS($K$7:K538)),"")</f>
        <v>645</v>
      </c>
    </row>
    <row r="539" spans="1:11" x14ac:dyDescent="0.25">
      <c r="A539" s="18">
        <f>IFERROR(INDEX(Personnel[Sicil],$K539),"")</f>
        <v>576702</v>
      </c>
      <c r="B539" s="17" t="str">
        <f>IFERROR(INDEX(Personnel[Adi Soyadi],$K539),"")</f>
        <v>Ибрагимов Муродбек Рахим угли</v>
      </c>
      <c r="C539" s="18" t="str">
        <f>IFERROR(INDEX(Personnel[Vatandaslik],$K539),"")</f>
        <v>УЗБЕКИСТАН</v>
      </c>
      <c r="D539" s="18" t="str">
        <f>IFERROR(INDEX(Personnel[Santiye],$K539),"")</f>
        <v>GPP Proje</v>
      </c>
      <c r="E539" s="18" t="str">
        <f>IFERROR(INDEX(Personnel[Ogretmen],$K539),"")</f>
        <v xml:space="preserve">Ziazetdinov Arslan </v>
      </c>
      <c r="F539" s="17" t="str">
        <f>IFERROR(INDEX(Personnel[[Sinav ]],$K539),"")</f>
        <v>31.07.2026 Sineva gitti gecdi</v>
      </c>
      <c r="G539" s="17" t="str">
        <f>IFERROR(INDEX(Personnel[Egtim durumu],$K539),"")</f>
        <v>Dil egitimi tamamlandi sinavdan gecti</v>
      </c>
      <c r="H539" s="17" t="str">
        <f>IFERROR(INDEX(Personnel[Shohruh Not],$K539),"")</f>
        <v>-</v>
      </c>
      <c r="I539" s="22">
        <f ca="1">IFERROR(INDEX(Personnel[Дней в РФ],$K539),"")</f>
        <v>32</v>
      </c>
      <c r="K539" s="23">
        <f t="array" ref="K539">IFERROR(_xlfn.AGGREGATE(15,6,(ROW(Personnel[Egtim durumu])-MIN(ROW(Personnel[Egtim durumu]))+1)/((Personnel[Egtim durumu]="Dil egitimi tamamlandi sinavdan gecti")),ROWS($K$7:K539)),"")</f>
        <v>646</v>
      </c>
    </row>
    <row r="540" spans="1:11" x14ac:dyDescent="0.25">
      <c r="A540" s="40">
        <f>IFERROR(INDEX(Personnel[Sicil],$K540),"")</f>
        <v>646395</v>
      </c>
      <c r="B540" s="41" t="str">
        <f>IFERROR(INDEX(Personnel[Adi Soyadi],$K540),"")</f>
        <v>Кенжаев Элёр Орипович</v>
      </c>
      <c r="C540" s="40" t="str">
        <f>IFERROR(INDEX(Personnel[Vatandaslik],$K540),"")</f>
        <v>УЗБЕКИСТАН</v>
      </c>
      <c r="D540" s="40" t="str">
        <f>IFERROR(INDEX(Personnel[Santiye],$K540),"")</f>
        <v>GPP Proje</v>
      </c>
      <c r="E540" s="40" t="str">
        <f>IFERROR(INDEX(Personnel[Ogretmen],$K540),"")</f>
        <v xml:space="preserve">Ziazetdinov Arslan </v>
      </c>
      <c r="F540" s="41" t="str">
        <f>IFERROR(INDEX(Personnel[[Sinav ]],$K540),"")</f>
        <v>31.07.2026 Sineva gitti gecdi</v>
      </c>
      <c r="G540" s="41" t="str">
        <f>IFERROR(INDEX(Personnel[Egtim durumu],$K540),"")</f>
        <v>Dil egitimi tamamlandi sinavdan gecti</v>
      </c>
      <c r="H540" s="41" t="str">
        <f>IFERROR(INDEX(Personnel[Shohruh Not],$K540),"")</f>
        <v>-</v>
      </c>
      <c r="I540" s="42">
        <f ca="1">IFERROR(INDEX(Personnel[Дней в РФ],$K540),"")</f>
        <v>33</v>
      </c>
      <c r="K540" s="23">
        <f t="array" ref="K540">IFERROR(_xlfn.AGGREGATE(15,6,(ROW(Personnel[Egtim durumu])-MIN(ROW(Personnel[Egtim durumu]))+1)/((Personnel[Egtim durumu]="Dil egitimi tamamlandi sinavdan gecti")),ROWS($K$7:K540)),"")</f>
        <v>647</v>
      </c>
    </row>
    <row r="541" spans="1:11" ht="38.25" x14ac:dyDescent="0.25">
      <c r="A541" s="18">
        <f>IFERROR(INDEX(Personnel[Sicil],$K541),"")</f>
        <v>646392</v>
      </c>
      <c r="B541" s="17" t="str">
        <f>IFERROR(INDEX(Personnel[Adi Soyadi],$K541),"")</f>
        <v>Кучимов Шерзод Махаммади Угли</v>
      </c>
      <c r="C541" s="18" t="str">
        <f>IFERROR(INDEX(Personnel[Vatandaslik],$K541),"")</f>
        <v>УЗБЕКИСТАН</v>
      </c>
      <c r="D541" s="18" t="str">
        <f>IFERROR(INDEX(Personnel[Santiye],$K541),"")</f>
        <v>GPP Proje</v>
      </c>
      <c r="E541" s="18" t="str">
        <f>IFERROR(INDEX(Personnel[Ogretmen],$K541),"")</f>
        <v>Ziazetdinov Arslan / Ziazetdinov Arslan</v>
      </c>
      <c r="F541" s="17" t="str">
        <f>IFERROR(INDEX(Personnel[[Sinav ]],$K541),"")</f>
        <v>Ic testimizden gecemiyor 27.07.2026 egitime alindi /04.08.2026 Sineva gitti gecdi</v>
      </c>
      <c r="G541" s="17" t="str">
        <f>IFERROR(INDEX(Personnel[Egtim durumu],$K541),"")</f>
        <v>Dil egitimi tamamlandi sinavdan gecti</v>
      </c>
      <c r="H541" s="17" t="str">
        <f>IFERROR(INDEX(Personnel[Shohruh Not],$K541),"")</f>
        <v>-</v>
      </c>
      <c r="I541" s="22">
        <f ca="1">IFERROR(INDEX(Personnel[Дней в РФ],$K541),"")</f>
        <v>33</v>
      </c>
      <c r="K541" s="23">
        <f t="array" ref="K541">IFERROR(_xlfn.AGGREGATE(15,6,(ROW(Personnel[Egtim durumu])-MIN(ROW(Personnel[Egtim durumu]))+1)/((Personnel[Egtim durumu]="Dil egitimi tamamlandi sinavdan gecti")),ROWS($K$7:K541)),"")</f>
        <v>650</v>
      </c>
    </row>
    <row r="542" spans="1:11" ht="38.25" x14ac:dyDescent="0.25">
      <c r="A542" s="40">
        <f>IFERROR(INDEX(Personnel[Sicil],$K542),"")</f>
        <v>646458</v>
      </c>
      <c r="B542" s="41" t="str">
        <f>IFERROR(INDEX(Personnel[Adi Soyadi],$K542),"")</f>
        <v>Маткаримов Расулбек Сапарбаевич</v>
      </c>
      <c r="C542" s="40" t="str">
        <f>IFERROR(INDEX(Personnel[Vatandaslik],$K542),"")</f>
        <v>УЗБЕКИСТАН</v>
      </c>
      <c r="D542" s="40" t="str">
        <f>IFERROR(INDEX(Personnel[Santiye],$K542),"")</f>
        <v>GPP Proje</v>
      </c>
      <c r="E542" s="40" t="str">
        <f>IFERROR(INDEX(Personnel[Ogretmen],$K542),"")</f>
        <v>Ziazetdinov Arslan / Ziazetdinov Arslan</v>
      </c>
      <c r="F542" s="41" t="str">
        <f>IFERROR(INDEX(Personnel[[Sinav ]],$K542),"")</f>
        <v>Ic testimizden gecemiyor 27.07.2026 egitime alindi /04.08.2026 Sineva gitti gecdi</v>
      </c>
      <c r="G542" s="41" t="str">
        <f>IFERROR(INDEX(Personnel[Egtim durumu],$K542),"")</f>
        <v>Dil egitimi tamamlandi sinavdan gecti</v>
      </c>
      <c r="H542" s="41" t="str">
        <f>IFERROR(INDEX(Personnel[Shohruh Not],$K542),"")</f>
        <v>-</v>
      </c>
      <c r="I542" s="42">
        <f ca="1">IFERROR(INDEX(Personnel[Дней в РФ],$K542),"")</f>
        <v>32</v>
      </c>
      <c r="K542" s="23">
        <f t="array" ref="K542">IFERROR(_xlfn.AGGREGATE(15,6,(ROW(Personnel[Egtim durumu])-MIN(ROW(Personnel[Egtim durumu]))+1)/((Personnel[Egtim durumu]="Dil egitimi tamamlandi sinavdan gecti")),ROWS($K$7:K542)),"")</f>
        <v>651</v>
      </c>
    </row>
    <row r="543" spans="1:11" ht="38.25" x14ac:dyDescent="0.25">
      <c r="A543" s="18">
        <f>IFERROR(INDEX(Personnel[Sicil],$K543),"")</f>
        <v>646396</v>
      </c>
      <c r="B543" s="17" t="str">
        <f>IFERROR(INDEX(Personnel[Adi Soyadi],$K543),"")</f>
        <v>Мустафаев Жамолиддин Равшанович</v>
      </c>
      <c r="C543" s="18" t="str">
        <f>IFERROR(INDEX(Personnel[Vatandaslik],$K543),"")</f>
        <v>УЗБЕКИСТАН</v>
      </c>
      <c r="D543" s="18" t="str">
        <f>IFERROR(INDEX(Personnel[Santiye],$K543),"")</f>
        <v>GPP Proje</v>
      </c>
      <c r="E543" s="18" t="str">
        <f>IFERROR(INDEX(Personnel[Ogretmen],$K543),"")</f>
        <v>Ziazetdinov Arslan / Ziazetdinov Arslan</v>
      </c>
      <c r="F543" s="17" t="str">
        <f>IFERROR(INDEX(Personnel[[Sinav ]],$K543),"")</f>
        <v>Ic testimizden gecemiyor 27.07.2026 egitime alindi /04.08.2026 Sineva gitti gecdi</v>
      </c>
      <c r="G543" s="17" t="str">
        <f>IFERROR(INDEX(Personnel[Egtim durumu],$K543),"")</f>
        <v>Dil egitimi tamamlandi sinavdan gecti</v>
      </c>
      <c r="H543" s="17" t="str">
        <f>IFERROR(INDEX(Personnel[Shohruh Not],$K543),"")</f>
        <v>-</v>
      </c>
      <c r="I543" s="22">
        <f ca="1">IFERROR(INDEX(Personnel[Дней в РФ],$K543),"")</f>
        <v>33</v>
      </c>
      <c r="K543" s="23">
        <f t="array" ref="K543">IFERROR(_xlfn.AGGREGATE(15,6,(ROW(Personnel[Egtim durumu])-MIN(ROW(Personnel[Egtim durumu]))+1)/((Personnel[Egtim durumu]="Dil egitimi tamamlandi sinavdan gecti")),ROWS($K$7:K543)),"")</f>
        <v>652</v>
      </c>
    </row>
    <row r="544" spans="1:11" ht="38.25" x14ac:dyDescent="0.25">
      <c r="A544" s="40">
        <f>IFERROR(INDEX(Personnel[Sicil],$K544),"")</f>
        <v>646439</v>
      </c>
      <c r="B544" s="41" t="str">
        <f>IFERROR(INDEX(Personnel[Adi Soyadi],$K544),"")</f>
        <v>Санакулов Алим Актамович</v>
      </c>
      <c r="C544" s="40" t="str">
        <f>IFERROR(INDEX(Personnel[Vatandaslik],$K544),"")</f>
        <v>УЗБЕКИСТАН</v>
      </c>
      <c r="D544" s="40" t="str">
        <f>IFERROR(INDEX(Personnel[Santiye],$K544),"")</f>
        <v>GPP Proje</v>
      </c>
      <c r="E544" s="40" t="str">
        <f>IFERROR(INDEX(Personnel[Ogretmen],$K544),"")</f>
        <v>Ziazetdinov Arslan / Ziazetdinov Arslan</v>
      </c>
      <c r="F544" s="41" t="str">
        <f>IFERROR(INDEX(Personnel[[Sinav ]],$K544),"")</f>
        <v>Ic testimizden gecemiyor 27.07.2026 egitime alindi /04.08.2026 Sineva gitti gecdi</v>
      </c>
      <c r="G544" s="41" t="str">
        <f>IFERROR(INDEX(Personnel[Egtim durumu],$K544),"")</f>
        <v>Dil egitimi tamamlandi sinavdan gecti</v>
      </c>
      <c r="H544" s="41" t="str">
        <f>IFERROR(INDEX(Personnel[Shohruh Not],$K544),"")</f>
        <v>-</v>
      </c>
      <c r="I544" s="42">
        <f ca="1">IFERROR(INDEX(Personnel[Дней в РФ],$K544),"")</f>
        <v>32</v>
      </c>
      <c r="K544" s="23">
        <f t="array" ref="K544">IFERROR(_xlfn.AGGREGATE(15,6,(ROW(Personnel[Egtim durumu])-MIN(ROW(Personnel[Egtim durumu]))+1)/((Personnel[Egtim durumu]="Dil egitimi tamamlandi sinavdan gecti")),ROWS($K$7:K544)),"")</f>
        <v>656</v>
      </c>
    </row>
    <row r="545" spans="1:11" ht="38.25" x14ac:dyDescent="0.25">
      <c r="A545" s="18">
        <f>IFERROR(INDEX(Personnel[Sicil],$K545),"")</f>
        <v>646378</v>
      </c>
      <c r="B545" s="17" t="str">
        <f>IFERROR(INDEX(Personnel[Adi Soyadi],$K545),"")</f>
        <v>Сапарбоев Дониёр Ихтиёр Угли</v>
      </c>
      <c r="C545" s="18" t="str">
        <f>IFERROR(INDEX(Personnel[Vatandaslik],$K545),"")</f>
        <v>УЗБЕКИСТАН</v>
      </c>
      <c r="D545" s="18" t="str">
        <f>IFERROR(INDEX(Personnel[Santiye],$K545),"")</f>
        <v>GPP Proje</v>
      </c>
      <c r="E545" s="18" t="str">
        <f>IFERROR(INDEX(Personnel[Ogretmen],$K545),"")</f>
        <v>Ziazetdinov Arslan / Ziazetdinov Arslan</v>
      </c>
      <c r="F545" s="17" t="str">
        <f>IFERROR(INDEX(Personnel[[Sinav ]],$K545),"")</f>
        <v>Ic testimizden gecemiyor 27.07.2026 egitime alindi /04.08.2026 Sineva gitti gecdi</v>
      </c>
      <c r="G545" s="17" t="str">
        <f>IFERROR(INDEX(Personnel[Egtim durumu],$K545),"")</f>
        <v>Dil egitimi tamamlandi sinavdan gecti</v>
      </c>
      <c r="H545" s="17" t="str">
        <f>IFERROR(INDEX(Personnel[Shohruh Not],$K545),"")</f>
        <v>-</v>
      </c>
      <c r="I545" s="22">
        <f ca="1">IFERROR(INDEX(Personnel[Дней в РФ],$K545),"")</f>
        <v>33</v>
      </c>
      <c r="K545" s="23">
        <f t="array" ref="K545">IFERROR(_xlfn.AGGREGATE(15,6,(ROW(Personnel[Egtim durumu])-MIN(ROW(Personnel[Egtim durumu]))+1)/((Personnel[Egtim durumu]="Dil egitimi tamamlandi sinavdan gecti")),ROWS($K$7:K545)),"")</f>
        <v>657</v>
      </c>
    </row>
    <row r="546" spans="1:11" x14ac:dyDescent="0.25">
      <c r="A546" s="40">
        <f>IFERROR(INDEX(Personnel[Sicil],$K546),"")</f>
        <v>646398</v>
      </c>
      <c r="B546" s="41" t="str">
        <f>IFERROR(INDEX(Personnel[Adi Soyadi],$K546),"")</f>
        <v>Тошбоев Санжар Жовлиевич</v>
      </c>
      <c r="C546" s="40" t="str">
        <f>IFERROR(INDEX(Personnel[Vatandaslik],$K546),"")</f>
        <v>УЗБЕКИСТАН</v>
      </c>
      <c r="D546" s="40" t="str">
        <f>IFERROR(INDEX(Personnel[Santiye],$K546),"")</f>
        <v>GPP Proje</v>
      </c>
      <c r="E546" s="40" t="str">
        <f>IFERROR(INDEX(Personnel[Ogretmen],$K546),"")</f>
        <v xml:space="preserve">Ziazetdinov Arslan </v>
      </c>
      <c r="F546" s="41" t="str">
        <f>IFERROR(INDEX(Personnel[[Sinav ]],$K546),"")</f>
        <v>31.07.2026 Sineva gitti gecdi</v>
      </c>
      <c r="G546" s="41" t="str">
        <f>IFERROR(INDEX(Personnel[Egtim durumu],$K546),"")</f>
        <v>Dil egitimi tamamlandi sinavdan gecti</v>
      </c>
      <c r="H546" s="41" t="str">
        <f>IFERROR(INDEX(Personnel[Shohruh Not],$K546),"")</f>
        <v>-</v>
      </c>
      <c r="I546" s="42">
        <f ca="1">IFERROR(INDEX(Personnel[Дней в РФ],$K546),"")</f>
        <v>33</v>
      </c>
      <c r="K546" s="23">
        <f t="array" ref="K546">IFERROR(_xlfn.AGGREGATE(15,6,(ROW(Personnel[Egtim durumu])-MIN(ROW(Personnel[Egtim durumu]))+1)/((Personnel[Egtim durumu]="Dil egitimi tamamlandi sinavdan gecti")),ROWS($K$7:K546)),"")</f>
        <v>658</v>
      </c>
    </row>
    <row r="547" spans="1:11" ht="25.5" x14ac:dyDescent="0.25">
      <c r="A547" s="18">
        <f>IFERROR(INDEX(Personnel[Sicil],$K547),"")</f>
        <v>646389</v>
      </c>
      <c r="B547" s="17" t="str">
        <f>IFERROR(INDEX(Personnel[Adi Soyadi],$K547),"")</f>
        <v>Турсоатов Хуррам Исмоилович</v>
      </c>
      <c r="C547" s="18" t="str">
        <f>IFERROR(INDEX(Personnel[Vatandaslik],$K547),"")</f>
        <v>УЗБЕКИСТАН</v>
      </c>
      <c r="D547" s="18" t="str">
        <f>IFERROR(INDEX(Personnel[Santiye],$K547),"")</f>
        <v>GPP Proje</v>
      </c>
      <c r="E547" s="18" t="str">
        <f>IFERROR(INDEX(Personnel[Ogretmen],$K547),"")</f>
        <v>Ziazetdinov Arslan / Ziazetdinov Arslan</v>
      </c>
      <c r="F547" s="17" t="str">
        <f>IFERROR(INDEX(Personnel[[Sinav ]],$K547),"")</f>
        <v>31.07.2026 Sineva gitti gecemedi /04.08.2026 Sineva gitti gecdi</v>
      </c>
      <c r="G547" s="17" t="str">
        <f>IFERROR(INDEX(Personnel[Egtim durumu],$K547),"")</f>
        <v>Dil egitimi tamamlandi sinavdan gecti</v>
      </c>
      <c r="H547" s="17" t="str">
        <f>IFERROR(INDEX(Personnel[Shohruh Not],$K547),"")</f>
        <v>-</v>
      </c>
      <c r="I547" s="22">
        <f ca="1">IFERROR(INDEX(Personnel[Дней в РФ],$K547),"")</f>
        <v>33</v>
      </c>
      <c r="K547" s="23">
        <f t="array" ref="K547">IFERROR(_xlfn.AGGREGATE(15,6,(ROW(Personnel[Egtim durumu])-MIN(ROW(Personnel[Egtim durumu]))+1)/((Personnel[Egtim durumu]="Dil egitimi tamamlandi sinavdan gecti")),ROWS($K$7:K547)),"")</f>
        <v>659</v>
      </c>
    </row>
    <row r="548" spans="1:11" x14ac:dyDescent="0.25">
      <c r="A548" s="40">
        <f>IFERROR(INDEX(Personnel[Sicil],$K548),"")</f>
        <v>646383</v>
      </c>
      <c r="B548" s="41" t="str">
        <f>IFERROR(INDEX(Personnel[Adi Soyadi],$K548),"")</f>
        <v>Янгиев Туйчи Жахонгир Угли</v>
      </c>
      <c r="C548" s="40" t="str">
        <f>IFERROR(INDEX(Personnel[Vatandaslik],$K548),"")</f>
        <v>УЗБЕКИСТАН</v>
      </c>
      <c r="D548" s="40" t="str">
        <f>IFERROR(INDEX(Personnel[Santiye],$K548),"")</f>
        <v>GPP Proje</v>
      </c>
      <c r="E548" s="40" t="str">
        <f>IFERROR(INDEX(Personnel[Ogretmen],$K548),"")</f>
        <v xml:space="preserve">Ziazetdinov Arslan </v>
      </c>
      <c r="F548" s="41" t="str">
        <f>IFERROR(INDEX(Personnel[[Sinav ]],$K548),"")</f>
        <v>31.07.2026 Sineva gitti gecdi</v>
      </c>
      <c r="G548" s="41" t="str">
        <f>IFERROR(INDEX(Personnel[Egtim durumu],$K548),"")</f>
        <v>Dil egitimi tamamlandi sinavdan gecti</v>
      </c>
      <c r="H548" s="41">
        <f>IFERROR(INDEX(Personnel[Shohruh Not],$K548),"")</f>
        <v>0</v>
      </c>
      <c r="I548" s="42">
        <f ca="1">IFERROR(INDEX(Personnel[Дней в РФ],$K548),"")</f>
        <v>33</v>
      </c>
      <c r="K548" s="23">
        <f t="array" ref="K548">IFERROR(_xlfn.AGGREGATE(15,6,(ROW(Personnel[Egtim durumu])-MIN(ROW(Personnel[Egtim durumu]))+1)/((Personnel[Egtim durumu]="Dil egitimi tamamlandi sinavdan gecti")),ROWS($K$7:K548)),"")</f>
        <v>662</v>
      </c>
    </row>
    <row r="549" spans="1:11" ht="38.25" x14ac:dyDescent="0.25">
      <c r="A549" s="18">
        <f>IFERROR(INDEX(Personnel[Sicil],$K549),"")</f>
        <v>463620</v>
      </c>
      <c r="B549" s="17" t="str">
        <f>IFERROR(INDEX(Personnel[Adi Soyadi],$K549),"")</f>
        <v>Саидов Фахриддин Гулимбаевич</v>
      </c>
      <c r="C549" s="18" t="str">
        <f>IFERROR(INDEX(Personnel[Vatandaslik],$K549),"")</f>
        <v>УЗБЕКИСТАН</v>
      </c>
      <c r="D549" s="18" t="str">
        <f>IFERROR(INDEX(Personnel[Santiye],$K549),"")</f>
        <v>GPP Proje</v>
      </c>
      <c r="E549" s="18" t="str">
        <f>IFERROR(INDEX(Personnel[Ogretmen],$K549),"")</f>
        <v>Ziazetdinov Arslan / Ziazetdinov Arslan</v>
      </c>
      <c r="F549" s="17" t="str">
        <f>IFERROR(INDEX(Personnel[[Sinav ]],$K549),"")</f>
        <v>Ic testimizden gecemiyor 31.07.2026 egitime alindi /12.08.2026 Sineva gitti gecdi</v>
      </c>
      <c r="G549" s="17" t="str">
        <f>IFERROR(INDEX(Personnel[Egtim durumu],$K549),"")</f>
        <v>Dil egitimi tamamlandi sinavdan gecti</v>
      </c>
      <c r="H549" s="17" t="str">
        <f>IFERROR(INDEX(Personnel[Shohruh Not],$K549),"")</f>
        <v>Gitmedi uyuyakalmıs</v>
      </c>
      <c r="I549" s="22">
        <f ca="1">IFERROR(INDEX(Personnel[Дней в РФ],$K549),"")</f>
        <v>32</v>
      </c>
      <c r="K549" s="23">
        <f t="array" ref="K549">IFERROR(_xlfn.AGGREGATE(15,6,(ROW(Personnel[Egtim durumu])-MIN(ROW(Personnel[Egtim durumu]))+1)/((Personnel[Egtim durumu]="Dil egitimi tamamlandi sinavdan gecti")),ROWS($K$7:K549)),"")</f>
        <v>663</v>
      </c>
    </row>
    <row r="550" spans="1:11" x14ac:dyDescent="0.25">
      <c r="A550" s="40">
        <f>IFERROR(INDEX(Personnel[Sicil],$K550),"")</f>
        <v>420560</v>
      </c>
      <c r="B550" s="41" t="str">
        <f>IFERROR(INDEX(Personnel[Adi Soyadi],$K550),"")</f>
        <v>Холбоев Бекзод Махаммадиевич</v>
      </c>
      <c r="C550" s="40" t="str">
        <f>IFERROR(INDEX(Personnel[Vatandaslik],$K550),"")</f>
        <v>УЗБЕКИСТАН</v>
      </c>
      <c r="D550" s="40" t="str">
        <f>IFERROR(INDEX(Personnel[Santiye],$K550),"")</f>
        <v>GPP Proje</v>
      </c>
      <c r="E550" s="40" t="str">
        <f>IFERROR(INDEX(Personnel[Ogretmen],$K550),"")</f>
        <v xml:space="preserve">Ziazetdinov Arslan </v>
      </c>
      <c r="F550" s="41" t="str">
        <f>IFERROR(INDEX(Personnel[[Sinav ]],$K550),"")</f>
        <v>04.08.2026 Sineva gitti gecdi</v>
      </c>
      <c r="G550" s="41" t="str">
        <f>IFERROR(INDEX(Personnel[Egtim durumu],$K550),"")</f>
        <v>Dil egitimi tamamlandi sinavdan gecti</v>
      </c>
      <c r="H550" s="41" t="str">
        <f>IFERROR(INDEX(Personnel[Shohruh Not],$K550),"")</f>
        <v>-</v>
      </c>
      <c r="I550" s="42">
        <f ca="1">IFERROR(INDEX(Personnel[Дней в РФ],$K550),"")</f>
        <v>30</v>
      </c>
      <c r="K550" s="23">
        <f t="array" ref="K550">IFERROR(_xlfn.AGGREGATE(15,6,(ROW(Personnel[Egtim durumu])-MIN(ROW(Personnel[Egtim durumu]))+1)/((Personnel[Egtim durumu]="Dil egitimi tamamlandi sinavdan gecti")),ROWS($K$7:K550)),"")</f>
        <v>665</v>
      </c>
    </row>
    <row r="551" spans="1:11" ht="38.25" x14ac:dyDescent="0.25">
      <c r="A551" s="18">
        <f>IFERROR(INDEX(Personnel[Sicil],$K551),"")</f>
        <v>646581</v>
      </c>
      <c r="B551" s="17" t="str">
        <f>IFERROR(INDEX(Personnel[Adi Soyadi],$K551),"")</f>
        <v>Кошаев Азамат Джумабекович</v>
      </c>
      <c r="C551" s="18" t="str">
        <f>IFERROR(INDEX(Personnel[Vatandaslik],$K551),"")</f>
        <v>УЗБЕКИСТАН</v>
      </c>
      <c r="D551" s="18" t="str">
        <f>IFERROR(INDEX(Personnel[Santiye],$K551),"")</f>
        <v>GPP Proje</v>
      </c>
      <c r="E551" s="18" t="str">
        <f>IFERROR(INDEX(Personnel[Ogretmen],$K551),"")</f>
        <v>Ziazetdinov Arslan / Ziazetdinov Arslan</v>
      </c>
      <c r="F551" s="17" t="str">
        <f>IFERROR(INDEX(Personnel[[Sinav ]],$K551),"")</f>
        <v>Ic testimizden gecemiyor 31.07.2026 egitime alindi /11.08.2026 Sineva gitti gecdi</v>
      </c>
      <c r="G551" s="17" t="str">
        <f>IFERROR(INDEX(Personnel[Egtim durumu],$K551),"")</f>
        <v>Dil egitimi tamamlandi sinavdan gecti</v>
      </c>
      <c r="H551" s="17" t="str">
        <f>IFERROR(INDEX(Personnel[Shohruh Not],$K551),"")</f>
        <v>-</v>
      </c>
      <c r="I551" s="22">
        <f ca="1">IFERROR(INDEX(Personnel[Дней в РФ],$K551),"")</f>
        <v>26</v>
      </c>
      <c r="K551" s="23">
        <f t="array" ref="K551">IFERROR(_xlfn.AGGREGATE(15,6,(ROW(Personnel[Egtim durumu])-MIN(ROW(Personnel[Egtim durumu]))+1)/((Personnel[Egtim durumu]="Dil egitimi tamamlandi sinavdan gecti")),ROWS($K$7:K551)),"")</f>
        <v>666</v>
      </c>
    </row>
    <row r="552" spans="1:11" x14ac:dyDescent="0.25">
      <c r="A552" s="40">
        <f>IFERROR(INDEX(Personnel[Sicil],$K552),"")</f>
        <v>646522</v>
      </c>
      <c r="B552" s="41" t="str">
        <f>IFERROR(INDEX(Personnel[Adi Soyadi],$K552),"")</f>
        <v>Мусурмонов Нозимбек Хасан Угли</v>
      </c>
      <c r="C552" s="40" t="str">
        <f>IFERROR(INDEX(Personnel[Vatandaslik],$K552),"")</f>
        <v>УЗБЕКИСТАН</v>
      </c>
      <c r="D552" s="40" t="str">
        <f>IFERROR(INDEX(Personnel[Santiye],$K552),"")</f>
        <v>GPP Proje</v>
      </c>
      <c r="E552" s="40" t="str">
        <f>IFERROR(INDEX(Personnel[Ogretmen],$K552),"")</f>
        <v xml:space="preserve">Ziazetdinov Arslan </v>
      </c>
      <c r="F552" s="41" t="str">
        <f>IFERROR(INDEX(Personnel[[Sinav ]],$K552),"")</f>
        <v>12.08.2026 Sineva gitti gecdi</v>
      </c>
      <c r="G552" s="41" t="str">
        <f>IFERROR(INDEX(Personnel[Egtim durumu],$K552),"")</f>
        <v>Dil egitimi tamamlandi sinavdan gecti</v>
      </c>
      <c r="H552" s="41" t="str">
        <f>IFERROR(INDEX(Personnel[Shohruh Not],$K552),"")</f>
        <v>-</v>
      </c>
      <c r="I552" s="42">
        <f ca="1">IFERROR(INDEX(Personnel[Дней в РФ],$K552),"")</f>
        <v>30</v>
      </c>
      <c r="K552" s="23">
        <f t="array" ref="K552">IFERROR(_xlfn.AGGREGATE(15,6,(ROW(Personnel[Egtim durumu])-MIN(ROW(Personnel[Egtim durumu]))+1)/((Personnel[Egtim durumu]="Dil egitimi tamamlandi sinavdan gecti")),ROWS($K$7:K552)),"")</f>
        <v>667</v>
      </c>
    </row>
    <row r="553" spans="1:11" x14ac:dyDescent="0.25">
      <c r="A553" s="18">
        <f>IFERROR(INDEX(Personnel[Sicil],$K553),"")</f>
        <v>423989</v>
      </c>
      <c r="B553" s="17" t="str">
        <f>IFERROR(INDEX(Personnel[Adi Soyadi],$K553),"")</f>
        <v>Сафаров Аброр Турди угли</v>
      </c>
      <c r="C553" s="18" t="str">
        <f>IFERROR(INDEX(Personnel[Vatandaslik],$K553),"")</f>
        <v>УЗБЕКИСТАН</v>
      </c>
      <c r="D553" s="18" t="str">
        <f>IFERROR(INDEX(Personnel[Santiye],$K553),"")</f>
        <v>GPP Proje</v>
      </c>
      <c r="E553" s="18" t="str">
        <f>IFERROR(INDEX(Personnel[Ogretmen],$K553),"")</f>
        <v xml:space="preserve">Ziazetdinov Arslan </v>
      </c>
      <c r="F553" s="17" t="str">
        <f>IFERROR(INDEX(Personnel[[Sinav ]],$K553),"")</f>
        <v>04.08.2026 Sineva gitti gecdi</v>
      </c>
      <c r="G553" s="17" t="str">
        <f>IFERROR(INDEX(Personnel[Egtim durumu],$K553),"")</f>
        <v>Dil egitimi tamamlandi sinavdan gecti</v>
      </c>
      <c r="H553" s="17" t="str">
        <f>IFERROR(INDEX(Personnel[Shohruh Not],$K553),"")</f>
        <v>-</v>
      </c>
      <c r="I553" s="22">
        <f ca="1">IFERROR(INDEX(Personnel[Дней в РФ],$K553),"")</f>
        <v>30</v>
      </c>
      <c r="K553" s="23">
        <f t="array" ref="K553">IFERROR(_xlfn.AGGREGATE(15,6,(ROW(Personnel[Egtim durumu])-MIN(ROW(Personnel[Egtim durumu]))+1)/((Personnel[Egtim durumu]="Dil egitimi tamamlandi sinavdan gecti")),ROWS($K$7:K553)),"")</f>
        <v>668</v>
      </c>
    </row>
    <row r="554" spans="1:11" ht="25.5" x14ac:dyDescent="0.25">
      <c r="A554" s="40">
        <f>IFERROR(INDEX(Personnel[Sicil],$K554),"")</f>
        <v>481272</v>
      </c>
      <c r="B554" s="41" t="str">
        <f>IFERROR(INDEX(Personnel[Adi Soyadi],$K554),"")</f>
        <v>Шарипов Арсланбек Рейимбергенович</v>
      </c>
      <c r="C554" s="40" t="str">
        <f>IFERROR(INDEX(Personnel[Vatandaslik],$K554),"")</f>
        <v>УЗБЕКИСТАН</v>
      </c>
      <c r="D554" s="40" t="str">
        <f>IFERROR(INDEX(Personnel[Santiye],$K554),"")</f>
        <v>GPP Proje</v>
      </c>
      <c r="E554" s="40" t="str">
        <f>IFERROR(INDEX(Personnel[Ogretmen],$K554),"")</f>
        <v xml:space="preserve">Ziazetdinov Arslan </v>
      </c>
      <c r="F554" s="41" t="str">
        <f>IFERROR(INDEX(Personnel[[Sinav ]],$K554),"")</f>
        <v>04.08.2026 Sineva gitti gecdi</v>
      </c>
      <c r="G554" s="41" t="str">
        <f>IFERROR(INDEX(Personnel[Egtim durumu],$K554),"")</f>
        <v>Dil egitimi tamamlandi sinavdan gecti</v>
      </c>
      <c r="H554" s="41" t="str">
        <f>IFERROR(INDEX(Personnel[Shohruh Not],$K554),"")</f>
        <v>-</v>
      </c>
      <c r="I554" s="42">
        <f ca="1">IFERROR(INDEX(Personnel[Дней в РФ],$K554),"")</f>
        <v>26</v>
      </c>
      <c r="K554" s="23">
        <f t="array" ref="K554">IFERROR(_xlfn.AGGREGATE(15,6,(ROW(Personnel[Egtim durumu])-MIN(ROW(Personnel[Egtim durumu]))+1)/((Personnel[Egtim durumu]="Dil egitimi tamamlandi sinavdan gecti")),ROWS($K$7:K554)),"")</f>
        <v>669</v>
      </c>
    </row>
    <row r="555" spans="1:11" x14ac:dyDescent="0.25">
      <c r="A555" s="18">
        <f>IFERROR(INDEX(Personnel[Sicil],$K555),"")</f>
        <v>272235</v>
      </c>
      <c r="B555" s="17" t="str">
        <f>IFERROR(INDEX(Personnel[Adi Soyadi],$K555),"")</f>
        <v>Мамиев Гутлимурат Амандурдыевич</v>
      </c>
      <c r="C555" s="18" t="str">
        <f>IFERROR(INDEX(Personnel[Vatandaslik],$K555),"")</f>
        <v>УЗБЕКИСТАН</v>
      </c>
      <c r="D555" s="18" t="str">
        <f>IFERROR(INDEX(Personnel[Santiye],$K555),"")</f>
        <v>GPP Proje</v>
      </c>
      <c r="E555" s="18" t="str">
        <f>IFERROR(INDEX(Personnel[Ogretmen],$K555),"")</f>
        <v xml:space="preserve">Ziazetdinov Arslan </v>
      </c>
      <c r="F555" s="17" t="str">
        <f>IFERROR(INDEX(Personnel[[Sinav ]],$K555),"")</f>
        <v>31.07.2026 Sineva gitti gecdi</v>
      </c>
      <c r="G555" s="17" t="str">
        <f>IFERROR(INDEX(Personnel[Egtim durumu],$K555),"")</f>
        <v>Dil egitimi tamamlandi sinavdan gecti</v>
      </c>
      <c r="H555" s="17" t="str">
        <f>IFERROR(INDEX(Personnel[Shohruh Not],$K555),"")</f>
        <v>-</v>
      </c>
      <c r="I555" s="22">
        <f ca="1">IFERROR(INDEX(Personnel[Дней в РФ],$K555),"")</f>
        <v>33</v>
      </c>
      <c r="K555" s="23">
        <f t="array" ref="K555">IFERROR(_xlfn.AGGREGATE(15,6,(ROW(Personnel[Egtim durumu])-MIN(ROW(Personnel[Egtim durumu]))+1)/((Personnel[Egtim durumu]="Dil egitimi tamamlandi sinavdan gecti")),ROWS($K$7:K555)),"")</f>
        <v>670</v>
      </c>
    </row>
    <row r="556" spans="1:11" x14ac:dyDescent="0.25">
      <c r="A556" s="40">
        <f>IFERROR(INDEX(Personnel[Sicil],$K556),"")</f>
        <v>646595</v>
      </c>
      <c r="B556" s="41" t="str">
        <f>IFERROR(INDEX(Personnel[Adi Soyadi],$K556),"")</f>
        <v>Дониёров Жавохир Аллаберди Угли</v>
      </c>
      <c r="C556" s="40" t="str">
        <f>IFERROR(INDEX(Personnel[Vatandaslik],$K556),"")</f>
        <v>УЗБЕКИСТАН</v>
      </c>
      <c r="D556" s="40" t="str">
        <f>IFERROR(INDEX(Personnel[Santiye],$K556),"")</f>
        <v>GPP Proje</v>
      </c>
      <c r="E556" s="40" t="str">
        <f>IFERROR(INDEX(Personnel[Ogretmen],$K556),"")</f>
        <v xml:space="preserve">Ziazetdinov Arslan </v>
      </c>
      <c r="F556" s="41" t="str">
        <f>IFERROR(INDEX(Personnel[[Sinav ]],$K556),"")</f>
        <v>04.08.2026 Sineva gitti gecdi</v>
      </c>
      <c r="G556" s="41" t="str">
        <f>IFERROR(INDEX(Personnel[Egtim durumu],$K556),"")</f>
        <v>Dil egitimi tamamlandi sinavdan gecti</v>
      </c>
      <c r="H556" s="41" t="str">
        <f>IFERROR(INDEX(Personnel[Shohruh Not],$K556),"")</f>
        <v>-</v>
      </c>
      <c r="I556" s="42">
        <f ca="1">IFERROR(INDEX(Personnel[Дней в РФ],$K556),"")</f>
        <v>26</v>
      </c>
      <c r="K556" s="23">
        <f t="array" ref="K556">IFERROR(_xlfn.AGGREGATE(15,6,(ROW(Personnel[Egtim durumu])-MIN(ROW(Personnel[Egtim durumu]))+1)/((Personnel[Egtim durumu]="Dil egitimi tamamlandi sinavdan gecti")),ROWS($K$7:K556)),"")</f>
        <v>672</v>
      </c>
    </row>
    <row r="557" spans="1:11" ht="51" x14ac:dyDescent="0.25">
      <c r="A557" s="18">
        <f>IFERROR(INDEX(Personnel[Sicil],$K557),"")</f>
        <v>646597</v>
      </c>
      <c r="B557" s="17" t="str">
        <f>IFERROR(INDEX(Personnel[Adi Soyadi],$K557),"")</f>
        <v>Холматов Илёсбек Тулкинович</v>
      </c>
      <c r="C557" s="18" t="str">
        <f>IFERROR(INDEX(Personnel[Vatandaslik],$K557),"")</f>
        <v>УЗБЕКИСТАН</v>
      </c>
      <c r="D557" s="18" t="str">
        <f>IFERROR(INDEX(Personnel[Santiye],$K557),"")</f>
        <v>GPP Proje</v>
      </c>
      <c r="E557" s="18" t="str">
        <f>IFERROR(INDEX(Personnel[Ogretmen],$K557),"")</f>
        <v>Ziazetdinov Arslan / Ziazetdinov Arslan</v>
      </c>
      <c r="F557" s="17" t="str">
        <f>IFERROR(INDEX(Personnel[[Sinav ]],$K557),"")</f>
        <v>Ic testimizden gecemiyor 31.07.2026 egitime alindi /Ic testimizden gecemedi 04.08.2026 /12.08.2026 Sineva gitti gecdi</v>
      </c>
      <c r="G557" s="17" t="str">
        <f>IFERROR(INDEX(Personnel[Egtim durumu],$K557),"")</f>
        <v>Dil egitimi tamamlandi sinavdan gecti</v>
      </c>
      <c r="H557" s="17" t="str">
        <f>IFERROR(INDEX(Personnel[Shohruh Not],$K557),"")</f>
        <v>kedi hisabindan</v>
      </c>
      <c r="I557" s="22">
        <f ca="1">IFERROR(INDEX(Personnel[Дней в РФ],$K557),"")</f>
        <v>25</v>
      </c>
      <c r="K557" s="23">
        <f t="array" ref="K557">IFERROR(_xlfn.AGGREGATE(15,6,(ROW(Personnel[Egtim durumu])-MIN(ROW(Personnel[Egtim durumu]))+1)/((Personnel[Egtim durumu]="Dil egitimi tamamlandi sinavdan gecti")),ROWS($K$7:K557)),"")</f>
        <v>673</v>
      </c>
    </row>
    <row r="558" spans="1:11" ht="38.25" x14ac:dyDescent="0.25">
      <c r="A558" s="40">
        <f>IFERROR(INDEX(Personnel[Sicil],$K558),"")</f>
        <v>646598</v>
      </c>
      <c r="B558" s="41" t="str">
        <f>IFERROR(INDEX(Personnel[Adi Soyadi],$K558),"")</f>
        <v>Кучкаров Холжура Иброхимович</v>
      </c>
      <c r="C558" s="40" t="str">
        <f>IFERROR(INDEX(Personnel[Vatandaslik],$K558),"")</f>
        <v>УЗБЕКИСТАН</v>
      </c>
      <c r="D558" s="40" t="str">
        <f>IFERROR(INDEX(Personnel[Santiye],$K558),"")</f>
        <v>GPP Proje</v>
      </c>
      <c r="E558" s="40" t="str">
        <f>IFERROR(INDEX(Personnel[Ogretmen],$K558),"")</f>
        <v>Ziazetdinov Arslan / Ziazetdinov Arslan</v>
      </c>
      <c r="F558" s="41" t="str">
        <f>IFERROR(INDEX(Personnel[[Sinav ]],$K558),"")</f>
        <v>04.08.2026 Sineva gitti gecemedi /11.08.2026 Sineva gitti gecemedi /14.08.2026 Sineva gitti gecdi</v>
      </c>
      <c r="G558" s="41" t="str">
        <f>IFERROR(INDEX(Personnel[Egtim durumu],$K558),"")</f>
        <v>Dil egitimi tamamlandi sinavdan gecti</v>
      </c>
      <c r="H558" s="41" t="str">
        <f>IFERROR(INDEX(Personnel[Shohruh Not],$K558),"")</f>
        <v>kedi hisabindan</v>
      </c>
      <c r="I558" s="42">
        <f ca="1">IFERROR(INDEX(Personnel[Дней в РФ],$K558),"")</f>
        <v>25</v>
      </c>
      <c r="K558" s="23">
        <f t="array" ref="K558">IFERROR(_xlfn.AGGREGATE(15,6,(ROW(Personnel[Egtim durumu])-MIN(ROW(Personnel[Egtim durumu]))+1)/((Personnel[Egtim durumu]="Dil egitimi tamamlandi sinavdan gecti")),ROWS($K$7:K558)),"")</f>
        <v>674</v>
      </c>
    </row>
    <row r="559" spans="1:11" ht="38.25" x14ac:dyDescent="0.25">
      <c r="A559" s="18">
        <f>IFERROR(INDEX(Personnel[Sicil],$K559),"")</f>
        <v>524371</v>
      </c>
      <c r="B559" s="17" t="str">
        <f>IFERROR(INDEX(Personnel[Adi Soyadi],$K559),"")</f>
        <v>Мухторов Дилмурод Низомидин угли</v>
      </c>
      <c r="C559" s="18" t="str">
        <f>IFERROR(INDEX(Personnel[Vatandaslik],$K559),"")</f>
        <v>УЗБЕКИСТАН</v>
      </c>
      <c r="D559" s="18" t="str">
        <f>IFERROR(INDEX(Personnel[Santiye],$K559),"")</f>
        <v>GPP Proje</v>
      </c>
      <c r="E559" s="18" t="str">
        <f>IFERROR(INDEX(Personnel[Ogretmen],$K559),"")</f>
        <v>Ziazetdinov Arslan / Ziazetdinov Arslan</v>
      </c>
      <c r="F559" s="17" t="str">
        <f>IFERROR(INDEX(Personnel[[Sinav ]],$K559),"")</f>
        <v>Ic testimizden gecemiyor 31.07.2026 egitime alindi /11.08.2026 Sineva gitti gecemedi /14.08.2026 Sineva gitti gecdi</v>
      </c>
      <c r="G559" s="17" t="str">
        <f>IFERROR(INDEX(Personnel[Egtim durumu],$K559),"")</f>
        <v>Dil egitimi tamamlandi sinavdan gecti</v>
      </c>
      <c r="H559" s="17" t="str">
        <f>IFERROR(INDEX(Personnel[Shohruh Not],$K559),"")</f>
        <v>kedi hisabindan</v>
      </c>
      <c r="I559" s="22">
        <f ca="1">IFERROR(INDEX(Personnel[Дней в РФ],$K559),"")</f>
        <v>25</v>
      </c>
      <c r="K559" s="23">
        <f t="array" ref="K559">IFERROR(_xlfn.AGGREGATE(15,6,(ROW(Personnel[Egtim durumu])-MIN(ROW(Personnel[Egtim durumu]))+1)/((Personnel[Egtim durumu]="Dil egitimi tamamlandi sinavdan gecti")),ROWS($K$7:K559)),"")</f>
        <v>675</v>
      </c>
    </row>
    <row r="560" spans="1:11" ht="38.25" x14ac:dyDescent="0.25">
      <c r="A560" s="40">
        <f>IFERROR(INDEX(Personnel[Sicil],$K560),"")</f>
        <v>646600</v>
      </c>
      <c r="B560" s="41" t="str">
        <f>IFERROR(INDEX(Personnel[Adi Soyadi],$K560),"")</f>
        <v>Омонов Озодбек Зиёдула Угли</v>
      </c>
      <c r="C560" s="40" t="str">
        <f>IFERROR(INDEX(Personnel[Vatandaslik],$K560),"")</f>
        <v>УЗБЕКИСТАН</v>
      </c>
      <c r="D560" s="40" t="str">
        <f>IFERROR(INDEX(Personnel[Santiye],$K560),"")</f>
        <v>GPP Proje</v>
      </c>
      <c r="E560" s="40" t="str">
        <f>IFERROR(INDEX(Personnel[Ogretmen],$K560),"")</f>
        <v>Ziazetdinov Arslan / Ziazetdinov Arslan</v>
      </c>
      <c r="F560" s="41" t="str">
        <f>IFERROR(INDEX(Personnel[[Sinav ]],$K560),"")</f>
        <v>Ic testimizden gecemiyor 31.07.2026 egitime alindi /04.08.2026 Sineva gitti gecemedi /14.08.2026 Sineva gitti gecdi</v>
      </c>
      <c r="G560" s="41" t="str">
        <f>IFERROR(INDEX(Personnel[Egtim durumu],$K560),"")</f>
        <v>Dil egitimi tamamlandi sinavdan gecti</v>
      </c>
      <c r="H560" s="41" t="str">
        <f>IFERROR(INDEX(Personnel[Shohruh Not],$K560),"")</f>
        <v>kedi hisabindan</v>
      </c>
      <c r="I560" s="42">
        <f ca="1">IFERROR(INDEX(Personnel[Дней в РФ],$K560),"")</f>
        <v>26</v>
      </c>
      <c r="K560" s="23">
        <f t="array" ref="K560">IFERROR(_xlfn.AGGREGATE(15,6,(ROW(Personnel[Egtim durumu])-MIN(ROW(Personnel[Egtim durumu]))+1)/((Personnel[Egtim durumu]="Dil egitimi tamamlandi sinavdan gecti")),ROWS($K$7:K560)),"")</f>
        <v>676</v>
      </c>
    </row>
    <row r="561" spans="1:11" ht="38.25" x14ac:dyDescent="0.25">
      <c r="A561" s="18">
        <f>IFERROR(INDEX(Personnel[Sicil],$K561),"")</f>
        <v>646603</v>
      </c>
      <c r="B561" s="17" t="str">
        <f>IFERROR(INDEX(Personnel[Adi Soyadi],$K561),"")</f>
        <v>Сафаров Эшмурод Худоёрович</v>
      </c>
      <c r="C561" s="18" t="str">
        <f>IFERROR(INDEX(Personnel[Vatandaslik],$K561),"")</f>
        <v>УЗБЕКИСТАН</v>
      </c>
      <c r="D561" s="18" t="str">
        <f>IFERROR(INDEX(Personnel[Santiye],$K561),"")</f>
        <v>GPP Proje</v>
      </c>
      <c r="E561" s="18" t="str">
        <f>IFERROR(INDEX(Personnel[Ogretmen],$K561),"")</f>
        <v>Ziazetdinov Arslan / Ziazetdinov Arslan</v>
      </c>
      <c r="F561" s="17" t="str">
        <f>IFERROR(INDEX(Personnel[[Sinav ]],$K561),"")</f>
        <v>Ic testimizden gecemiyor 31.07.2026 egitime alindi /11.08.2026 Sineva gitti gecdi</v>
      </c>
      <c r="G561" s="17" t="str">
        <f>IFERROR(INDEX(Personnel[Egtim durumu],$K561),"")</f>
        <v>Dil egitimi tamamlandi sinavdan gecti</v>
      </c>
      <c r="H561" s="17" t="str">
        <f>IFERROR(INDEX(Personnel[Shohruh Not],$K561),"")</f>
        <v>-</v>
      </c>
      <c r="I561" s="22">
        <f ca="1">IFERROR(INDEX(Personnel[Дней в РФ],$K561),"")</f>
        <v>26</v>
      </c>
      <c r="K561" s="23">
        <f t="array" ref="K561">IFERROR(_xlfn.AGGREGATE(15,6,(ROW(Personnel[Egtim durumu])-MIN(ROW(Personnel[Egtim durumu]))+1)/((Personnel[Egtim durumu]="Dil egitimi tamamlandi sinavdan gecti")),ROWS($K$7:K561)),"")</f>
        <v>678</v>
      </c>
    </row>
    <row r="562" spans="1:11" x14ac:dyDescent="0.25">
      <c r="A562" s="40">
        <f>IFERROR(INDEX(Personnel[Sicil],$K562),"")</f>
        <v>646609</v>
      </c>
      <c r="B562" s="41" t="str">
        <f>IFERROR(INDEX(Personnel[Adi Soyadi],$K562),"")</f>
        <v>Зухуров Ризванбек Толиб Угли</v>
      </c>
      <c r="C562" s="40" t="str">
        <f>IFERROR(INDEX(Personnel[Vatandaslik],$K562),"")</f>
        <v>УЗБЕКИСТАН</v>
      </c>
      <c r="D562" s="40" t="str">
        <f>IFERROR(INDEX(Personnel[Santiye],$K562),"")</f>
        <v>GPP Proje</v>
      </c>
      <c r="E562" s="40" t="str">
        <f>IFERROR(INDEX(Personnel[Ogretmen],$K562),"")</f>
        <v xml:space="preserve">Ziazetdinov Arslan </v>
      </c>
      <c r="F562" s="41" t="str">
        <f>IFERROR(INDEX(Personnel[[Sinav ]],$K562),"")</f>
        <v>06.08.2026 Sineva gitti gecdi</v>
      </c>
      <c r="G562" s="41" t="str">
        <f>IFERROR(INDEX(Personnel[Egtim durumu],$K562),"")</f>
        <v>Dil egitimi tamamlandi sinavdan gecti</v>
      </c>
      <c r="H562" s="41" t="str">
        <f>IFERROR(INDEX(Personnel[Shohruh Not],$K562),"")</f>
        <v>-</v>
      </c>
      <c r="I562" s="42">
        <f ca="1">IFERROR(INDEX(Personnel[Дней в РФ],$K562),"")</f>
        <v>26</v>
      </c>
      <c r="K562" s="23">
        <f t="array" ref="K562">IFERROR(_xlfn.AGGREGATE(15,6,(ROW(Personnel[Egtim durumu])-MIN(ROW(Personnel[Egtim durumu]))+1)/((Personnel[Egtim durumu]="Dil egitimi tamamlandi sinavdan gecti")),ROWS($K$7:K562)),"")</f>
        <v>680</v>
      </c>
    </row>
    <row r="563" spans="1:11" x14ac:dyDescent="0.25">
      <c r="A563" s="18">
        <f>IFERROR(INDEX(Personnel[Sicil],$K563),"")</f>
        <v>625673</v>
      </c>
      <c r="B563" s="17" t="str">
        <f>IFERROR(INDEX(Personnel[Adi Soyadi],$K563),"")</f>
        <v>Абдуллаев Рустам Абдуллаевич</v>
      </c>
      <c r="C563" s="18" t="str">
        <f>IFERROR(INDEX(Personnel[Vatandaslik],$K563),"")</f>
        <v>УЗБЕКИСТАН</v>
      </c>
      <c r="D563" s="18" t="str">
        <f>IFERROR(INDEX(Personnel[Santiye],$K563),"")</f>
        <v>GPP Proje (TSF)</v>
      </c>
      <c r="E563" s="18" t="str">
        <f>IFERROR(INDEX(Personnel[Ogretmen],$K563),"")</f>
        <v xml:space="preserve">Ziazetdinov Arslan </v>
      </c>
      <c r="F563" s="17" t="str">
        <f>IFERROR(INDEX(Personnel[[Sinav ]],$K563),"")</f>
        <v>11.08.2026 Sineva gitti gecdi</v>
      </c>
      <c r="G563" s="17" t="str">
        <f>IFERROR(INDEX(Personnel[Egtim durumu],$K563),"")</f>
        <v>Dil egitimi tamamlandi sinavdan gecti</v>
      </c>
      <c r="H563" s="17" t="str">
        <f>IFERROR(INDEX(Personnel[Shohruh Not],$K563),"")</f>
        <v>-</v>
      </c>
      <c r="I563" s="22">
        <f ca="1">IFERROR(INDEX(Personnel[Дней в РФ],$K563),"")</f>
        <v>227</v>
      </c>
      <c r="K563" s="23">
        <f t="array" ref="K563">IFERROR(_xlfn.AGGREGATE(15,6,(ROW(Personnel[Egtim durumu])-MIN(ROW(Personnel[Egtim durumu]))+1)/((Personnel[Egtim durumu]="Dil egitimi tamamlandi sinavdan gecti")),ROWS($K$7:K563)),"")</f>
        <v>681</v>
      </c>
    </row>
    <row r="564" spans="1:11" x14ac:dyDescent="0.25">
      <c r="A564" s="40">
        <f>IFERROR(INDEX(Personnel[Sicil],$K564),"")</f>
        <v>445728</v>
      </c>
      <c r="B564" s="41" t="str">
        <f>IFERROR(INDEX(Personnel[Adi Soyadi],$K564),"")</f>
        <v>Байжанов Джуманазар Айназарович</v>
      </c>
      <c r="C564" s="40" t="str">
        <f>IFERROR(INDEX(Personnel[Vatandaslik],$K564),"")</f>
        <v>УЗБЕКИСТАН</v>
      </c>
      <c r="D564" s="40" t="str">
        <f>IFERROR(INDEX(Personnel[Santiye],$K564),"")</f>
        <v>GPP Proje</v>
      </c>
      <c r="E564" s="40" t="str">
        <f>IFERROR(INDEX(Personnel[Ogretmen],$K564),"")</f>
        <v xml:space="preserve">Ziazetdinov Arslan </v>
      </c>
      <c r="F564" s="41" t="str">
        <f>IFERROR(INDEX(Personnel[[Sinav ]],$K564),"")</f>
        <v>11.08.2026 Sineva gitti gecdi</v>
      </c>
      <c r="G564" s="41" t="str">
        <f>IFERROR(INDEX(Personnel[Egtim durumu],$K564),"")</f>
        <v>Dil egitimi tamamlandi sinavdan gecti</v>
      </c>
      <c r="H564" s="41" t="str">
        <f>IFERROR(INDEX(Personnel[Shohruh Not],$K564),"")</f>
        <v>-</v>
      </c>
      <c r="I564" s="42">
        <f ca="1">IFERROR(INDEX(Personnel[Дней в РФ],$K564),"")</f>
        <v>92</v>
      </c>
      <c r="K564" s="23">
        <f t="array" ref="K564">IFERROR(_xlfn.AGGREGATE(15,6,(ROW(Personnel[Egtim durumu])-MIN(ROW(Personnel[Egtim durumu]))+1)/((Personnel[Egtim durumu]="Dil egitimi tamamlandi sinavdan gecti")),ROWS($K$7:K564)),"")</f>
        <v>682</v>
      </c>
    </row>
    <row r="565" spans="1:11" ht="25.5" x14ac:dyDescent="0.25">
      <c r="A565" s="18">
        <f>IFERROR(INDEX(Personnel[Sicil],$K565),"")</f>
        <v>443534</v>
      </c>
      <c r="B565" s="17" t="str">
        <f>IFERROR(INDEX(Personnel[Adi Soyadi],$K565),"")</f>
        <v>Мавланов Гуломжон Киромиддинович</v>
      </c>
      <c r="C565" s="18" t="str">
        <f>IFERROR(INDEX(Personnel[Vatandaslik],$K565),"")</f>
        <v>УЗБЕКИСТАН</v>
      </c>
      <c r="D565" s="18" t="str">
        <f>IFERROR(INDEX(Personnel[Santiye],$K565),"")</f>
        <v>Ust Luga Ana Kamp 1</v>
      </c>
      <c r="E565" s="18" t="str">
        <f>IFERROR(INDEX(Personnel[Ogretmen],$K565),"")</f>
        <v xml:space="preserve">Ziazetdinov Arslan </v>
      </c>
      <c r="F565" s="17" t="str">
        <f>IFERROR(INDEX(Personnel[[Sinav ]],$K565),"")</f>
        <v>11.08.2026 Sineva gitti gecdi</v>
      </c>
      <c r="G565" s="17" t="str">
        <f>IFERROR(INDEX(Personnel[Egtim durumu],$K565),"")</f>
        <v>Dil egitimi tamamlandi sinavdan gecti</v>
      </c>
      <c r="H565" s="17" t="str">
        <f>IFERROR(INDEX(Personnel[Shohruh Not],$K565),"")</f>
        <v>-</v>
      </c>
      <c r="I565" s="22">
        <f ca="1">IFERROR(INDEX(Personnel[Дней в РФ],$K565),"")</f>
        <v>360</v>
      </c>
      <c r="K565" s="23">
        <f t="array" ref="K565">IFERROR(_xlfn.AGGREGATE(15,6,(ROW(Personnel[Egtim durumu])-MIN(ROW(Personnel[Egtim durumu]))+1)/((Personnel[Egtim durumu]="Dil egitimi tamamlandi sinavdan gecti")),ROWS($K$7:K565)),"")</f>
        <v>684</v>
      </c>
    </row>
    <row r="566" spans="1:11" x14ac:dyDescent="0.25">
      <c r="A566" s="40">
        <f>IFERROR(INDEX(Personnel[Sicil],$K566),"")</f>
        <v>508443</v>
      </c>
      <c r="B566" s="41" t="str">
        <f>IFERROR(INDEX(Personnel[Adi Soyadi],$K566),"")</f>
        <v>Назаров Аскарбек Кадамбаевич</v>
      </c>
      <c r="C566" s="40" t="str">
        <f>IFERROR(INDEX(Personnel[Vatandaslik],$K566),"")</f>
        <v>УЗБЕКИСТАН</v>
      </c>
      <c r="D566" s="40" t="str">
        <f>IFERROR(INDEX(Personnel[Santiye],$K566),"")</f>
        <v>GPP Proje</v>
      </c>
      <c r="E566" s="40" t="str">
        <f>IFERROR(INDEX(Personnel[Ogretmen],$K566),"")</f>
        <v xml:space="preserve">Ziazetdinov Arslan </v>
      </c>
      <c r="F566" s="41" t="str">
        <f>IFERROR(INDEX(Personnel[[Sinav ]],$K566),"")</f>
        <v>11.08.2026 Sineva gitti gecdi</v>
      </c>
      <c r="G566" s="41" t="str">
        <f>IFERROR(INDEX(Personnel[Egtim durumu],$K566),"")</f>
        <v>Dil egitimi tamamlandi sinavdan gecti</v>
      </c>
      <c r="H566" s="41" t="str">
        <f>IFERROR(INDEX(Personnel[Shohruh Not],$K566),"")</f>
        <v>-</v>
      </c>
      <c r="I566" s="42">
        <f ca="1">IFERROR(INDEX(Personnel[Дней в РФ],$K566),"")</f>
        <v>376</v>
      </c>
      <c r="K566" s="23">
        <f t="array" ref="K566">IFERROR(_xlfn.AGGREGATE(15,6,(ROW(Personnel[Egtim durumu])-MIN(ROW(Personnel[Egtim durumu]))+1)/((Personnel[Egtim durumu]="Dil egitimi tamamlandi sinavdan gecti")),ROWS($K$7:K566)),"")</f>
        <v>685</v>
      </c>
    </row>
    <row r="567" spans="1:11" x14ac:dyDescent="0.25">
      <c r="A567" s="18">
        <f>IFERROR(INDEX(Personnel[Sicil],$K567),"")</f>
        <v>635081</v>
      </c>
      <c r="B567" s="17" t="str">
        <f>IFERROR(INDEX(Personnel[Adi Soyadi],$K567),"")</f>
        <v>Отаназаров Умирбек Хушнудович</v>
      </c>
      <c r="C567" s="18" t="str">
        <f>IFERROR(INDEX(Personnel[Vatandaslik],$K567),"")</f>
        <v>УЗБЕКИСТАН</v>
      </c>
      <c r="D567" s="18" t="str">
        <f>IFERROR(INDEX(Personnel[Santiye],$K567),"")</f>
        <v>GPP Proje</v>
      </c>
      <c r="E567" s="18" t="str">
        <f>IFERROR(INDEX(Personnel[Ogretmen],$K567),"")</f>
        <v xml:space="preserve">Ziazetdinov Arslan </v>
      </c>
      <c r="F567" s="17" t="str">
        <f>IFERROR(INDEX(Personnel[[Sinav ]],$K567),"")</f>
        <v>11.08.2026 Sineva gitti gecdi</v>
      </c>
      <c r="G567" s="17" t="str">
        <f>IFERROR(INDEX(Personnel[Egtim durumu],$K567),"")</f>
        <v>Dil egitimi tamamlandi sinavdan gecti</v>
      </c>
      <c r="H567" s="17" t="str">
        <f>IFERROR(INDEX(Personnel[Shohruh Not],$K567),"")</f>
        <v>-</v>
      </c>
      <c r="I567" s="22">
        <f ca="1">IFERROR(INDEX(Personnel[Дней в РФ],$K567),"")</f>
        <v>362</v>
      </c>
      <c r="K567" s="23">
        <f t="array" ref="K567">IFERROR(_xlfn.AGGREGATE(15,6,(ROW(Personnel[Egtim durumu])-MIN(ROW(Personnel[Egtim durumu]))+1)/((Personnel[Egtim durumu]="Dil egitimi tamamlandi sinavdan gecti")),ROWS($K$7:K567)),"")</f>
        <v>686</v>
      </c>
    </row>
    <row r="568" spans="1:11" ht="25.5" x14ac:dyDescent="0.25">
      <c r="A568" s="40">
        <f>IFERROR(INDEX(Personnel[Sicil],$K568),"")</f>
        <v>618866</v>
      </c>
      <c r="B568" s="41" t="str">
        <f>IFERROR(INDEX(Personnel[Adi Soyadi],$K568),"")</f>
        <v>Рашидов Шухрат Шароп Угли</v>
      </c>
      <c r="C568" s="40" t="str">
        <f>IFERROR(INDEX(Personnel[Vatandaslik],$K568),"")</f>
        <v>УЗБЕКИСТАН</v>
      </c>
      <c r="D568" s="40" t="str">
        <f>IFERROR(INDEX(Personnel[Santiye],$K568),"")</f>
        <v>GPP Proje</v>
      </c>
      <c r="E568" s="40" t="str">
        <f>IFERROR(INDEX(Personnel[Ogretmen],$K568),"")</f>
        <v xml:space="preserve">Ziazetdinov Arslan </v>
      </c>
      <c r="F568" s="41" t="str">
        <f>IFERROR(INDEX(Personnel[[Sinav ]],$K568),"")</f>
        <v>Ic testimizden gecemedi 04.08.2026 /12.08.2026 Sineva gitti gecdi</v>
      </c>
      <c r="G568" s="41" t="str">
        <f>IFERROR(INDEX(Personnel[Egtim durumu],$K568),"")</f>
        <v>Dil egitimi tamamlandi sinavdan gecti</v>
      </c>
      <c r="H568" s="41" t="str">
        <f>IFERROR(INDEX(Personnel[Shohruh Not],$K568),"")</f>
        <v>-</v>
      </c>
      <c r="I568" s="42">
        <f ca="1">IFERROR(INDEX(Personnel[Дней в РФ],$K568),"")</f>
        <v>373</v>
      </c>
      <c r="K568" s="23">
        <f t="array" ref="K568">IFERROR(_xlfn.AGGREGATE(15,6,(ROW(Personnel[Egtim durumu])-MIN(ROW(Personnel[Egtim durumu]))+1)/((Personnel[Egtim durumu]="Dil egitimi tamamlandi sinavdan gecti")),ROWS($K$7:K568)),"")</f>
        <v>687</v>
      </c>
    </row>
    <row r="569" spans="1:11" ht="38.25" x14ac:dyDescent="0.25">
      <c r="A569" s="18">
        <f>IFERROR(INDEX(Personnel[Sicil],$K569),"")</f>
        <v>646642</v>
      </c>
      <c r="B569" s="17" t="str">
        <f>IFERROR(INDEX(Personnel[Adi Soyadi],$K569),"")</f>
        <v>Абдуллаев Зайр Турсунбоевич</v>
      </c>
      <c r="C569" s="18" t="str">
        <f>IFERROR(INDEX(Personnel[Vatandaslik],$K569),"")</f>
        <v>УЗБЕКИСТАН</v>
      </c>
      <c r="D569" s="18" t="str">
        <f>IFERROR(INDEX(Personnel[Santiye],$K569),"")</f>
        <v>GPP Proje (TSF)</v>
      </c>
      <c r="E569" s="18" t="str">
        <f>IFERROR(INDEX(Personnel[Ogretmen],$K569),"")</f>
        <v>Ziazetdinov Arslan / Ziazetdinov Arslan</v>
      </c>
      <c r="F569" s="17" t="str">
        <f>IFERROR(INDEX(Personnel[[Sinav ]],$K569),"")</f>
        <v>Ic testimizden gecemedi 08.08.2026  /14.07.2026 Sineva gitti gecemedi /19.08.2026 Sineva gitti gecdi</v>
      </c>
      <c r="G569" s="17" t="str">
        <f>IFERROR(INDEX(Personnel[Egtim durumu],$K569),"")</f>
        <v>Dil egitimi tamamlandi sinavdan gecti</v>
      </c>
      <c r="H569" s="17" t="str">
        <f>IFERROR(INDEX(Personnel[Shohruh Not],$K569),"")</f>
        <v>kedi hisabindan</v>
      </c>
      <c r="I569" s="22">
        <f ca="1">IFERROR(INDEX(Personnel[Дней в РФ],$K569),"")</f>
        <v>22</v>
      </c>
      <c r="K569" s="23">
        <f t="array" ref="K569">IFERROR(_xlfn.AGGREGATE(15,6,(ROW(Personnel[Egtim durumu])-MIN(ROW(Personnel[Egtim durumu]))+1)/((Personnel[Egtim durumu]="Dil egitimi tamamlandi sinavdan gecti")),ROWS($K$7:K569)),"")</f>
        <v>690</v>
      </c>
    </row>
    <row r="570" spans="1:11" ht="25.5" x14ac:dyDescent="0.25">
      <c r="A570" s="40">
        <f>IFERROR(INDEX(Personnel[Sicil],$K570),"")</f>
        <v>646667</v>
      </c>
      <c r="B570" s="41" t="str">
        <f>IFERROR(INDEX(Personnel[Adi Soyadi],$K570),"")</f>
        <v>Эшкувватов Мирзабек Рахматулла Угли</v>
      </c>
      <c r="C570" s="40" t="str">
        <f>IFERROR(INDEX(Personnel[Vatandaslik],$K570),"")</f>
        <v>УЗБЕКИСТАН</v>
      </c>
      <c r="D570" s="40" t="str">
        <f>IFERROR(INDEX(Personnel[Santiye],$K570),"")</f>
        <v>GPP Proje</v>
      </c>
      <c r="E570" s="40" t="str">
        <f>IFERROR(INDEX(Personnel[Ogretmen],$K570),"")</f>
        <v xml:space="preserve">Ziazetdinov Arslan </v>
      </c>
      <c r="F570" s="41" t="str">
        <f>IFERROR(INDEX(Personnel[[Sinav ]],$K570),"")</f>
        <v>12.08.2026 Sineva gitti gecdi</v>
      </c>
      <c r="G570" s="41" t="str">
        <f>IFERROR(INDEX(Personnel[Egtim durumu],$K570),"")</f>
        <v>Dil egitimi tamamlandi sinavdan gecti</v>
      </c>
      <c r="H570" s="41" t="str">
        <f>IFERROR(INDEX(Personnel[Shohruh Not],$K570),"")</f>
        <v>-</v>
      </c>
      <c r="I570" s="42">
        <f ca="1">IFERROR(INDEX(Personnel[Дней в РФ],$K570),"")</f>
        <v>20</v>
      </c>
      <c r="K570" s="23">
        <f t="array" ref="K570">IFERROR(_xlfn.AGGREGATE(15,6,(ROW(Personnel[Egtim durumu])-MIN(ROW(Personnel[Egtim durumu]))+1)/((Personnel[Egtim durumu]="Dil egitimi tamamlandi sinavdan gecti")),ROWS($K$7:K570)),"")</f>
        <v>695</v>
      </c>
    </row>
    <row r="571" spans="1:11" x14ac:dyDescent="0.25">
      <c r="A571" s="18">
        <f>IFERROR(INDEX(Personnel[Sicil],$K571),"")</f>
        <v>646662</v>
      </c>
      <c r="B571" s="17" t="str">
        <f>IFERROR(INDEX(Personnel[Adi Soyadi],$K571),"")</f>
        <v>Гафоров Рустам Исроилович</v>
      </c>
      <c r="C571" s="18" t="str">
        <f>IFERROR(INDEX(Personnel[Vatandaslik],$K571),"")</f>
        <v>УЗБЕКИСТАН</v>
      </c>
      <c r="D571" s="18" t="str">
        <f>IFERROR(INDEX(Personnel[Santiye],$K571),"")</f>
        <v>GPP Proje</v>
      </c>
      <c r="E571" s="18" t="str">
        <f>IFERROR(INDEX(Personnel[Ogretmen],$K571),"")</f>
        <v xml:space="preserve">Ziazetdinov Arslan </v>
      </c>
      <c r="F571" s="17" t="str">
        <f>IFERROR(INDEX(Personnel[[Sinav ]],$K571),"")</f>
        <v>11.08.2026 Sineva gitti gecdi</v>
      </c>
      <c r="G571" s="17" t="str">
        <f>IFERROR(INDEX(Personnel[Egtim durumu],$K571),"")</f>
        <v>Dil egitimi tamamlandi sinavdan gecti</v>
      </c>
      <c r="H571" s="17" t="str">
        <f>IFERROR(INDEX(Personnel[Shohruh Not],$K571),"")</f>
        <v>-</v>
      </c>
      <c r="I571" s="22">
        <f ca="1">IFERROR(INDEX(Personnel[Дней в РФ],$K571),"")</f>
        <v>20</v>
      </c>
      <c r="K571" s="23">
        <f t="array" ref="K571">IFERROR(_xlfn.AGGREGATE(15,6,(ROW(Personnel[Egtim durumu])-MIN(ROW(Personnel[Egtim durumu]))+1)/((Personnel[Egtim durumu]="Dil egitimi tamamlandi sinavdan gecti")),ROWS($K$7:K571)),"")</f>
        <v>696</v>
      </c>
    </row>
    <row r="572" spans="1:11" x14ac:dyDescent="0.25">
      <c r="A572" s="40">
        <f>IFERROR(INDEX(Personnel[Sicil],$K572),"")</f>
        <v>646643</v>
      </c>
      <c r="B572" s="41" t="str">
        <f>IFERROR(INDEX(Personnel[Adi Soyadi],$K572),"")</f>
        <v>Исмоилов Дилшодбек Якуббой Угли</v>
      </c>
      <c r="C572" s="40" t="str">
        <f>IFERROR(INDEX(Personnel[Vatandaslik],$K572),"")</f>
        <v>УЗБЕКИСТАН</v>
      </c>
      <c r="D572" s="40" t="str">
        <f>IFERROR(INDEX(Personnel[Santiye],$K572),"")</f>
        <v>GPP Proje (TSF)</v>
      </c>
      <c r="E572" s="40" t="str">
        <f>IFERROR(INDEX(Personnel[Ogretmen],$K572),"")</f>
        <v xml:space="preserve">Ziazetdinov Arslan </v>
      </c>
      <c r="F572" s="41" t="str">
        <f>IFERROR(INDEX(Personnel[[Sinav ]],$K572),"")</f>
        <v>12.08.2026 Sineva gitti gecdi</v>
      </c>
      <c r="G572" s="41" t="str">
        <f>IFERROR(INDEX(Personnel[Egtim durumu],$K572),"")</f>
        <v>Dil egitimi tamamlandi sinavdan gecti</v>
      </c>
      <c r="H572" s="41" t="str">
        <f>IFERROR(INDEX(Personnel[Shohruh Not],$K572),"")</f>
        <v>-</v>
      </c>
      <c r="I572" s="42">
        <f ca="1">IFERROR(INDEX(Personnel[Дней в РФ],$K572),"")</f>
        <v>22</v>
      </c>
      <c r="K572" s="23">
        <f t="array" ref="K572">IFERROR(_xlfn.AGGREGATE(15,6,(ROW(Personnel[Egtim durumu])-MIN(ROW(Personnel[Egtim durumu]))+1)/((Personnel[Egtim durumu]="Dil egitimi tamamlandi sinavdan gecti")),ROWS($K$7:K572)),"")</f>
        <v>698</v>
      </c>
    </row>
    <row r="573" spans="1:11" ht="25.5" x14ac:dyDescent="0.25">
      <c r="A573" s="18">
        <f>IFERROR(INDEX(Personnel[Sicil],$K573),"")</f>
        <v>646647</v>
      </c>
      <c r="B573" s="17" t="str">
        <f>IFERROR(INDEX(Personnel[Adi Soyadi],$K573),"")</f>
        <v>Хамраев Ботир Хамро Угли</v>
      </c>
      <c r="C573" s="18" t="str">
        <f>IFERROR(INDEX(Personnel[Vatandaslik],$K573),"")</f>
        <v>УЗБЕКИСТАН</v>
      </c>
      <c r="D573" s="18" t="str">
        <f>IFERROR(INDEX(Personnel[Santiye],$K573),"")</f>
        <v>GPP Proje</v>
      </c>
      <c r="E573" s="18" t="str">
        <f>IFERROR(INDEX(Personnel[Ogretmen],$K573),"")</f>
        <v>Ziazetdinov Arslan / Ziazetdinov Arslan</v>
      </c>
      <c r="F573" s="17" t="str">
        <f>IFERROR(INDEX(Personnel[[Sinav ]],$K573),"")</f>
        <v>Ic testimizden gecemedi 08.08.2026 /14.07.2026 Sineva gitti gecdi</v>
      </c>
      <c r="G573" s="17" t="str">
        <f>IFERROR(INDEX(Personnel[Egtim durumu],$K573),"")</f>
        <v>Dil egitimi tamamlandi sinavdan gecti</v>
      </c>
      <c r="H573" s="17" t="str">
        <f>IFERROR(INDEX(Personnel[Shohruh Not],$K573),"")</f>
        <v>-</v>
      </c>
      <c r="I573" s="22">
        <f ca="1">IFERROR(INDEX(Personnel[Дней в РФ],$K573),"")</f>
        <v>21</v>
      </c>
      <c r="K573" s="23">
        <f t="array" ref="K573">IFERROR(_xlfn.AGGREGATE(15,6,(ROW(Personnel[Egtim durumu])-MIN(ROW(Personnel[Egtim durumu]))+1)/((Personnel[Egtim durumu]="Dil egitimi tamamlandi sinavdan gecti")),ROWS($K$7:K573)),"")</f>
        <v>699</v>
      </c>
    </row>
    <row r="574" spans="1:11" ht="25.5" x14ac:dyDescent="0.25">
      <c r="A574" s="40">
        <f>IFERROR(INDEX(Personnel[Sicil],$K574),"")</f>
        <v>646644</v>
      </c>
      <c r="B574" s="41" t="str">
        <f>IFERROR(INDEX(Personnel[Adi Soyadi],$K574),"")</f>
        <v>Норматов Огабек Равшонбоевич</v>
      </c>
      <c r="C574" s="40" t="str">
        <f>IFERROR(INDEX(Personnel[Vatandaslik],$K574),"")</f>
        <v>УЗБЕКИСТАН</v>
      </c>
      <c r="D574" s="40" t="str">
        <f>IFERROR(INDEX(Personnel[Santiye],$K574),"")</f>
        <v>GPP Proje (TSF)</v>
      </c>
      <c r="E574" s="40" t="str">
        <f>IFERROR(INDEX(Personnel[Ogretmen],$K574),"")</f>
        <v>Ziazetdinov Arslan / Ziazetdinov Arslan</v>
      </c>
      <c r="F574" s="41" t="str">
        <f>IFERROR(INDEX(Personnel[[Sinav ]],$K574),"")</f>
        <v>Ic testimizden gecemedi 08.08.2026 /14.07.2026 Sineva gitti gecdi</v>
      </c>
      <c r="G574" s="41" t="str">
        <f>IFERROR(INDEX(Personnel[Egtim durumu],$K574),"")</f>
        <v>Dil egitimi tamamlandi sinavdan gecti</v>
      </c>
      <c r="H574" s="41" t="str">
        <f>IFERROR(INDEX(Personnel[Shohruh Not],$K574),"")</f>
        <v>-</v>
      </c>
      <c r="I574" s="42">
        <f ca="1">IFERROR(INDEX(Personnel[Дней в РФ],$K574),"")</f>
        <v>22</v>
      </c>
      <c r="K574" s="23">
        <f t="array" ref="K574">IFERROR(_xlfn.AGGREGATE(15,6,(ROW(Personnel[Egtim durumu])-MIN(ROW(Personnel[Egtim durumu]))+1)/((Personnel[Egtim durumu]="Dil egitimi tamamlandi sinavdan gecti")),ROWS($K$7:K574)),"")</f>
        <v>701</v>
      </c>
    </row>
    <row r="575" spans="1:11" x14ac:dyDescent="0.25">
      <c r="A575" s="18">
        <f>IFERROR(INDEX(Personnel[Sicil],$K575),"")</f>
        <v>635194</v>
      </c>
      <c r="B575" s="17" t="str">
        <f>IFERROR(INDEX(Personnel[Adi Soyadi],$K575),"")</f>
        <v>Хакимов Мухриддин Фарходжонович</v>
      </c>
      <c r="C575" s="18" t="str">
        <f>IFERROR(INDEX(Personnel[Vatandaslik],$K575),"")</f>
        <v>УЗБЕКИСТАН</v>
      </c>
      <c r="D575" s="18" t="str">
        <f>IFERROR(INDEX(Personnel[Santiye],$K575),"")</f>
        <v>GPP Proje</v>
      </c>
      <c r="E575" s="18" t="str">
        <f>IFERROR(INDEX(Personnel[Ogretmen],$K575),"")</f>
        <v xml:space="preserve">Ziazetdinov Arslan </v>
      </c>
      <c r="F575" s="17" t="str">
        <f>IFERROR(INDEX(Personnel[[Sinav ]],$K575),"")</f>
        <v>17.08.2026 Sineva gitti gecdi</v>
      </c>
      <c r="G575" s="17" t="str">
        <f>IFERROR(INDEX(Personnel[Egtim durumu],$K575),"")</f>
        <v>Dil egitimi tamamlandi sinavdan gecti</v>
      </c>
      <c r="H575" s="17" t="str">
        <f>IFERROR(INDEX(Personnel[Shohruh Not],$K575),"")</f>
        <v>-</v>
      </c>
      <c r="I575" s="22">
        <f ca="1">IFERROR(INDEX(Personnel[Дней в РФ],$K575),"")</f>
        <v>355</v>
      </c>
      <c r="K575" s="23">
        <f t="array" ref="K575">IFERROR(_xlfn.AGGREGATE(15,6,(ROW(Personnel[Egtim durumu])-MIN(ROW(Personnel[Egtim durumu]))+1)/((Personnel[Egtim durumu]="Dil egitimi tamamlandi sinavdan gecti")),ROWS($K$7:K575)),"")</f>
        <v>703</v>
      </c>
    </row>
    <row r="576" spans="1:11" x14ac:dyDescent="0.25">
      <c r="A576" s="40">
        <f>IFERROR(INDEX(Personnel[Sicil],$K576),"")</f>
        <v>258279</v>
      </c>
      <c r="B576" s="41" t="str">
        <f>IFERROR(INDEX(Personnel[Adi Soyadi],$K576),"")</f>
        <v>Куранбаев Шокирбек Парходович</v>
      </c>
      <c r="C576" s="40" t="str">
        <f>IFERROR(INDEX(Personnel[Vatandaslik],$K576),"")</f>
        <v>УЗБЕКИСТАН</v>
      </c>
      <c r="D576" s="40" t="str">
        <f>IFERROR(INDEX(Personnel[Santiye],$K576),"")</f>
        <v>GPP Proje</v>
      </c>
      <c r="E576" s="40" t="str">
        <f>IFERROR(INDEX(Personnel[Ogretmen],$K576),"")</f>
        <v>-</v>
      </c>
      <c r="F576" s="41" t="str">
        <f>IFERROR(INDEX(Personnel[[Sinav ]],$K576),"")</f>
        <v>12.08.2026 Sineva gitti gecdi</v>
      </c>
      <c r="G576" s="41" t="str">
        <f>IFERROR(INDEX(Personnel[Egtim durumu],$K576),"")</f>
        <v>Dil egitimi tamamlandi sinavdan gecti</v>
      </c>
      <c r="H576" s="41" t="str">
        <f>IFERROR(INDEX(Personnel[Shohruh Not],$K576),"")</f>
        <v>-</v>
      </c>
      <c r="I576" s="42">
        <f ca="1">IFERROR(INDEX(Personnel[Дней в РФ],$K576),"")</f>
        <v>224</v>
      </c>
      <c r="K576" s="23">
        <f t="array" ref="K576">IFERROR(_xlfn.AGGREGATE(15,6,(ROW(Personnel[Egtim durumu])-MIN(ROW(Personnel[Egtim durumu]))+1)/((Personnel[Egtim durumu]="Dil egitimi tamamlandi sinavdan gecti")),ROWS($K$7:K576)),"")</f>
        <v>704</v>
      </c>
    </row>
    <row r="577" spans="1:11" x14ac:dyDescent="0.25">
      <c r="A577" s="18">
        <f>IFERROR(INDEX(Personnel[Sicil],$K577),"")</f>
        <v>635199</v>
      </c>
      <c r="B577" s="17" t="str">
        <f>IFERROR(INDEX(Personnel[Adi Soyadi],$K577),"")</f>
        <v>Сафарбоев Шохзод Шухрат Угли</v>
      </c>
      <c r="C577" s="18" t="str">
        <f>IFERROR(INDEX(Personnel[Vatandaslik],$K577),"")</f>
        <v>УЗБЕКИСТАН</v>
      </c>
      <c r="D577" s="18" t="str">
        <f>IFERROR(INDEX(Personnel[Santiye],$K577),"")</f>
        <v>GPP Proje</v>
      </c>
      <c r="E577" s="18" t="str">
        <f>IFERROR(INDEX(Personnel[Ogretmen],$K577),"")</f>
        <v xml:space="preserve">Ziazetdinov Arslan </v>
      </c>
      <c r="F577" s="17" t="str">
        <f>IFERROR(INDEX(Personnel[[Sinav ]],$K577),"")</f>
        <v>12.08.2026 Sineva gitti gecdi</v>
      </c>
      <c r="G577" s="17" t="str">
        <f>IFERROR(INDEX(Personnel[Egtim durumu],$K577),"")</f>
        <v>Dil egitimi tamamlandi sinavdan gecti</v>
      </c>
      <c r="H577" s="17" t="str">
        <f>IFERROR(INDEX(Personnel[Shohruh Not],$K577),"")</f>
        <v>-</v>
      </c>
      <c r="I577" s="22">
        <f ca="1">IFERROR(INDEX(Personnel[Дней в РФ],$K577),"")</f>
        <v>354</v>
      </c>
      <c r="K577" s="23">
        <f t="array" ref="K577">IFERROR(_xlfn.AGGREGATE(15,6,(ROW(Personnel[Egtim durumu])-MIN(ROW(Personnel[Egtim durumu]))+1)/((Personnel[Egtim durumu]="Dil egitimi tamamlandi sinavdan gecti")),ROWS($K$7:K577)),"")</f>
        <v>705</v>
      </c>
    </row>
    <row r="578" spans="1:11" ht="25.5" x14ac:dyDescent="0.25">
      <c r="A578" s="40">
        <f>IFERROR(INDEX(Personnel[Sicil],$K578),"")</f>
        <v>548120</v>
      </c>
      <c r="B578" s="41" t="str">
        <f>IFERROR(INDEX(Personnel[Adi Soyadi],$K578),"")</f>
        <v>Усвалиев Фарходжон Абдурахимович</v>
      </c>
      <c r="C578" s="40" t="str">
        <f>IFERROR(INDEX(Personnel[Vatandaslik],$K578),"")</f>
        <v>УЗБЕКИСТАН</v>
      </c>
      <c r="D578" s="40" t="str">
        <f>IFERROR(INDEX(Personnel[Santiye],$K578),"")</f>
        <v>GPP Proje</v>
      </c>
      <c r="E578" s="40" t="str">
        <f>IFERROR(INDEX(Personnel[Ogretmen],$K578),"")</f>
        <v xml:space="preserve">Ziazetdinov Arslan </v>
      </c>
      <c r="F578" s="41" t="str">
        <f>IFERROR(INDEX(Personnel[[Sinav ]],$K578),"")</f>
        <v>12.08.2026 Sineva gitti gecdi</v>
      </c>
      <c r="G578" s="41" t="str">
        <f>IFERROR(INDEX(Personnel[Egtim durumu],$K578),"")</f>
        <v>Dil egitimi tamamlandi sinavdan gecti</v>
      </c>
      <c r="H578" s="41" t="str">
        <f>IFERROR(INDEX(Personnel[Shohruh Not],$K578),"")</f>
        <v>-</v>
      </c>
      <c r="I578" s="42">
        <f ca="1">IFERROR(INDEX(Personnel[Дней в РФ],$K578),"")</f>
        <v>355</v>
      </c>
      <c r="K578" s="23">
        <f t="array" ref="K578">IFERROR(_xlfn.AGGREGATE(15,6,(ROW(Personnel[Egtim durumu])-MIN(ROW(Personnel[Egtim durumu]))+1)/((Personnel[Egtim durumu]="Dil egitimi tamamlandi sinavdan gecti")),ROWS($K$7:K578)),"")</f>
        <v>706</v>
      </c>
    </row>
    <row r="579" spans="1:11" x14ac:dyDescent="0.25">
      <c r="A579" s="18">
        <f>IFERROR(INDEX(Personnel[Sicil],$K579),"")</f>
        <v>635362</v>
      </c>
      <c r="B579" s="17" t="str">
        <f>IFERROR(INDEX(Personnel[Adi Soyadi],$K579),"")</f>
        <v>Кеулимжаев Рамазан Муратбай Ули</v>
      </c>
      <c r="C579" s="18" t="str">
        <f>IFERROR(INDEX(Personnel[Vatandaslik],$K579),"")</f>
        <v>УЗБЕКИСТАН</v>
      </c>
      <c r="D579" s="18" t="str">
        <f>IFERROR(INDEX(Personnel[Santiye],$K579),"")</f>
        <v>GPP Proje</v>
      </c>
      <c r="E579" s="18" t="str">
        <f>IFERROR(INDEX(Personnel[Ogretmen],$K579),"")</f>
        <v xml:space="preserve">Ziazetdinov Arslan </v>
      </c>
      <c r="F579" s="17" t="str">
        <f>IFERROR(INDEX(Personnel[[Sinav ]],$K579),"")</f>
        <v>17.08.2026 Sineva gitti gecdi</v>
      </c>
      <c r="G579" s="17" t="str">
        <f>IFERROR(INDEX(Personnel[Egtim durumu],$K579),"")</f>
        <v>Dil egitimi tamamlandi sinavdan gecti</v>
      </c>
      <c r="H579" s="17" t="str">
        <f>IFERROR(INDEX(Personnel[Shohruh Not],$K579),"")</f>
        <v>-</v>
      </c>
      <c r="I579" s="22">
        <f ca="1">IFERROR(INDEX(Personnel[Дней в РФ],$K579),"")</f>
        <v>347</v>
      </c>
      <c r="K579" s="23">
        <f t="array" ref="K579">IFERROR(_xlfn.AGGREGATE(15,6,(ROW(Personnel[Egtim durumu])-MIN(ROW(Personnel[Egtim durumu]))+1)/((Personnel[Egtim durumu]="Dil egitimi tamamlandi sinavdan gecti")),ROWS($K$7:K579)),"")</f>
        <v>709</v>
      </c>
    </row>
    <row r="580" spans="1:11" x14ac:dyDescent="0.25">
      <c r="A580" s="40">
        <f>IFERROR(INDEX(Personnel[Sicil],$K580),"")</f>
        <v>646677</v>
      </c>
      <c r="B580" s="41" t="str">
        <f>IFERROR(INDEX(Personnel[Adi Soyadi],$K580),"")</f>
        <v>Пардаев Муроджон Очил Угли</v>
      </c>
      <c r="C580" s="40" t="str">
        <f>IFERROR(INDEX(Personnel[Vatandaslik],$K580),"")</f>
        <v>УЗБЕКИСТАН</v>
      </c>
      <c r="D580" s="40" t="str">
        <f>IFERROR(INDEX(Personnel[Santiye],$K580),"")</f>
        <v>GPP Proje</v>
      </c>
      <c r="E580" s="40" t="str">
        <f>IFERROR(INDEX(Personnel[Ogretmen],$K580),"")</f>
        <v xml:space="preserve">Ziazetdinov Arslan </v>
      </c>
      <c r="F580" s="41" t="str">
        <f>IFERROR(INDEX(Personnel[[Sinav ]],$K580),"")</f>
        <v>17.08.2026 Sineva gitti gecdi</v>
      </c>
      <c r="G580" s="41" t="str">
        <f>IFERROR(INDEX(Personnel[Egtim durumu],$K580),"")</f>
        <v>Dil egitimi tamamlandi sinavdan gecti</v>
      </c>
      <c r="H580" s="41" t="str">
        <f>IFERROR(INDEX(Personnel[Shohruh Not],$K580),"")</f>
        <v>-</v>
      </c>
      <c r="I580" s="42">
        <f ca="1">IFERROR(INDEX(Personnel[Дней в РФ],$K580),"")</f>
        <v>18</v>
      </c>
      <c r="K580" s="23">
        <f t="array" ref="K580">IFERROR(_xlfn.AGGREGATE(15,6,(ROW(Personnel[Egtim durumu])-MIN(ROW(Personnel[Egtim durumu]))+1)/((Personnel[Egtim durumu]="Dil egitimi tamamlandi sinavdan gecti")),ROWS($K$7:K580)),"")</f>
        <v>713</v>
      </c>
    </row>
    <row r="581" spans="1:11" x14ac:dyDescent="0.25">
      <c r="A581" s="18">
        <f>IFERROR(INDEX(Personnel[Sicil],$K581),"")</f>
        <v>646692</v>
      </c>
      <c r="B581" s="17" t="str">
        <f>IFERROR(INDEX(Personnel[Adi Soyadi],$K581),"")</f>
        <v>Усаров Аюбжон Киличевич</v>
      </c>
      <c r="C581" s="18" t="str">
        <f>IFERROR(INDEX(Personnel[Vatandaslik],$K581),"")</f>
        <v>УЗБЕКИСТАН</v>
      </c>
      <c r="D581" s="18" t="str">
        <f>IFERROR(INDEX(Personnel[Santiye],$K581),"")</f>
        <v>GPP Proje</v>
      </c>
      <c r="E581" s="18" t="str">
        <f>IFERROR(INDEX(Personnel[Ogretmen],$K581),"")</f>
        <v xml:space="preserve">Ziazetdinov Arslan </v>
      </c>
      <c r="F581" s="17" t="str">
        <f>IFERROR(INDEX(Personnel[[Sinav ]],$K581),"")</f>
        <v>17.08.2026 Sineva gitti gecdi</v>
      </c>
      <c r="G581" s="17" t="str">
        <f>IFERROR(INDEX(Personnel[Egtim durumu],$K581),"")</f>
        <v>Dil egitimi tamamlandi sinavdan gecti</v>
      </c>
      <c r="H581" s="17" t="str">
        <f>IFERROR(INDEX(Personnel[Shohruh Not],$K581),"")</f>
        <v>-</v>
      </c>
      <c r="I581" s="22">
        <f ca="1">IFERROR(INDEX(Personnel[Дней в РФ],$K581),"")</f>
        <v>18</v>
      </c>
      <c r="K581" s="23">
        <f t="array" ref="K581">IFERROR(_xlfn.AGGREGATE(15,6,(ROW(Personnel[Egtim durumu])-MIN(ROW(Personnel[Egtim durumu]))+1)/((Personnel[Egtim durumu]="Dil egitimi tamamlandi sinavdan gecti")),ROWS($K$7:K581)),"")</f>
        <v>717</v>
      </c>
    </row>
    <row r="582" spans="1:11" ht="38.25" x14ac:dyDescent="0.25">
      <c r="A582" s="40">
        <f>IFERROR(INDEX(Personnel[Sicil],$K582),"")</f>
        <v>646680</v>
      </c>
      <c r="B582" s="41" t="str">
        <f>IFERROR(INDEX(Personnel[Adi Soyadi],$K582),"")</f>
        <v>Чориев Хасан Хуррамович</v>
      </c>
      <c r="C582" s="40" t="str">
        <f>IFERROR(INDEX(Personnel[Vatandaslik],$K582),"")</f>
        <v>УЗБЕКИСТАН</v>
      </c>
      <c r="D582" s="40" t="str">
        <f>IFERROR(INDEX(Personnel[Santiye],$K582),"")</f>
        <v>GPP Proje</v>
      </c>
      <c r="E582" s="40" t="str">
        <f>IFERROR(INDEX(Personnel[Ogretmen],$K582),"")</f>
        <v>Ziazetdinov Arslan / Ziazetdinov Arslan</v>
      </c>
      <c r="F582" s="41" t="str">
        <f>IFERROR(INDEX(Personnel[[Sinav ]],$K582),"")</f>
        <v>Ic testimizden gecemedi 08.08.2026  /Ic testimizden gecemedi 11.08.2026 /19.08.2026 Sineva gitti gecdi</v>
      </c>
      <c r="G582" s="41" t="str">
        <f>IFERROR(INDEX(Personnel[Egtim durumu],$K582),"")</f>
        <v>Dil egitimi tamamlandi sinavdan gecti</v>
      </c>
      <c r="H582" s="41" t="str">
        <f>IFERROR(INDEX(Personnel[Shohruh Not],$K582),"")</f>
        <v>kedi hisabindan</v>
      </c>
      <c r="I582" s="42">
        <f ca="1">IFERROR(INDEX(Personnel[Дней в РФ],$K582),"")</f>
        <v>19</v>
      </c>
      <c r="K582" s="23">
        <f t="array" ref="K582">IFERROR(_xlfn.AGGREGATE(15,6,(ROW(Personnel[Egtim durumu])-MIN(ROW(Personnel[Egtim durumu]))+1)/((Personnel[Egtim durumu]="Dil egitimi tamamlandi sinavdan gecti")),ROWS($K$7:K582)),"")</f>
        <v>719</v>
      </c>
    </row>
    <row r="583" spans="1:11" x14ac:dyDescent="0.25">
      <c r="A583" s="18">
        <f>IFERROR(INDEX(Personnel[Sicil],$K583),"")</f>
        <v>646689</v>
      </c>
      <c r="B583" s="17" t="str">
        <f>IFERROR(INDEX(Personnel[Adi Soyadi],$K583),"")</f>
        <v>Шавкиев Улмас Мирзакулович</v>
      </c>
      <c r="C583" s="18" t="str">
        <f>IFERROR(INDEX(Personnel[Vatandaslik],$K583),"")</f>
        <v>УЗБЕКИСТАН</v>
      </c>
      <c r="D583" s="18" t="str">
        <f>IFERROR(INDEX(Personnel[Santiye],$K583),"")</f>
        <v>GPP Proje</v>
      </c>
      <c r="E583" s="18" t="str">
        <f>IFERROR(INDEX(Personnel[Ogretmen],$K583),"")</f>
        <v xml:space="preserve">Ziazetdinov Arslan </v>
      </c>
      <c r="F583" s="17" t="str">
        <f>IFERROR(INDEX(Personnel[[Sinav ]],$K583),"")</f>
        <v>17.08.2026 Sineva gitti gecdi</v>
      </c>
      <c r="G583" s="17" t="str">
        <f>IFERROR(INDEX(Personnel[Egtim durumu],$K583),"")</f>
        <v>Dil egitimi tamamlandi sinavdan gecti</v>
      </c>
      <c r="H583" s="17" t="str">
        <f>IFERROR(INDEX(Personnel[Shohruh Not],$K583),"")</f>
        <v>-</v>
      </c>
      <c r="I583" s="22">
        <f ca="1">IFERROR(INDEX(Personnel[Дней в РФ],$K583),"")</f>
        <v>18</v>
      </c>
      <c r="K583" s="23">
        <f t="array" ref="K583">IFERROR(_xlfn.AGGREGATE(15,6,(ROW(Personnel[Egtim durumu])-MIN(ROW(Personnel[Egtim durumu]))+1)/((Personnel[Egtim durumu]="Dil egitimi tamamlandi sinavdan gecti")),ROWS($K$7:K583)),"")</f>
        <v>720</v>
      </c>
    </row>
    <row r="584" spans="1:11" ht="25.5" x14ac:dyDescent="0.25">
      <c r="A584" s="40">
        <f>IFERROR(INDEX(Personnel[Sicil],$K584),"")</f>
        <v>646658</v>
      </c>
      <c r="B584" s="41" t="str">
        <f>IFERROR(INDEX(Personnel[Adi Soyadi],$K584),"")</f>
        <v>Миразимов Муроджон Содикжонович</v>
      </c>
      <c r="C584" s="40" t="str">
        <f>IFERROR(INDEX(Personnel[Vatandaslik],$K584),"")</f>
        <v>УЗБЕКИСТАН</v>
      </c>
      <c r="D584" s="40" t="str">
        <f>IFERROR(INDEX(Personnel[Santiye],$K584),"")</f>
        <v>GPP Proje</v>
      </c>
      <c r="E584" s="40" t="str">
        <f>IFERROR(INDEX(Personnel[Ogretmen],$K584),"")</f>
        <v>-</v>
      </c>
      <c r="F584" s="41" t="str">
        <f>IFERROR(INDEX(Personnel[[Sinav ]],$K584),"")</f>
        <v>14.08.2026 Sineva gitti gecdi</v>
      </c>
      <c r="G584" s="41" t="str">
        <f>IFERROR(INDEX(Personnel[Egtim durumu],$K584),"")</f>
        <v>Dil egitimi tamamlandi sinavdan gecti</v>
      </c>
      <c r="H584" s="41" t="str">
        <f>IFERROR(INDEX(Personnel[Shohruh Not],$K584),"")</f>
        <v>polvon</v>
      </c>
      <c r="I584" s="42">
        <f ca="1">IFERROR(INDEX(Personnel[Дней в РФ],$K584),"")</f>
        <v>17</v>
      </c>
      <c r="K584" s="23">
        <f t="array" ref="K584">IFERROR(_xlfn.AGGREGATE(15,6,(ROW(Personnel[Egtim durumu])-MIN(ROW(Personnel[Egtim durumu]))+1)/((Personnel[Egtim durumu]="Dil egitimi tamamlandi sinavdan gecti")),ROWS($K$7:K584)),"")</f>
        <v>721</v>
      </c>
    </row>
    <row r="585" spans="1:11" x14ac:dyDescent="0.25">
      <c r="A585" s="18">
        <f>IFERROR(INDEX(Personnel[Sicil],$K585),"")</f>
        <v>594975</v>
      </c>
      <c r="B585" s="17" t="str">
        <f>IFERROR(INDEX(Personnel[Adi Soyadi],$K585),"")</f>
        <v>Рузмаматов Тохирбек Зокир Угли</v>
      </c>
      <c r="C585" s="18" t="str">
        <f>IFERROR(INDEX(Personnel[Vatandaslik],$K585),"")</f>
        <v>УЗБЕКИСТАН</v>
      </c>
      <c r="D585" s="18" t="str">
        <f>IFERROR(INDEX(Personnel[Santiye],$K585),"")</f>
        <v>GPP Proje</v>
      </c>
      <c r="E585" s="18" t="str">
        <f>IFERROR(INDEX(Personnel[Ogretmen],$K585),"")</f>
        <v>Ziazetdinov Arslan / Ziazetdinov Arslan</v>
      </c>
      <c r="F585" s="17" t="str">
        <f>IFERROR(INDEX(Personnel[[Sinav ]],$K585),"")</f>
        <v>Ic testimizden gecemedi 08.08.2026</v>
      </c>
      <c r="G585" s="17" t="str">
        <f>IFERROR(INDEX(Personnel[Egtim durumu],$K585),"")</f>
        <v>Dil egitimi tamamlandi sinavdan gecti</v>
      </c>
      <c r="H585" s="17" t="str">
        <f>IFERROR(INDEX(Personnel[Shohruh Not],$K585),"")</f>
        <v>-</v>
      </c>
      <c r="I585" s="22">
        <f ca="1">IFERROR(INDEX(Personnel[Дней в РФ],$K585),"")</f>
        <v>17</v>
      </c>
      <c r="K585" s="23">
        <f t="array" ref="K585">IFERROR(_xlfn.AGGREGATE(15,6,(ROW(Personnel[Egtim durumu])-MIN(ROW(Personnel[Egtim durumu]))+1)/((Personnel[Egtim durumu]="Dil egitimi tamamlandi sinavdan gecti")),ROWS($K$7:K585)),"")</f>
        <v>722</v>
      </c>
    </row>
    <row r="586" spans="1:11" x14ac:dyDescent="0.25">
      <c r="A586" s="40">
        <f>IFERROR(INDEX(Personnel[Sicil],$K586),"")</f>
        <v>505675</v>
      </c>
      <c r="B586" s="41" t="str">
        <f>IFERROR(INDEX(Personnel[Adi Soyadi],$K586),"")</f>
        <v>Абдуллаев Сухроб Хикматулла угли</v>
      </c>
      <c r="C586" s="40" t="str">
        <f>IFERROR(INDEX(Personnel[Vatandaslik],$K586),"")</f>
        <v>УЗБЕКИСТАН</v>
      </c>
      <c r="D586" s="40" t="str">
        <f>IFERROR(INDEX(Personnel[Santiye],$K586),"")</f>
        <v>GPP Proje</v>
      </c>
      <c r="E586" s="40" t="str">
        <f>IFERROR(INDEX(Personnel[Ogretmen],$K586),"")</f>
        <v xml:space="preserve">Ziazetdinov Arslan </v>
      </c>
      <c r="F586" s="41" t="str">
        <f>IFERROR(INDEX(Personnel[[Sinav ]],$K586),"")</f>
        <v>17.08.2026 Sineva gitti gecdi</v>
      </c>
      <c r="G586" s="41" t="str">
        <f>IFERROR(INDEX(Personnel[Egtim durumu],$K586),"")</f>
        <v>Dil egitimi tamamlandi sinavdan gecti</v>
      </c>
      <c r="H586" s="41" t="str">
        <f>IFERROR(INDEX(Personnel[Shohruh Not],$K586),"")</f>
        <v>-</v>
      </c>
      <c r="I586" s="42">
        <f ca="1">IFERROR(INDEX(Personnel[Дней в РФ],$K586),"")</f>
        <v>14</v>
      </c>
      <c r="K586" s="23">
        <f t="array" ref="K586">IFERROR(_xlfn.AGGREGATE(15,6,(ROW(Personnel[Egtim durumu])-MIN(ROW(Personnel[Egtim durumu]))+1)/((Personnel[Egtim durumu]="Dil egitimi tamamlandi sinavdan gecti")),ROWS($K$7:K586)),"")</f>
        <v>724</v>
      </c>
    </row>
    <row r="587" spans="1:11" ht="25.5" x14ac:dyDescent="0.25">
      <c r="A587" s="18">
        <f>IFERROR(INDEX(Personnel[Sicil],$K587),"")</f>
        <v>646747</v>
      </c>
      <c r="B587" s="17" t="str">
        <f>IFERROR(INDEX(Personnel[Adi Soyadi],$K587),"")</f>
        <v>Богибеков Хусниддин Мухаммад Угли</v>
      </c>
      <c r="C587" s="18" t="str">
        <f>IFERROR(INDEX(Personnel[Vatandaslik],$K587),"")</f>
        <v>УЗБЕКИСТАН</v>
      </c>
      <c r="D587" s="18" t="str">
        <f>IFERROR(INDEX(Personnel[Santiye],$K587),"")</f>
        <v>GPP Proje</v>
      </c>
      <c r="E587" s="18" t="str">
        <f>IFERROR(INDEX(Personnel[Ogretmen],$K587),"")</f>
        <v xml:space="preserve">Ziazetdinov Arslan </v>
      </c>
      <c r="F587" s="17" t="str">
        <f>IFERROR(INDEX(Personnel[[Sinav ]],$K587),"")</f>
        <v>17.08.2026 Sineva gitti gecdi</v>
      </c>
      <c r="G587" s="17" t="str">
        <f>IFERROR(INDEX(Personnel[Egtim durumu],$K587),"")</f>
        <v>Dil egitimi tamamlandi sinavdan gecti</v>
      </c>
      <c r="H587" s="17" t="str">
        <f>IFERROR(INDEX(Personnel[Shohruh Not],$K587),"")</f>
        <v>-</v>
      </c>
      <c r="I587" s="22">
        <f ca="1">IFERROR(INDEX(Personnel[Дней в РФ],$K587),"")</f>
        <v>14</v>
      </c>
      <c r="K587" s="23">
        <f t="array" ref="K587">IFERROR(_xlfn.AGGREGATE(15,6,(ROW(Personnel[Egtim durumu])-MIN(ROW(Personnel[Egtim durumu]))+1)/((Personnel[Egtim durumu]="Dil egitimi tamamlandi sinavdan gecti")),ROWS($K$7:K587)),"")</f>
        <v>726</v>
      </c>
    </row>
    <row r="588" spans="1:11" x14ac:dyDescent="0.25">
      <c r="A588" s="40">
        <f>IFERROR(INDEX(Personnel[Sicil],$K588),"")</f>
        <v>634951</v>
      </c>
      <c r="B588" s="41" t="str">
        <f>IFERROR(INDEX(Personnel[Adi Soyadi],$K588),"")</f>
        <v>Машарипов Хурмат Фарид Угли</v>
      </c>
      <c r="C588" s="40" t="str">
        <f>IFERROR(INDEX(Personnel[Vatandaslik],$K588),"")</f>
        <v>УЗБЕКИСТАН</v>
      </c>
      <c r="D588" s="40" t="str">
        <f>IFERROR(INDEX(Personnel[Santiye],$K588),"")</f>
        <v>GPP Proje</v>
      </c>
      <c r="E588" s="40" t="str">
        <f>IFERROR(INDEX(Personnel[Ogretmen],$K588),"")</f>
        <v xml:space="preserve">Ziazetdinov Arslan </v>
      </c>
      <c r="F588" s="41" t="str">
        <f>IFERROR(INDEX(Personnel[[Sinav ]],$K588),"")</f>
        <v>17.08.2026 Sineva gitti gecdi</v>
      </c>
      <c r="G588" s="41" t="str">
        <f>IFERROR(INDEX(Personnel[Egtim durumu],$K588),"")</f>
        <v>Dil egitimi tamamlandi sinavdan gecti</v>
      </c>
      <c r="H588" s="41" t="str">
        <f>IFERROR(INDEX(Personnel[Shohruh Not],$K588),"")</f>
        <v>-</v>
      </c>
      <c r="I588" s="42">
        <f ca="1">IFERROR(INDEX(Personnel[Дней в РФ],$K588),"")</f>
        <v>373</v>
      </c>
      <c r="K588" s="23">
        <f t="array" ref="K588">IFERROR(_xlfn.AGGREGATE(15,6,(ROW(Personnel[Egtim durumu])-MIN(ROW(Personnel[Egtim durumu]))+1)/((Personnel[Egtim durumu]="Dil egitimi tamamlandi sinavdan gecti")),ROWS($K$7:K588)),"")</f>
        <v>727</v>
      </c>
    </row>
    <row r="589" spans="1:11" x14ac:dyDescent="0.25">
      <c r="A589" s="18">
        <f>IFERROR(INDEX(Personnel[Sicil],$K589),"")</f>
        <v>603966</v>
      </c>
      <c r="B589" s="17" t="str">
        <f>IFERROR(INDEX(Personnel[Adi Soyadi],$K589),"")</f>
        <v>Салоев Музаффар Запар угли</v>
      </c>
      <c r="C589" s="18" t="str">
        <f>IFERROR(INDEX(Personnel[Vatandaslik],$K589),"")</f>
        <v>УЗБЕКИСТАН</v>
      </c>
      <c r="D589" s="18" t="str">
        <f>IFERROR(INDEX(Personnel[Santiye],$K589),"")</f>
        <v>GPP Proje</v>
      </c>
      <c r="E589" s="18">
        <f>IFERROR(INDEX(Personnel[Ogretmen],$K589),"")</f>
        <v>0</v>
      </c>
      <c r="F589" s="17" t="str">
        <f>IFERROR(INDEX(Personnel[[Sinav ]],$K589),"")</f>
        <v>19.08.2026 Sineva gitti gecdi</v>
      </c>
      <c r="G589" s="17" t="str">
        <f>IFERROR(INDEX(Personnel[Egtim durumu],$K589),"")</f>
        <v>Dil egitimi tamamlandi sinavdan gecti</v>
      </c>
      <c r="H589" s="17" t="str">
        <f>IFERROR(INDEX(Personnel[Shohruh Not],$K589),"")</f>
        <v>-</v>
      </c>
      <c r="I589" s="22">
        <f ca="1">IFERROR(INDEX(Personnel[Дней в РФ],$K589),"")</f>
        <v>11</v>
      </c>
      <c r="K589" s="23">
        <f t="array" ref="K589">IFERROR(_xlfn.AGGREGATE(15,6,(ROW(Personnel[Egtim durumu])-MIN(ROW(Personnel[Egtim durumu]))+1)/((Personnel[Egtim durumu]="Dil egitimi tamamlandi sinavdan gecti")),ROWS($K$7:K589)),"")</f>
        <v>751</v>
      </c>
    </row>
    <row r="590" spans="1:11" x14ac:dyDescent="0.25">
      <c r="A590" s="40" t="str">
        <f>IFERROR(INDEX(Personnel[Sicil],$K590),"")</f>
        <v/>
      </c>
      <c r="B590" s="41" t="str">
        <f>IFERROR(INDEX(Personnel[Adi Soyadi],$K590),"")</f>
        <v/>
      </c>
      <c r="C590" s="40" t="str">
        <f>IFERROR(INDEX(Personnel[Vatandaslik],$K590),"")</f>
        <v/>
      </c>
      <c r="D590" s="40" t="str">
        <f>IFERROR(INDEX(Personnel[Santiye],$K590),"")</f>
        <v/>
      </c>
      <c r="E590" s="40" t="str">
        <f>IFERROR(INDEX(Personnel[Ogretmen],$K590),"")</f>
        <v/>
      </c>
      <c r="F590" s="41" t="str">
        <f>IFERROR(INDEX(Personnel[[Sinav ]],$K590),"")</f>
        <v/>
      </c>
      <c r="G590" s="41" t="str">
        <f>IFERROR(INDEX(Personnel[Egtim durumu],$K590),"")</f>
        <v/>
      </c>
      <c r="H590" s="41" t="str">
        <f>IFERROR(INDEX(Personnel[Shohruh Not],$K590),"")</f>
        <v/>
      </c>
      <c r="I590" s="40" t="str">
        <f>IFERROR(INDEX(Personnel[Дней в РФ],$K590),"")</f>
        <v/>
      </c>
      <c r="K590" s="23" t="str">
        <f t="array" ref="K590">IFERROR(_xlfn.AGGREGATE(15,6,(ROW(Personnel[Egtim durumu])-MIN(ROW(Personnel[Egtim durumu]))+1)/((Personnel[Egtim durumu]="Dil egitimi tamamlandi sinavdan gecti")),ROWS($K$7:K590)),"")</f>
        <v/>
      </c>
    </row>
    <row r="591" spans="1:11" x14ac:dyDescent="0.25">
      <c r="A591" s="18" t="str">
        <f>IFERROR(INDEX(Personnel[Sicil],$K591),"")</f>
        <v/>
      </c>
      <c r="B591" s="17" t="str">
        <f>IFERROR(INDEX(Personnel[Adi Soyadi],$K591),"")</f>
        <v/>
      </c>
      <c r="C591" s="18" t="str">
        <f>IFERROR(INDEX(Personnel[Vatandaslik],$K591),"")</f>
        <v/>
      </c>
      <c r="D591" s="18" t="str">
        <f>IFERROR(INDEX(Personnel[Santiye],$K591),"")</f>
        <v/>
      </c>
      <c r="E591" s="18" t="str">
        <f>IFERROR(INDEX(Personnel[Ogretmen],$K591),"")</f>
        <v/>
      </c>
      <c r="F591" s="17" t="str">
        <f>IFERROR(INDEX(Personnel[[Sinav ]],$K591),"")</f>
        <v/>
      </c>
      <c r="G591" s="17" t="str">
        <f>IFERROR(INDEX(Personnel[Egtim durumu],$K591),"")</f>
        <v/>
      </c>
      <c r="H591" s="17" t="str">
        <f>IFERROR(INDEX(Personnel[Shohruh Not],$K591),"")</f>
        <v/>
      </c>
      <c r="I591" s="18" t="str">
        <f>IFERROR(INDEX(Personnel[Дней в РФ],$K591),"")</f>
        <v/>
      </c>
      <c r="K591" s="23" t="str">
        <f t="array" ref="K591">IFERROR(_xlfn.AGGREGATE(15,6,(ROW(Personnel[Egtim durumu])-MIN(ROW(Personnel[Egtim durumu]))+1)/((Personnel[Egtim durumu]="Dil egitimi tamamlandi sinavdan gecti")),ROWS($K$7:K591)),"")</f>
        <v/>
      </c>
    </row>
    <row r="592" spans="1:11" x14ac:dyDescent="0.25">
      <c r="A592" s="40" t="str">
        <f>IFERROR(INDEX(Personnel[Sicil],$K592),"")</f>
        <v/>
      </c>
      <c r="B592" s="41" t="str">
        <f>IFERROR(INDEX(Personnel[Adi Soyadi],$K592),"")</f>
        <v/>
      </c>
      <c r="C592" s="40" t="str">
        <f>IFERROR(INDEX(Personnel[Vatandaslik],$K592),"")</f>
        <v/>
      </c>
      <c r="D592" s="40" t="str">
        <f>IFERROR(INDEX(Personnel[Santiye],$K592),"")</f>
        <v/>
      </c>
      <c r="E592" s="40" t="str">
        <f>IFERROR(INDEX(Personnel[Ogretmen],$K592),"")</f>
        <v/>
      </c>
      <c r="F592" s="41" t="str">
        <f>IFERROR(INDEX(Personnel[[Sinav ]],$K592),"")</f>
        <v/>
      </c>
      <c r="G592" s="41" t="str">
        <f>IFERROR(INDEX(Personnel[Egtim durumu],$K592),"")</f>
        <v/>
      </c>
      <c r="H592" s="41" t="str">
        <f>IFERROR(INDEX(Personnel[Shohruh Not],$K592),"")</f>
        <v/>
      </c>
      <c r="I592" s="40" t="str">
        <f>IFERROR(INDEX(Personnel[Дней в РФ],$K592),"")</f>
        <v/>
      </c>
      <c r="K592" s="23" t="str">
        <f t="array" ref="K592">IFERROR(_xlfn.AGGREGATE(15,6,(ROW(Personnel[Egtim durumu])-MIN(ROW(Personnel[Egtim durumu]))+1)/((Personnel[Egtim durumu]="Dil egitimi tamamlandi sinavdan gecti")),ROWS($K$7:K592)),"")</f>
        <v/>
      </c>
    </row>
    <row r="593" spans="1:11" x14ac:dyDescent="0.25">
      <c r="A593" s="18" t="str">
        <f>IFERROR(INDEX(Personnel[Sicil],$K593),"")</f>
        <v/>
      </c>
      <c r="B593" s="17" t="str">
        <f>IFERROR(INDEX(Personnel[Adi Soyadi],$K593),"")</f>
        <v/>
      </c>
      <c r="C593" s="18" t="str">
        <f>IFERROR(INDEX(Personnel[Vatandaslik],$K593),"")</f>
        <v/>
      </c>
      <c r="D593" s="18" t="str">
        <f>IFERROR(INDEX(Personnel[Santiye],$K593),"")</f>
        <v/>
      </c>
      <c r="E593" s="18" t="str">
        <f>IFERROR(INDEX(Personnel[Ogretmen],$K593),"")</f>
        <v/>
      </c>
      <c r="F593" s="17" t="str">
        <f>IFERROR(INDEX(Personnel[[Sinav ]],$K593),"")</f>
        <v/>
      </c>
      <c r="G593" s="17" t="str">
        <f>IFERROR(INDEX(Personnel[Egtim durumu],$K593),"")</f>
        <v/>
      </c>
      <c r="H593" s="17" t="str">
        <f>IFERROR(INDEX(Personnel[Shohruh Not],$K593),"")</f>
        <v/>
      </c>
      <c r="I593" s="18" t="str">
        <f>IFERROR(INDEX(Personnel[Дней в РФ],$K593),"")</f>
        <v/>
      </c>
      <c r="K593" s="23" t="str">
        <f t="array" ref="K593">IFERROR(_xlfn.AGGREGATE(15,6,(ROW(Personnel[Egtim durumu])-MIN(ROW(Personnel[Egtim durumu]))+1)/((Personnel[Egtim durumu]="Dil egitimi tamamlandi sinavdan gecti")),ROWS($K$7:K593)),"")</f>
        <v/>
      </c>
    </row>
    <row r="594" spans="1:11" x14ac:dyDescent="0.25">
      <c r="A594" s="40" t="str">
        <f>IFERROR(INDEX(Personnel[Sicil],$K594),"")</f>
        <v/>
      </c>
      <c r="B594" s="41" t="str">
        <f>IFERROR(INDEX(Personnel[Adi Soyadi],$K594),"")</f>
        <v/>
      </c>
      <c r="C594" s="40" t="str">
        <f>IFERROR(INDEX(Personnel[Vatandaslik],$K594),"")</f>
        <v/>
      </c>
      <c r="D594" s="40" t="str">
        <f>IFERROR(INDEX(Personnel[Santiye],$K594),"")</f>
        <v/>
      </c>
      <c r="E594" s="40" t="str">
        <f>IFERROR(INDEX(Personnel[Ogretmen],$K594),"")</f>
        <v/>
      </c>
      <c r="F594" s="41" t="str">
        <f>IFERROR(INDEX(Personnel[[Sinav ]],$K594),"")</f>
        <v/>
      </c>
      <c r="G594" s="41" t="str">
        <f>IFERROR(INDEX(Personnel[Egtim durumu],$K594),"")</f>
        <v/>
      </c>
      <c r="H594" s="41" t="str">
        <f>IFERROR(INDEX(Personnel[Shohruh Not],$K594),"")</f>
        <v/>
      </c>
      <c r="I594" s="40" t="str">
        <f>IFERROR(INDEX(Personnel[Дней в РФ],$K594),"")</f>
        <v/>
      </c>
      <c r="K594" s="23" t="str">
        <f t="array" ref="K594">IFERROR(_xlfn.AGGREGATE(15,6,(ROW(Personnel[Egtim durumu])-MIN(ROW(Personnel[Egtim durumu]))+1)/((Personnel[Egtim durumu]="Dil egitimi tamamlandi sinavdan gecti")),ROWS($K$7:K594)),"")</f>
        <v/>
      </c>
    </row>
    <row r="595" spans="1:11" x14ac:dyDescent="0.25">
      <c r="A595" s="18" t="str">
        <f>IFERROR(INDEX(Personnel[Sicil],$K595),"")</f>
        <v/>
      </c>
      <c r="B595" s="17" t="str">
        <f>IFERROR(INDEX(Personnel[Adi Soyadi],$K595),"")</f>
        <v/>
      </c>
      <c r="C595" s="18" t="str">
        <f>IFERROR(INDEX(Personnel[Vatandaslik],$K595),"")</f>
        <v/>
      </c>
      <c r="D595" s="18" t="str">
        <f>IFERROR(INDEX(Personnel[Santiye],$K595),"")</f>
        <v/>
      </c>
      <c r="E595" s="18" t="str">
        <f>IFERROR(INDEX(Personnel[Ogretmen],$K595),"")</f>
        <v/>
      </c>
      <c r="F595" s="17" t="str">
        <f>IFERROR(INDEX(Personnel[[Sinav ]],$K595),"")</f>
        <v/>
      </c>
      <c r="G595" s="17" t="str">
        <f>IFERROR(INDEX(Personnel[Egtim durumu],$K595),"")</f>
        <v/>
      </c>
      <c r="H595" s="17" t="str">
        <f>IFERROR(INDEX(Personnel[Shohruh Not],$K595),"")</f>
        <v/>
      </c>
      <c r="I595" s="18" t="str">
        <f>IFERROR(INDEX(Personnel[Дней в РФ],$K595),"")</f>
        <v/>
      </c>
      <c r="K595" s="23" t="str">
        <f t="array" ref="K595">IFERROR(_xlfn.AGGREGATE(15,6,(ROW(Personnel[Egtim durumu])-MIN(ROW(Personnel[Egtim durumu]))+1)/((Personnel[Egtim durumu]="Dil egitimi tamamlandi sinavdan gecti")),ROWS($K$7:K595)),"")</f>
        <v/>
      </c>
    </row>
    <row r="596" spans="1:11" x14ac:dyDescent="0.25">
      <c r="A596" s="40" t="str">
        <f>IFERROR(INDEX(Personnel[Sicil],$K596),"")</f>
        <v/>
      </c>
      <c r="B596" s="41" t="str">
        <f>IFERROR(INDEX(Personnel[Adi Soyadi],$K596),"")</f>
        <v/>
      </c>
      <c r="C596" s="40" t="str">
        <f>IFERROR(INDEX(Personnel[Vatandaslik],$K596),"")</f>
        <v/>
      </c>
      <c r="D596" s="40" t="str">
        <f>IFERROR(INDEX(Personnel[Santiye],$K596),"")</f>
        <v/>
      </c>
      <c r="E596" s="40" t="str">
        <f>IFERROR(INDEX(Personnel[Ogretmen],$K596),"")</f>
        <v/>
      </c>
      <c r="F596" s="41" t="str">
        <f>IFERROR(INDEX(Personnel[[Sinav ]],$K596),"")</f>
        <v/>
      </c>
      <c r="G596" s="41" t="str">
        <f>IFERROR(INDEX(Personnel[Egtim durumu],$K596),"")</f>
        <v/>
      </c>
      <c r="H596" s="41" t="str">
        <f>IFERROR(INDEX(Personnel[Shohruh Not],$K596),"")</f>
        <v/>
      </c>
      <c r="I596" s="40" t="str">
        <f>IFERROR(INDEX(Personnel[Дней в РФ],$K596),"")</f>
        <v/>
      </c>
      <c r="K596" s="23" t="str">
        <f t="array" ref="K596">IFERROR(_xlfn.AGGREGATE(15,6,(ROW(Personnel[Egtim durumu])-MIN(ROW(Personnel[Egtim durumu]))+1)/((Personnel[Egtim durumu]="Dil egitimi tamamlandi sinavdan gecti")),ROWS($K$7:K596)),"")</f>
        <v/>
      </c>
    </row>
    <row r="597" spans="1:11" x14ac:dyDescent="0.25">
      <c r="A597" s="18" t="str">
        <f>IFERROR(INDEX(Personnel[Sicil],$K597),"")</f>
        <v/>
      </c>
      <c r="B597" s="17" t="str">
        <f>IFERROR(INDEX(Personnel[Adi Soyadi],$K597),"")</f>
        <v/>
      </c>
      <c r="C597" s="18" t="str">
        <f>IFERROR(INDEX(Personnel[Vatandaslik],$K597),"")</f>
        <v/>
      </c>
      <c r="D597" s="18" t="str">
        <f>IFERROR(INDEX(Personnel[Santiye],$K597),"")</f>
        <v/>
      </c>
      <c r="E597" s="18" t="str">
        <f>IFERROR(INDEX(Personnel[Ogretmen],$K597),"")</f>
        <v/>
      </c>
      <c r="F597" s="17" t="str">
        <f>IFERROR(INDEX(Personnel[[Sinav ]],$K597),"")</f>
        <v/>
      </c>
      <c r="G597" s="17" t="str">
        <f>IFERROR(INDEX(Personnel[Egtim durumu],$K597),"")</f>
        <v/>
      </c>
      <c r="H597" s="17" t="str">
        <f>IFERROR(INDEX(Personnel[Shohruh Not],$K597),"")</f>
        <v/>
      </c>
      <c r="I597" s="18" t="str">
        <f>IFERROR(INDEX(Personnel[Дней в РФ],$K597),"")</f>
        <v/>
      </c>
      <c r="K597" s="23" t="str">
        <f t="array" ref="K597">IFERROR(_xlfn.AGGREGATE(15,6,(ROW(Personnel[Egtim durumu])-MIN(ROW(Personnel[Egtim durumu]))+1)/((Personnel[Egtim durumu]="Dil egitimi tamamlandi sinavdan gecti")),ROWS($K$7:K597)),"")</f>
        <v/>
      </c>
    </row>
    <row r="598" spans="1:11" x14ac:dyDescent="0.25">
      <c r="A598" s="40" t="str">
        <f>IFERROR(INDEX(Personnel[Sicil],$K598),"")</f>
        <v/>
      </c>
      <c r="B598" s="41" t="str">
        <f>IFERROR(INDEX(Personnel[Adi Soyadi],$K598),"")</f>
        <v/>
      </c>
      <c r="C598" s="40" t="str">
        <f>IFERROR(INDEX(Personnel[Vatandaslik],$K598),"")</f>
        <v/>
      </c>
      <c r="D598" s="40" t="str">
        <f>IFERROR(INDEX(Personnel[Santiye],$K598),"")</f>
        <v/>
      </c>
      <c r="E598" s="40" t="str">
        <f>IFERROR(INDEX(Personnel[Ogretmen],$K598),"")</f>
        <v/>
      </c>
      <c r="F598" s="41" t="str">
        <f>IFERROR(INDEX(Personnel[[Sinav ]],$K598),"")</f>
        <v/>
      </c>
      <c r="G598" s="41" t="str">
        <f>IFERROR(INDEX(Personnel[Egtim durumu],$K598),"")</f>
        <v/>
      </c>
      <c r="H598" s="41" t="str">
        <f>IFERROR(INDEX(Personnel[Shohruh Not],$K598),"")</f>
        <v/>
      </c>
      <c r="I598" s="40" t="str">
        <f>IFERROR(INDEX(Personnel[Дней в РФ],$K598),"")</f>
        <v/>
      </c>
      <c r="K598" s="23" t="str">
        <f t="array" ref="K598">IFERROR(_xlfn.AGGREGATE(15,6,(ROW(Personnel[Egtim durumu])-MIN(ROW(Personnel[Egtim durumu]))+1)/((Personnel[Egtim durumu]="Dil egitimi tamamlandi sinavdan gecti")),ROWS($K$7:K598)),"")</f>
        <v/>
      </c>
    </row>
    <row r="599" spans="1:11" x14ac:dyDescent="0.25">
      <c r="A599" s="18" t="str">
        <f>IFERROR(INDEX(Personnel[Sicil],$K599),"")</f>
        <v/>
      </c>
      <c r="B599" s="17" t="str">
        <f>IFERROR(INDEX(Personnel[Adi Soyadi],$K599),"")</f>
        <v/>
      </c>
      <c r="C599" s="18" t="str">
        <f>IFERROR(INDEX(Personnel[Vatandaslik],$K599),"")</f>
        <v/>
      </c>
      <c r="D599" s="18" t="str">
        <f>IFERROR(INDEX(Personnel[Santiye],$K599),"")</f>
        <v/>
      </c>
      <c r="E599" s="18" t="str">
        <f>IFERROR(INDEX(Personnel[Ogretmen],$K599),"")</f>
        <v/>
      </c>
      <c r="F599" s="17" t="str">
        <f>IFERROR(INDEX(Personnel[[Sinav ]],$K599),"")</f>
        <v/>
      </c>
      <c r="G599" s="17" t="str">
        <f>IFERROR(INDEX(Personnel[Egtim durumu],$K599),"")</f>
        <v/>
      </c>
      <c r="H599" s="17" t="str">
        <f>IFERROR(INDEX(Personnel[Shohruh Not],$K599),"")</f>
        <v/>
      </c>
      <c r="I599" s="18" t="str">
        <f>IFERROR(INDEX(Personnel[Дней в РФ],$K599),"")</f>
        <v/>
      </c>
      <c r="K599" s="23" t="str">
        <f t="array" ref="K599">IFERROR(_xlfn.AGGREGATE(15,6,(ROW(Personnel[Egtim durumu])-MIN(ROW(Personnel[Egtim durumu]))+1)/((Personnel[Egtim durumu]="Dil egitimi tamamlandi sinavdan gecti")),ROWS($K$7:K599)),"")</f>
        <v/>
      </c>
    </row>
    <row r="600" spans="1:11" x14ac:dyDescent="0.25">
      <c r="A600" s="40" t="str">
        <f>IFERROR(INDEX(Personnel[Sicil],$K600),"")</f>
        <v/>
      </c>
      <c r="B600" s="41" t="str">
        <f>IFERROR(INDEX(Personnel[Adi Soyadi],$K600),"")</f>
        <v/>
      </c>
      <c r="C600" s="40" t="str">
        <f>IFERROR(INDEX(Personnel[Vatandaslik],$K600),"")</f>
        <v/>
      </c>
      <c r="D600" s="40" t="str">
        <f>IFERROR(INDEX(Personnel[Santiye],$K600),"")</f>
        <v/>
      </c>
      <c r="E600" s="40" t="str">
        <f>IFERROR(INDEX(Personnel[Ogretmen],$K600),"")</f>
        <v/>
      </c>
      <c r="F600" s="41" t="str">
        <f>IFERROR(INDEX(Personnel[[Sinav ]],$K600),"")</f>
        <v/>
      </c>
      <c r="G600" s="41" t="str">
        <f>IFERROR(INDEX(Personnel[Egtim durumu],$K600),"")</f>
        <v/>
      </c>
      <c r="H600" s="41" t="str">
        <f>IFERROR(INDEX(Personnel[Shohruh Not],$K600),"")</f>
        <v/>
      </c>
      <c r="I600" s="40" t="str">
        <f>IFERROR(INDEX(Personnel[Дней в РФ],$K600),"")</f>
        <v/>
      </c>
      <c r="K600" s="23" t="str">
        <f t="array" ref="K600">IFERROR(_xlfn.AGGREGATE(15,6,(ROW(Personnel[Egtim durumu])-MIN(ROW(Personnel[Egtim durumu]))+1)/((Personnel[Egtim durumu]="Dil egitimi tamamlandi sinavdan gecti")),ROWS($K$7:K600)),"")</f>
        <v/>
      </c>
    </row>
    <row r="601" spans="1:11" x14ac:dyDescent="0.25">
      <c r="A601" s="18" t="str">
        <f>IFERROR(INDEX(Personnel[Sicil],$K601),"")</f>
        <v/>
      </c>
      <c r="B601" s="17" t="str">
        <f>IFERROR(INDEX(Personnel[Adi Soyadi],$K601),"")</f>
        <v/>
      </c>
      <c r="C601" s="18" t="str">
        <f>IFERROR(INDEX(Personnel[Vatandaslik],$K601),"")</f>
        <v/>
      </c>
      <c r="D601" s="18" t="str">
        <f>IFERROR(INDEX(Personnel[Santiye],$K601),"")</f>
        <v/>
      </c>
      <c r="E601" s="18" t="str">
        <f>IFERROR(INDEX(Personnel[Ogretmen],$K601),"")</f>
        <v/>
      </c>
      <c r="F601" s="17" t="str">
        <f>IFERROR(INDEX(Personnel[[Sinav ]],$K601),"")</f>
        <v/>
      </c>
      <c r="G601" s="17" t="str">
        <f>IFERROR(INDEX(Personnel[Egtim durumu],$K601),"")</f>
        <v/>
      </c>
      <c r="H601" s="17" t="str">
        <f>IFERROR(INDEX(Personnel[Shohruh Not],$K601),"")</f>
        <v/>
      </c>
      <c r="I601" s="18" t="str">
        <f>IFERROR(INDEX(Personnel[Дней в РФ],$K601),"")</f>
        <v/>
      </c>
      <c r="K601" s="23" t="str">
        <f t="array" ref="K601">IFERROR(_xlfn.AGGREGATE(15,6,(ROW(Personnel[Egtim durumu])-MIN(ROW(Personnel[Egtim durumu]))+1)/((Personnel[Egtim durumu]="Dil egitimi tamamlandi sinavdan gecti")),ROWS($K$7:K601)),"")</f>
        <v/>
      </c>
    </row>
    <row r="602" spans="1:11" x14ac:dyDescent="0.25">
      <c r="A602" s="40" t="str">
        <f>IFERROR(INDEX(Personnel[Sicil],$K602),"")</f>
        <v/>
      </c>
      <c r="B602" s="41" t="str">
        <f>IFERROR(INDEX(Personnel[Adi Soyadi],$K602),"")</f>
        <v/>
      </c>
      <c r="C602" s="40" t="str">
        <f>IFERROR(INDEX(Personnel[Vatandaslik],$K602),"")</f>
        <v/>
      </c>
      <c r="D602" s="40" t="str">
        <f>IFERROR(INDEX(Personnel[Santiye],$K602),"")</f>
        <v/>
      </c>
      <c r="E602" s="40" t="str">
        <f>IFERROR(INDEX(Personnel[Ogretmen],$K602),"")</f>
        <v/>
      </c>
      <c r="F602" s="41" t="str">
        <f>IFERROR(INDEX(Personnel[[Sinav ]],$K602),"")</f>
        <v/>
      </c>
      <c r="G602" s="41" t="str">
        <f>IFERROR(INDEX(Personnel[Egtim durumu],$K602),"")</f>
        <v/>
      </c>
      <c r="H602" s="41" t="str">
        <f>IFERROR(INDEX(Personnel[Shohruh Not],$K602),"")</f>
        <v/>
      </c>
      <c r="I602" s="40" t="str">
        <f>IFERROR(INDEX(Personnel[Дней в РФ],$K602),"")</f>
        <v/>
      </c>
      <c r="K602" s="23" t="str">
        <f t="array" ref="K602">IFERROR(_xlfn.AGGREGATE(15,6,(ROW(Personnel[Egtim durumu])-MIN(ROW(Personnel[Egtim durumu]))+1)/((Personnel[Egtim durumu]="Dil egitimi tamamlandi sinavdan gecti")),ROWS($K$7:K602)),"")</f>
        <v/>
      </c>
    </row>
    <row r="603" spans="1:11" x14ac:dyDescent="0.25">
      <c r="A603" s="18" t="str">
        <f>IFERROR(INDEX(Personnel[Sicil],$K603),"")</f>
        <v/>
      </c>
      <c r="B603" s="17" t="str">
        <f>IFERROR(INDEX(Personnel[Adi Soyadi],$K603),"")</f>
        <v/>
      </c>
      <c r="C603" s="18" t="str">
        <f>IFERROR(INDEX(Personnel[Vatandaslik],$K603),"")</f>
        <v/>
      </c>
      <c r="D603" s="18" t="str">
        <f>IFERROR(INDEX(Personnel[Santiye],$K603),"")</f>
        <v/>
      </c>
      <c r="E603" s="18" t="str">
        <f>IFERROR(INDEX(Personnel[Ogretmen],$K603),"")</f>
        <v/>
      </c>
      <c r="F603" s="17" t="str">
        <f>IFERROR(INDEX(Personnel[[Sinav ]],$K603),"")</f>
        <v/>
      </c>
      <c r="G603" s="17" t="str">
        <f>IFERROR(INDEX(Personnel[Egtim durumu],$K603),"")</f>
        <v/>
      </c>
      <c r="H603" s="17" t="str">
        <f>IFERROR(INDEX(Personnel[Shohruh Not],$K603),"")</f>
        <v/>
      </c>
      <c r="I603" s="18" t="str">
        <f>IFERROR(INDEX(Personnel[Дней в РФ],$K603),"")</f>
        <v/>
      </c>
      <c r="K603" s="23" t="str">
        <f t="array" ref="K603">IFERROR(_xlfn.AGGREGATE(15,6,(ROW(Personnel[Egtim durumu])-MIN(ROW(Personnel[Egtim durumu]))+1)/((Personnel[Egtim durumu]="Dil egitimi tamamlandi sinavdan gecti")),ROWS($K$7:K603)),"")</f>
        <v/>
      </c>
    </row>
    <row r="604" spans="1:11" x14ac:dyDescent="0.25">
      <c r="A604" s="40" t="str">
        <f>IFERROR(INDEX(Personnel[Sicil],$K604),"")</f>
        <v/>
      </c>
      <c r="B604" s="41" t="str">
        <f>IFERROR(INDEX(Personnel[Adi Soyadi],$K604),"")</f>
        <v/>
      </c>
      <c r="C604" s="40" t="str">
        <f>IFERROR(INDEX(Personnel[Vatandaslik],$K604),"")</f>
        <v/>
      </c>
      <c r="D604" s="40" t="str">
        <f>IFERROR(INDEX(Personnel[Santiye],$K604),"")</f>
        <v/>
      </c>
      <c r="E604" s="40" t="str">
        <f>IFERROR(INDEX(Personnel[Ogretmen],$K604),"")</f>
        <v/>
      </c>
      <c r="F604" s="41" t="str">
        <f>IFERROR(INDEX(Personnel[[Sinav ]],$K604),"")</f>
        <v/>
      </c>
      <c r="G604" s="41" t="str">
        <f>IFERROR(INDEX(Personnel[Egtim durumu],$K604),"")</f>
        <v/>
      </c>
      <c r="H604" s="41" t="str">
        <f>IFERROR(INDEX(Personnel[Shohruh Not],$K604),"")</f>
        <v/>
      </c>
      <c r="I604" s="40" t="str">
        <f>IFERROR(INDEX(Personnel[Дней в РФ],$K604),"")</f>
        <v/>
      </c>
      <c r="K604" s="23" t="str">
        <f t="array" ref="K604">IFERROR(_xlfn.AGGREGATE(15,6,(ROW(Personnel[Egtim durumu])-MIN(ROW(Personnel[Egtim durumu]))+1)/((Personnel[Egtim durumu]="Dil egitimi tamamlandi sinavdan gecti")),ROWS($K$7:K604)),"")</f>
        <v/>
      </c>
    </row>
    <row r="605" spans="1:11" x14ac:dyDescent="0.25">
      <c r="A605" s="18" t="str">
        <f>IFERROR(INDEX(Personnel[Sicil],$K605),"")</f>
        <v/>
      </c>
      <c r="B605" s="17" t="str">
        <f>IFERROR(INDEX(Personnel[Adi Soyadi],$K605),"")</f>
        <v/>
      </c>
      <c r="C605" s="18" t="str">
        <f>IFERROR(INDEX(Personnel[Vatandaslik],$K605),"")</f>
        <v/>
      </c>
      <c r="D605" s="18" t="str">
        <f>IFERROR(INDEX(Personnel[Santiye],$K605),"")</f>
        <v/>
      </c>
      <c r="E605" s="18" t="str">
        <f>IFERROR(INDEX(Personnel[Ogretmen],$K605),"")</f>
        <v/>
      </c>
      <c r="F605" s="17" t="str">
        <f>IFERROR(INDEX(Personnel[[Sinav ]],$K605),"")</f>
        <v/>
      </c>
      <c r="G605" s="17" t="str">
        <f>IFERROR(INDEX(Personnel[Egtim durumu],$K605),"")</f>
        <v/>
      </c>
      <c r="H605" s="17" t="str">
        <f>IFERROR(INDEX(Personnel[Shohruh Not],$K605),"")</f>
        <v/>
      </c>
      <c r="I605" s="18" t="str">
        <f>IFERROR(INDEX(Personnel[Дней в РФ],$K605),"")</f>
        <v/>
      </c>
      <c r="K605" s="23" t="str">
        <f t="array" ref="K605">IFERROR(_xlfn.AGGREGATE(15,6,(ROW(Personnel[Egtim durumu])-MIN(ROW(Personnel[Egtim durumu]))+1)/((Personnel[Egtim durumu]="Dil egitimi tamamlandi sinavdan gecti")),ROWS($K$7:K605)),"")</f>
        <v/>
      </c>
    </row>
    <row r="606" spans="1:11" x14ac:dyDescent="0.25">
      <c r="A606" s="40" t="str">
        <f>IFERROR(INDEX(Personnel[Sicil],$K606),"")</f>
        <v/>
      </c>
      <c r="B606" s="41" t="str">
        <f>IFERROR(INDEX(Personnel[Adi Soyadi],$K606),"")</f>
        <v/>
      </c>
      <c r="C606" s="40" t="str">
        <f>IFERROR(INDEX(Personnel[Vatandaslik],$K606),"")</f>
        <v/>
      </c>
      <c r="D606" s="40" t="str">
        <f>IFERROR(INDEX(Personnel[Santiye],$K606),"")</f>
        <v/>
      </c>
      <c r="E606" s="40" t="str">
        <f>IFERROR(INDEX(Personnel[Ogretmen],$K606),"")</f>
        <v/>
      </c>
      <c r="F606" s="41" t="str">
        <f>IFERROR(INDEX(Personnel[[Sinav ]],$K606),"")</f>
        <v/>
      </c>
      <c r="G606" s="41" t="str">
        <f>IFERROR(INDEX(Personnel[Egtim durumu],$K606),"")</f>
        <v/>
      </c>
      <c r="H606" s="41" t="str">
        <f>IFERROR(INDEX(Personnel[Shohruh Not],$K606),"")</f>
        <v/>
      </c>
      <c r="I606" s="40" t="str">
        <f>IFERROR(INDEX(Personnel[Дней в РФ],$K606),"")</f>
        <v/>
      </c>
      <c r="K606" s="23" t="str">
        <f t="array" ref="K606">IFERROR(_xlfn.AGGREGATE(15,6,(ROW(Personnel[Egtim durumu])-MIN(ROW(Personnel[Egtim durumu]))+1)/((Personnel[Egtim durumu]="Dil egitimi tamamlandi sinavdan gecti")),ROWS($K$7:K606)),"")</f>
        <v/>
      </c>
    </row>
    <row r="607" spans="1:11" x14ac:dyDescent="0.25">
      <c r="A607" s="18" t="str">
        <f>IFERROR(INDEX(Personnel[Sicil],$K607),"")</f>
        <v/>
      </c>
      <c r="B607" s="17" t="str">
        <f>IFERROR(INDEX(Personnel[Adi Soyadi],$K607),"")</f>
        <v/>
      </c>
      <c r="C607" s="18" t="str">
        <f>IFERROR(INDEX(Personnel[Vatandaslik],$K607),"")</f>
        <v/>
      </c>
      <c r="D607" s="18" t="str">
        <f>IFERROR(INDEX(Personnel[Santiye],$K607),"")</f>
        <v/>
      </c>
      <c r="E607" s="18" t="str">
        <f>IFERROR(INDEX(Personnel[Ogretmen],$K607),"")</f>
        <v/>
      </c>
      <c r="F607" s="17" t="str">
        <f>IFERROR(INDEX(Personnel[[Sinav ]],$K607),"")</f>
        <v/>
      </c>
      <c r="G607" s="17" t="str">
        <f>IFERROR(INDEX(Personnel[Egtim durumu],$K607),"")</f>
        <v/>
      </c>
      <c r="H607" s="17" t="str">
        <f>IFERROR(INDEX(Personnel[Shohruh Not],$K607),"")</f>
        <v/>
      </c>
      <c r="I607" s="18" t="str">
        <f>IFERROR(INDEX(Personnel[Дней в РФ],$K607),"")</f>
        <v/>
      </c>
      <c r="K607" s="23" t="str">
        <f t="array" ref="K607">IFERROR(_xlfn.AGGREGATE(15,6,(ROW(Personnel[Egtim durumu])-MIN(ROW(Personnel[Egtim durumu]))+1)/((Personnel[Egtim durumu]="Dil egitimi tamamlandi sinavdan gecti")),ROWS($K$7:K607)),"")</f>
        <v/>
      </c>
    </row>
    <row r="608" spans="1:11" x14ac:dyDescent="0.25">
      <c r="A608" s="40" t="str">
        <f>IFERROR(INDEX(Personnel[Sicil],$K608),"")</f>
        <v/>
      </c>
      <c r="B608" s="41" t="str">
        <f>IFERROR(INDEX(Personnel[Adi Soyadi],$K608),"")</f>
        <v/>
      </c>
      <c r="C608" s="40" t="str">
        <f>IFERROR(INDEX(Personnel[Vatandaslik],$K608),"")</f>
        <v/>
      </c>
      <c r="D608" s="40" t="str">
        <f>IFERROR(INDEX(Personnel[Santiye],$K608),"")</f>
        <v/>
      </c>
      <c r="E608" s="40" t="str">
        <f>IFERROR(INDEX(Personnel[Ogretmen],$K608),"")</f>
        <v/>
      </c>
      <c r="F608" s="41" t="str">
        <f>IFERROR(INDEX(Personnel[[Sinav ]],$K608),"")</f>
        <v/>
      </c>
      <c r="G608" s="41" t="str">
        <f>IFERROR(INDEX(Personnel[Egtim durumu],$K608),"")</f>
        <v/>
      </c>
      <c r="H608" s="41" t="str">
        <f>IFERROR(INDEX(Personnel[Shohruh Not],$K608),"")</f>
        <v/>
      </c>
      <c r="I608" s="40" t="str">
        <f>IFERROR(INDEX(Personnel[Дней в РФ],$K608),"")</f>
        <v/>
      </c>
      <c r="K608" s="23" t="str">
        <f t="array" ref="K608">IFERROR(_xlfn.AGGREGATE(15,6,(ROW(Personnel[Egtim durumu])-MIN(ROW(Personnel[Egtim durumu]))+1)/((Personnel[Egtim durumu]="Dil egitimi tamamlandi sinavdan gecti")),ROWS($K$7:K608)),"")</f>
        <v/>
      </c>
    </row>
    <row r="609" spans="1:11" x14ac:dyDescent="0.25">
      <c r="A609" s="18" t="str">
        <f>IFERROR(INDEX(Personnel[Sicil],$K609),"")</f>
        <v/>
      </c>
      <c r="B609" s="17" t="str">
        <f>IFERROR(INDEX(Personnel[Adi Soyadi],$K609),"")</f>
        <v/>
      </c>
      <c r="C609" s="18" t="str">
        <f>IFERROR(INDEX(Personnel[Vatandaslik],$K609),"")</f>
        <v/>
      </c>
      <c r="D609" s="18" t="str">
        <f>IFERROR(INDEX(Personnel[Santiye],$K609),"")</f>
        <v/>
      </c>
      <c r="E609" s="18" t="str">
        <f>IFERROR(INDEX(Personnel[Ogretmen],$K609),"")</f>
        <v/>
      </c>
      <c r="F609" s="17" t="str">
        <f>IFERROR(INDEX(Personnel[[Sinav ]],$K609),"")</f>
        <v/>
      </c>
      <c r="G609" s="17" t="str">
        <f>IFERROR(INDEX(Personnel[Egtim durumu],$K609),"")</f>
        <v/>
      </c>
      <c r="H609" s="17" t="str">
        <f>IFERROR(INDEX(Personnel[Shohruh Not],$K609),"")</f>
        <v/>
      </c>
      <c r="I609" s="18" t="str">
        <f>IFERROR(INDEX(Personnel[Дней в РФ],$K609),"")</f>
        <v/>
      </c>
      <c r="K609" s="23" t="str">
        <f t="array" ref="K609">IFERROR(_xlfn.AGGREGATE(15,6,(ROW(Personnel[Egtim durumu])-MIN(ROW(Personnel[Egtim durumu]))+1)/((Personnel[Egtim durumu]="Dil egitimi tamamlandi sinavdan gecti")),ROWS($K$7:K609)),"")</f>
        <v/>
      </c>
    </row>
    <row r="610" spans="1:11" x14ac:dyDescent="0.25">
      <c r="A610" s="40" t="str">
        <f>IFERROR(INDEX(Personnel[Sicil],$K610),"")</f>
        <v/>
      </c>
      <c r="B610" s="41" t="str">
        <f>IFERROR(INDEX(Personnel[Adi Soyadi],$K610),"")</f>
        <v/>
      </c>
      <c r="C610" s="40" t="str">
        <f>IFERROR(INDEX(Personnel[Vatandaslik],$K610),"")</f>
        <v/>
      </c>
      <c r="D610" s="40" t="str">
        <f>IFERROR(INDEX(Personnel[Santiye],$K610),"")</f>
        <v/>
      </c>
      <c r="E610" s="40" t="str">
        <f>IFERROR(INDEX(Personnel[Ogretmen],$K610),"")</f>
        <v/>
      </c>
      <c r="F610" s="41" t="str">
        <f>IFERROR(INDEX(Personnel[[Sinav ]],$K610),"")</f>
        <v/>
      </c>
      <c r="G610" s="41" t="str">
        <f>IFERROR(INDEX(Personnel[Egtim durumu],$K610),"")</f>
        <v/>
      </c>
      <c r="H610" s="41" t="str">
        <f>IFERROR(INDEX(Personnel[Shohruh Not],$K610),"")</f>
        <v/>
      </c>
      <c r="I610" s="40" t="str">
        <f>IFERROR(INDEX(Personnel[Дней в РФ],$K610),"")</f>
        <v/>
      </c>
      <c r="K610" s="23" t="str">
        <f t="array" ref="K610">IFERROR(_xlfn.AGGREGATE(15,6,(ROW(Personnel[Egtim durumu])-MIN(ROW(Personnel[Egtim durumu]))+1)/((Personnel[Egtim durumu]="Dil egitimi tamamlandi sinavdan gecti")),ROWS($K$7:K610)),"")</f>
        <v/>
      </c>
    </row>
    <row r="611" spans="1:11" x14ac:dyDescent="0.25">
      <c r="A611" s="18" t="str">
        <f>IFERROR(INDEX(Personnel[Sicil],$K611),"")</f>
        <v/>
      </c>
      <c r="B611" s="17" t="str">
        <f>IFERROR(INDEX(Personnel[Adi Soyadi],$K611),"")</f>
        <v/>
      </c>
      <c r="C611" s="18" t="str">
        <f>IFERROR(INDEX(Personnel[Vatandaslik],$K611),"")</f>
        <v/>
      </c>
      <c r="D611" s="18" t="str">
        <f>IFERROR(INDEX(Personnel[Santiye],$K611),"")</f>
        <v/>
      </c>
      <c r="E611" s="18" t="str">
        <f>IFERROR(INDEX(Personnel[Ogretmen],$K611),"")</f>
        <v/>
      </c>
      <c r="F611" s="17" t="str">
        <f>IFERROR(INDEX(Personnel[[Sinav ]],$K611),"")</f>
        <v/>
      </c>
      <c r="G611" s="17" t="str">
        <f>IFERROR(INDEX(Personnel[Egtim durumu],$K611),"")</f>
        <v/>
      </c>
      <c r="H611" s="17" t="str">
        <f>IFERROR(INDEX(Personnel[Shohruh Not],$K611),"")</f>
        <v/>
      </c>
      <c r="I611" s="18" t="str">
        <f>IFERROR(INDEX(Personnel[Дней в РФ],$K611),"")</f>
        <v/>
      </c>
      <c r="K611" s="23" t="str">
        <f t="array" ref="K611">IFERROR(_xlfn.AGGREGATE(15,6,(ROW(Personnel[Egtim durumu])-MIN(ROW(Personnel[Egtim durumu]))+1)/((Personnel[Egtim durumu]="Dil egitimi tamamlandi sinavdan gecti")),ROWS($K$7:K611)),"")</f>
        <v/>
      </c>
    </row>
    <row r="612" spans="1:11" x14ac:dyDescent="0.25">
      <c r="A612" s="40" t="str">
        <f>IFERROR(INDEX(Personnel[Sicil],$K612),"")</f>
        <v/>
      </c>
      <c r="B612" s="41" t="str">
        <f>IFERROR(INDEX(Personnel[Adi Soyadi],$K612),"")</f>
        <v/>
      </c>
      <c r="C612" s="40" t="str">
        <f>IFERROR(INDEX(Personnel[Vatandaslik],$K612),"")</f>
        <v/>
      </c>
      <c r="D612" s="40" t="str">
        <f>IFERROR(INDEX(Personnel[Santiye],$K612),"")</f>
        <v/>
      </c>
      <c r="E612" s="40" t="str">
        <f>IFERROR(INDEX(Personnel[Ogretmen],$K612),"")</f>
        <v/>
      </c>
      <c r="F612" s="41" t="str">
        <f>IFERROR(INDEX(Personnel[[Sinav ]],$K612),"")</f>
        <v/>
      </c>
      <c r="G612" s="41" t="str">
        <f>IFERROR(INDEX(Personnel[Egtim durumu],$K612),"")</f>
        <v/>
      </c>
      <c r="H612" s="41" t="str">
        <f>IFERROR(INDEX(Personnel[Shohruh Not],$K612),"")</f>
        <v/>
      </c>
      <c r="I612" s="40" t="str">
        <f>IFERROR(INDEX(Personnel[Дней в РФ],$K612),"")</f>
        <v/>
      </c>
      <c r="K612" s="23" t="str">
        <f t="array" ref="K612">IFERROR(_xlfn.AGGREGATE(15,6,(ROW(Personnel[Egtim durumu])-MIN(ROW(Personnel[Egtim durumu]))+1)/((Personnel[Egtim durumu]="Dil egitimi tamamlandi sinavdan gecti")),ROWS($K$7:K612)),"")</f>
        <v/>
      </c>
    </row>
    <row r="613" spans="1:11" x14ac:dyDescent="0.25">
      <c r="A613" s="18" t="str">
        <f>IFERROR(INDEX(Personnel[Sicil],$K613),"")</f>
        <v/>
      </c>
      <c r="B613" s="17" t="str">
        <f>IFERROR(INDEX(Personnel[Adi Soyadi],$K613),"")</f>
        <v/>
      </c>
      <c r="C613" s="18" t="str">
        <f>IFERROR(INDEX(Personnel[Vatandaslik],$K613),"")</f>
        <v/>
      </c>
      <c r="D613" s="18" t="str">
        <f>IFERROR(INDEX(Personnel[Santiye],$K613),"")</f>
        <v/>
      </c>
      <c r="E613" s="18" t="str">
        <f>IFERROR(INDEX(Personnel[Ogretmen],$K613),"")</f>
        <v/>
      </c>
      <c r="F613" s="17" t="str">
        <f>IFERROR(INDEX(Personnel[[Sinav ]],$K613),"")</f>
        <v/>
      </c>
      <c r="G613" s="17" t="str">
        <f>IFERROR(INDEX(Personnel[Egtim durumu],$K613),"")</f>
        <v/>
      </c>
      <c r="H613" s="17" t="str">
        <f>IFERROR(INDEX(Personnel[Shohruh Not],$K613),"")</f>
        <v/>
      </c>
      <c r="I613" s="18" t="str">
        <f>IFERROR(INDEX(Personnel[Дней в РФ],$K613),"")</f>
        <v/>
      </c>
      <c r="K613" s="23" t="str">
        <f t="array" ref="K613">IFERROR(_xlfn.AGGREGATE(15,6,(ROW(Personnel[Egtim durumu])-MIN(ROW(Personnel[Egtim durumu]))+1)/((Personnel[Egtim durumu]="Dil egitimi tamamlandi sinavdan gecti")),ROWS($K$7:K613)),"")</f>
        <v/>
      </c>
    </row>
    <row r="614" spans="1:11" x14ac:dyDescent="0.25">
      <c r="A614" s="40" t="str">
        <f>IFERROR(INDEX(Personnel[Sicil],$K614),"")</f>
        <v/>
      </c>
      <c r="B614" s="41" t="str">
        <f>IFERROR(INDEX(Personnel[Adi Soyadi],$K614),"")</f>
        <v/>
      </c>
      <c r="C614" s="40" t="str">
        <f>IFERROR(INDEX(Personnel[Vatandaslik],$K614),"")</f>
        <v/>
      </c>
      <c r="D614" s="40" t="str">
        <f>IFERROR(INDEX(Personnel[Santiye],$K614),"")</f>
        <v/>
      </c>
      <c r="E614" s="40" t="str">
        <f>IFERROR(INDEX(Personnel[Ogretmen],$K614),"")</f>
        <v/>
      </c>
      <c r="F614" s="41" t="str">
        <f>IFERROR(INDEX(Personnel[[Sinav ]],$K614),"")</f>
        <v/>
      </c>
      <c r="G614" s="41" t="str">
        <f>IFERROR(INDEX(Personnel[Egtim durumu],$K614),"")</f>
        <v/>
      </c>
      <c r="H614" s="41" t="str">
        <f>IFERROR(INDEX(Personnel[Shohruh Not],$K614),"")</f>
        <v/>
      </c>
      <c r="I614" s="40" t="str">
        <f>IFERROR(INDEX(Personnel[Дней в РФ],$K614),"")</f>
        <v/>
      </c>
      <c r="K614" s="23" t="str">
        <f t="array" ref="K614">IFERROR(_xlfn.AGGREGATE(15,6,(ROW(Personnel[Egtim durumu])-MIN(ROW(Personnel[Egtim durumu]))+1)/((Personnel[Egtim durumu]="Dil egitimi tamamlandi sinavdan gecti")),ROWS($K$7:K614)),"")</f>
        <v/>
      </c>
    </row>
    <row r="615" spans="1:11" x14ac:dyDescent="0.25">
      <c r="A615" s="18" t="str">
        <f>IFERROR(INDEX(Personnel[Sicil],$K615),"")</f>
        <v/>
      </c>
      <c r="B615" s="17" t="str">
        <f>IFERROR(INDEX(Personnel[Adi Soyadi],$K615),"")</f>
        <v/>
      </c>
      <c r="C615" s="18" t="str">
        <f>IFERROR(INDEX(Personnel[Vatandaslik],$K615),"")</f>
        <v/>
      </c>
      <c r="D615" s="18" t="str">
        <f>IFERROR(INDEX(Personnel[Santiye],$K615),"")</f>
        <v/>
      </c>
      <c r="E615" s="18" t="str">
        <f>IFERROR(INDEX(Personnel[Ogretmen],$K615),"")</f>
        <v/>
      </c>
      <c r="F615" s="17" t="str">
        <f>IFERROR(INDEX(Personnel[[Sinav ]],$K615),"")</f>
        <v/>
      </c>
      <c r="G615" s="17" t="str">
        <f>IFERROR(INDEX(Personnel[Egtim durumu],$K615),"")</f>
        <v/>
      </c>
      <c r="H615" s="17" t="str">
        <f>IFERROR(INDEX(Personnel[Shohruh Not],$K615),"")</f>
        <v/>
      </c>
      <c r="I615" s="18" t="str">
        <f>IFERROR(INDEX(Personnel[Дней в РФ],$K615),"")</f>
        <v/>
      </c>
      <c r="K615" s="23" t="str">
        <f t="array" ref="K615">IFERROR(_xlfn.AGGREGATE(15,6,(ROW(Personnel[Egtim durumu])-MIN(ROW(Personnel[Egtim durumu]))+1)/((Personnel[Egtim durumu]="Dil egitimi tamamlandi sinavdan gecti")),ROWS($K$7:K615)),"")</f>
        <v/>
      </c>
    </row>
    <row r="616" spans="1:11" x14ac:dyDescent="0.25">
      <c r="A616" s="40" t="str">
        <f>IFERROR(INDEX(Personnel[Sicil],$K616),"")</f>
        <v/>
      </c>
      <c r="B616" s="41" t="str">
        <f>IFERROR(INDEX(Personnel[Adi Soyadi],$K616),"")</f>
        <v/>
      </c>
      <c r="C616" s="40" t="str">
        <f>IFERROR(INDEX(Personnel[Vatandaslik],$K616),"")</f>
        <v/>
      </c>
      <c r="D616" s="40" t="str">
        <f>IFERROR(INDEX(Personnel[Santiye],$K616),"")</f>
        <v/>
      </c>
      <c r="E616" s="40" t="str">
        <f>IFERROR(INDEX(Personnel[Ogretmen],$K616),"")</f>
        <v/>
      </c>
      <c r="F616" s="41" t="str">
        <f>IFERROR(INDEX(Personnel[[Sinav ]],$K616),"")</f>
        <v/>
      </c>
      <c r="G616" s="41" t="str">
        <f>IFERROR(INDEX(Personnel[Egtim durumu],$K616),"")</f>
        <v/>
      </c>
      <c r="H616" s="41" t="str">
        <f>IFERROR(INDEX(Personnel[Shohruh Not],$K616),"")</f>
        <v/>
      </c>
      <c r="I616" s="40" t="str">
        <f>IFERROR(INDEX(Personnel[Дней в РФ],$K616),"")</f>
        <v/>
      </c>
      <c r="K616" s="23" t="str">
        <f t="array" ref="K616">IFERROR(_xlfn.AGGREGATE(15,6,(ROW(Personnel[Egtim durumu])-MIN(ROW(Personnel[Egtim durumu]))+1)/((Personnel[Egtim durumu]="Dil egitimi tamamlandi sinavdan gecti")),ROWS($K$7:K616)),"")</f>
        <v/>
      </c>
    </row>
    <row r="617" spans="1:11" x14ac:dyDescent="0.25">
      <c r="A617" s="18" t="str">
        <f>IFERROR(INDEX(Personnel[Sicil],$K617),"")</f>
        <v/>
      </c>
      <c r="B617" s="17" t="str">
        <f>IFERROR(INDEX(Personnel[Adi Soyadi],$K617),"")</f>
        <v/>
      </c>
      <c r="C617" s="18" t="str">
        <f>IFERROR(INDEX(Personnel[Vatandaslik],$K617),"")</f>
        <v/>
      </c>
      <c r="D617" s="18" t="str">
        <f>IFERROR(INDEX(Personnel[Santiye],$K617),"")</f>
        <v/>
      </c>
      <c r="E617" s="18" t="str">
        <f>IFERROR(INDEX(Personnel[Ogretmen],$K617),"")</f>
        <v/>
      </c>
      <c r="F617" s="17" t="str">
        <f>IFERROR(INDEX(Personnel[[Sinav ]],$K617),"")</f>
        <v/>
      </c>
      <c r="G617" s="17" t="str">
        <f>IFERROR(INDEX(Personnel[Egtim durumu],$K617),"")</f>
        <v/>
      </c>
      <c r="H617" s="17" t="str">
        <f>IFERROR(INDEX(Personnel[Shohruh Not],$K617),"")</f>
        <v/>
      </c>
      <c r="I617" s="18" t="str">
        <f>IFERROR(INDEX(Personnel[Дней в РФ],$K617),"")</f>
        <v/>
      </c>
      <c r="K617" s="23" t="str">
        <f t="array" ref="K617">IFERROR(_xlfn.AGGREGATE(15,6,(ROW(Personnel[Egtim durumu])-MIN(ROW(Personnel[Egtim durumu]))+1)/((Personnel[Egtim durumu]="Dil egitimi tamamlandi sinavdan gecti")),ROWS($K$7:K617)),"")</f>
        <v/>
      </c>
    </row>
    <row r="618" spans="1:11" x14ac:dyDescent="0.25">
      <c r="A618" s="40" t="str">
        <f>IFERROR(INDEX(Personnel[Sicil],$K618),"")</f>
        <v/>
      </c>
      <c r="B618" s="41" t="str">
        <f>IFERROR(INDEX(Personnel[Adi Soyadi],$K618),"")</f>
        <v/>
      </c>
      <c r="C618" s="40" t="str">
        <f>IFERROR(INDEX(Personnel[Vatandaslik],$K618),"")</f>
        <v/>
      </c>
      <c r="D618" s="40" t="str">
        <f>IFERROR(INDEX(Personnel[Santiye],$K618),"")</f>
        <v/>
      </c>
      <c r="E618" s="40" t="str">
        <f>IFERROR(INDEX(Personnel[Ogretmen],$K618),"")</f>
        <v/>
      </c>
      <c r="F618" s="41" t="str">
        <f>IFERROR(INDEX(Personnel[[Sinav ]],$K618),"")</f>
        <v/>
      </c>
      <c r="G618" s="41" t="str">
        <f>IFERROR(INDEX(Personnel[Egtim durumu],$K618),"")</f>
        <v/>
      </c>
      <c r="H618" s="41" t="str">
        <f>IFERROR(INDEX(Personnel[Shohruh Not],$K618),"")</f>
        <v/>
      </c>
      <c r="I618" s="40" t="str">
        <f>IFERROR(INDEX(Personnel[Дней в РФ],$K618),"")</f>
        <v/>
      </c>
      <c r="K618" s="23" t="str">
        <f t="array" ref="K618">IFERROR(_xlfn.AGGREGATE(15,6,(ROW(Personnel[Egtim durumu])-MIN(ROW(Personnel[Egtim durumu]))+1)/((Personnel[Egtim durumu]="Dil egitimi tamamlandi sinavdan gecti")),ROWS($K$7:K618)),"")</f>
        <v/>
      </c>
    </row>
    <row r="619" spans="1:11" x14ac:dyDescent="0.25">
      <c r="A619" s="18" t="str">
        <f>IFERROR(INDEX(Personnel[Sicil],$K619),"")</f>
        <v/>
      </c>
      <c r="B619" s="17" t="str">
        <f>IFERROR(INDEX(Personnel[Adi Soyadi],$K619),"")</f>
        <v/>
      </c>
      <c r="C619" s="18" t="str">
        <f>IFERROR(INDEX(Personnel[Vatandaslik],$K619),"")</f>
        <v/>
      </c>
      <c r="D619" s="18" t="str">
        <f>IFERROR(INDEX(Personnel[Santiye],$K619),"")</f>
        <v/>
      </c>
      <c r="E619" s="18" t="str">
        <f>IFERROR(INDEX(Personnel[Ogretmen],$K619),"")</f>
        <v/>
      </c>
      <c r="F619" s="17" t="str">
        <f>IFERROR(INDEX(Personnel[[Sinav ]],$K619),"")</f>
        <v/>
      </c>
      <c r="G619" s="17" t="str">
        <f>IFERROR(INDEX(Personnel[Egtim durumu],$K619),"")</f>
        <v/>
      </c>
      <c r="H619" s="17" t="str">
        <f>IFERROR(INDEX(Personnel[Shohruh Not],$K619),"")</f>
        <v/>
      </c>
      <c r="I619" s="18" t="str">
        <f>IFERROR(INDEX(Personnel[Дней в РФ],$K619),"")</f>
        <v/>
      </c>
      <c r="K619" s="23" t="str">
        <f t="array" ref="K619">IFERROR(_xlfn.AGGREGATE(15,6,(ROW(Personnel[Egtim durumu])-MIN(ROW(Personnel[Egtim durumu]))+1)/((Personnel[Egtim durumu]="Dil egitimi tamamlandi sinavdan gecti")),ROWS($K$7:K619)),"")</f>
        <v/>
      </c>
    </row>
    <row r="620" spans="1:11" x14ac:dyDescent="0.25">
      <c r="A620" s="40" t="str">
        <f>IFERROR(INDEX(Personnel[Sicil],$K620),"")</f>
        <v/>
      </c>
      <c r="B620" s="41" t="str">
        <f>IFERROR(INDEX(Personnel[Adi Soyadi],$K620),"")</f>
        <v/>
      </c>
      <c r="C620" s="40" t="str">
        <f>IFERROR(INDEX(Personnel[Vatandaslik],$K620),"")</f>
        <v/>
      </c>
      <c r="D620" s="40" t="str">
        <f>IFERROR(INDEX(Personnel[Santiye],$K620),"")</f>
        <v/>
      </c>
      <c r="E620" s="40" t="str">
        <f>IFERROR(INDEX(Personnel[Ogretmen],$K620),"")</f>
        <v/>
      </c>
      <c r="F620" s="41" t="str">
        <f>IFERROR(INDEX(Personnel[[Sinav ]],$K620),"")</f>
        <v/>
      </c>
      <c r="G620" s="41" t="str">
        <f>IFERROR(INDEX(Personnel[Egtim durumu],$K620),"")</f>
        <v/>
      </c>
      <c r="H620" s="41" t="str">
        <f>IFERROR(INDEX(Personnel[Shohruh Not],$K620),"")</f>
        <v/>
      </c>
      <c r="I620" s="40" t="str">
        <f>IFERROR(INDEX(Personnel[Дней в РФ],$K620),"")</f>
        <v/>
      </c>
      <c r="K620" s="23" t="str">
        <f t="array" ref="K620">IFERROR(_xlfn.AGGREGATE(15,6,(ROW(Personnel[Egtim durumu])-MIN(ROW(Personnel[Egtim durumu]))+1)/((Personnel[Egtim durumu]="Dil egitimi tamamlandi sinavdan gecti")),ROWS($K$7:K620)),"")</f>
        <v/>
      </c>
    </row>
    <row r="621" spans="1:11" x14ac:dyDescent="0.25">
      <c r="A621" s="18" t="str">
        <f>IFERROR(INDEX(Personnel[Sicil],$K621),"")</f>
        <v/>
      </c>
      <c r="B621" s="17" t="str">
        <f>IFERROR(INDEX(Personnel[Adi Soyadi],$K621),"")</f>
        <v/>
      </c>
      <c r="C621" s="18" t="str">
        <f>IFERROR(INDEX(Personnel[Vatandaslik],$K621),"")</f>
        <v/>
      </c>
      <c r="D621" s="18" t="str">
        <f>IFERROR(INDEX(Personnel[Santiye],$K621),"")</f>
        <v/>
      </c>
      <c r="E621" s="18" t="str">
        <f>IFERROR(INDEX(Personnel[Ogretmen],$K621),"")</f>
        <v/>
      </c>
      <c r="F621" s="17" t="str">
        <f>IFERROR(INDEX(Personnel[[Sinav ]],$K621),"")</f>
        <v/>
      </c>
      <c r="G621" s="17" t="str">
        <f>IFERROR(INDEX(Personnel[Egtim durumu],$K621),"")</f>
        <v/>
      </c>
      <c r="H621" s="17" t="str">
        <f>IFERROR(INDEX(Personnel[Shohruh Not],$K621),"")</f>
        <v/>
      </c>
      <c r="I621" s="18" t="str">
        <f>IFERROR(INDEX(Personnel[Дней в РФ],$K621),"")</f>
        <v/>
      </c>
      <c r="K621" s="23" t="str">
        <f t="array" ref="K621">IFERROR(_xlfn.AGGREGATE(15,6,(ROW(Personnel[Egtim durumu])-MIN(ROW(Personnel[Egtim durumu]))+1)/((Personnel[Egtim durumu]="Dil egitimi tamamlandi sinavdan gecti")),ROWS($K$7:K621)),"")</f>
        <v/>
      </c>
    </row>
    <row r="622" spans="1:11" x14ac:dyDescent="0.25">
      <c r="A622" s="40" t="str">
        <f>IFERROR(INDEX(Personnel[Sicil],$K622),"")</f>
        <v/>
      </c>
      <c r="B622" s="41" t="str">
        <f>IFERROR(INDEX(Personnel[Adi Soyadi],$K622),"")</f>
        <v/>
      </c>
      <c r="C622" s="40" t="str">
        <f>IFERROR(INDEX(Personnel[Vatandaslik],$K622),"")</f>
        <v/>
      </c>
      <c r="D622" s="40" t="str">
        <f>IFERROR(INDEX(Personnel[Santiye],$K622),"")</f>
        <v/>
      </c>
      <c r="E622" s="40" t="str">
        <f>IFERROR(INDEX(Personnel[Ogretmen],$K622),"")</f>
        <v/>
      </c>
      <c r="F622" s="41" t="str">
        <f>IFERROR(INDEX(Personnel[[Sinav ]],$K622),"")</f>
        <v/>
      </c>
      <c r="G622" s="41" t="str">
        <f>IFERROR(INDEX(Personnel[Egtim durumu],$K622),"")</f>
        <v/>
      </c>
      <c r="H622" s="41" t="str">
        <f>IFERROR(INDEX(Personnel[Shohruh Not],$K622),"")</f>
        <v/>
      </c>
      <c r="I622" s="40" t="str">
        <f>IFERROR(INDEX(Personnel[Дней в РФ],$K622),"")</f>
        <v/>
      </c>
      <c r="K622" s="23" t="str">
        <f t="array" ref="K622">IFERROR(_xlfn.AGGREGATE(15,6,(ROW(Personnel[Egtim durumu])-MIN(ROW(Personnel[Egtim durumu]))+1)/((Personnel[Egtim durumu]="Dil egitimi tamamlandi sinavdan gecti")),ROWS($K$7:K622)),"")</f>
        <v/>
      </c>
    </row>
    <row r="623" spans="1:11" x14ac:dyDescent="0.25">
      <c r="A623" s="18" t="str">
        <f>IFERROR(INDEX(Personnel[Sicil],$K623),"")</f>
        <v/>
      </c>
      <c r="B623" s="17" t="str">
        <f>IFERROR(INDEX(Personnel[Adi Soyadi],$K623),"")</f>
        <v/>
      </c>
      <c r="C623" s="18" t="str">
        <f>IFERROR(INDEX(Personnel[Vatandaslik],$K623),"")</f>
        <v/>
      </c>
      <c r="D623" s="18" t="str">
        <f>IFERROR(INDEX(Personnel[Santiye],$K623),"")</f>
        <v/>
      </c>
      <c r="E623" s="18" t="str">
        <f>IFERROR(INDEX(Personnel[Ogretmen],$K623),"")</f>
        <v/>
      </c>
      <c r="F623" s="17" t="str">
        <f>IFERROR(INDEX(Personnel[[Sinav ]],$K623),"")</f>
        <v/>
      </c>
      <c r="G623" s="17" t="str">
        <f>IFERROR(INDEX(Personnel[Egtim durumu],$K623),"")</f>
        <v/>
      </c>
      <c r="H623" s="17" t="str">
        <f>IFERROR(INDEX(Personnel[Shohruh Not],$K623),"")</f>
        <v/>
      </c>
      <c r="I623" s="18" t="str">
        <f>IFERROR(INDEX(Personnel[Дней в РФ],$K623),"")</f>
        <v/>
      </c>
      <c r="K623" s="23" t="str">
        <f t="array" ref="K623">IFERROR(_xlfn.AGGREGATE(15,6,(ROW(Personnel[Egtim durumu])-MIN(ROW(Personnel[Egtim durumu]))+1)/((Personnel[Egtim durumu]="Dil egitimi tamamlandi sinavdan gecti")),ROWS($K$7:K623)),"")</f>
        <v/>
      </c>
    </row>
    <row r="624" spans="1:11" x14ac:dyDescent="0.25">
      <c r="A624" s="40" t="str">
        <f>IFERROR(INDEX(Personnel[Sicil],$K624),"")</f>
        <v/>
      </c>
      <c r="B624" s="41" t="str">
        <f>IFERROR(INDEX(Personnel[Adi Soyadi],$K624),"")</f>
        <v/>
      </c>
      <c r="C624" s="40" t="str">
        <f>IFERROR(INDEX(Personnel[Vatandaslik],$K624),"")</f>
        <v/>
      </c>
      <c r="D624" s="40" t="str">
        <f>IFERROR(INDEX(Personnel[Santiye],$K624),"")</f>
        <v/>
      </c>
      <c r="E624" s="40" t="str">
        <f>IFERROR(INDEX(Personnel[Ogretmen],$K624),"")</f>
        <v/>
      </c>
      <c r="F624" s="41" t="str">
        <f>IFERROR(INDEX(Personnel[[Sinav ]],$K624),"")</f>
        <v/>
      </c>
      <c r="G624" s="41" t="str">
        <f>IFERROR(INDEX(Personnel[Egtim durumu],$K624),"")</f>
        <v/>
      </c>
      <c r="H624" s="41" t="str">
        <f>IFERROR(INDEX(Personnel[Shohruh Not],$K624),"")</f>
        <v/>
      </c>
      <c r="I624" s="40" t="str">
        <f>IFERROR(INDEX(Personnel[Дней в РФ],$K624),"")</f>
        <v/>
      </c>
      <c r="K624" s="23" t="str">
        <f t="array" ref="K624">IFERROR(_xlfn.AGGREGATE(15,6,(ROW(Personnel[Egtim durumu])-MIN(ROW(Personnel[Egtim durumu]))+1)/((Personnel[Egtim durumu]="Dil egitimi tamamlandi sinavdan gecti")),ROWS($K$7:K624)),"")</f>
        <v/>
      </c>
    </row>
    <row r="625" spans="1:11" x14ac:dyDescent="0.25">
      <c r="A625" s="18" t="str">
        <f>IFERROR(INDEX(Personnel[Sicil],$K625),"")</f>
        <v/>
      </c>
      <c r="B625" s="17" t="str">
        <f>IFERROR(INDEX(Personnel[Adi Soyadi],$K625),"")</f>
        <v/>
      </c>
      <c r="C625" s="18" t="str">
        <f>IFERROR(INDEX(Personnel[Vatandaslik],$K625),"")</f>
        <v/>
      </c>
      <c r="D625" s="18" t="str">
        <f>IFERROR(INDEX(Personnel[Santiye],$K625),"")</f>
        <v/>
      </c>
      <c r="E625" s="18" t="str">
        <f>IFERROR(INDEX(Personnel[Ogretmen],$K625),"")</f>
        <v/>
      </c>
      <c r="F625" s="17" t="str">
        <f>IFERROR(INDEX(Personnel[[Sinav ]],$K625),"")</f>
        <v/>
      </c>
      <c r="G625" s="17" t="str">
        <f>IFERROR(INDEX(Personnel[Egtim durumu],$K625),"")</f>
        <v/>
      </c>
      <c r="H625" s="17" t="str">
        <f>IFERROR(INDEX(Personnel[Shohruh Not],$K625),"")</f>
        <v/>
      </c>
      <c r="I625" s="18" t="str">
        <f>IFERROR(INDEX(Personnel[Дней в РФ],$K625),"")</f>
        <v/>
      </c>
      <c r="K625" s="23" t="str">
        <f t="array" ref="K625">IFERROR(_xlfn.AGGREGATE(15,6,(ROW(Personnel[Egtim durumu])-MIN(ROW(Personnel[Egtim durumu]))+1)/((Personnel[Egtim durumu]="Dil egitimi tamamlandi sinavdan gecti")),ROWS($K$7:K625)),"")</f>
        <v/>
      </c>
    </row>
    <row r="626" spans="1:11" x14ac:dyDescent="0.25">
      <c r="A626" s="40" t="str">
        <f>IFERROR(INDEX(Personnel[Sicil],$K626),"")</f>
        <v/>
      </c>
      <c r="B626" s="41" t="str">
        <f>IFERROR(INDEX(Personnel[Adi Soyadi],$K626),"")</f>
        <v/>
      </c>
      <c r="C626" s="40" t="str">
        <f>IFERROR(INDEX(Personnel[Vatandaslik],$K626),"")</f>
        <v/>
      </c>
      <c r="D626" s="40" t="str">
        <f>IFERROR(INDEX(Personnel[Santiye],$K626),"")</f>
        <v/>
      </c>
      <c r="E626" s="40" t="str">
        <f>IFERROR(INDEX(Personnel[Ogretmen],$K626),"")</f>
        <v/>
      </c>
      <c r="F626" s="41" t="str">
        <f>IFERROR(INDEX(Personnel[[Sinav ]],$K626),"")</f>
        <v/>
      </c>
      <c r="G626" s="41" t="str">
        <f>IFERROR(INDEX(Personnel[Egtim durumu],$K626),"")</f>
        <v/>
      </c>
      <c r="H626" s="41" t="str">
        <f>IFERROR(INDEX(Personnel[Shohruh Not],$K626),"")</f>
        <v/>
      </c>
      <c r="I626" s="40" t="str">
        <f>IFERROR(INDEX(Personnel[Дней в РФ],$K626),"")</f>
        <v/>
      </c>
      <c r="K626" s="23" t="str">
        <f t="array" ref="K626">IFERROR(_xlfn.AGGREGATE(15,6,(ROW(Personnel[Egtim durumu])-MIN(ROW(Personnel[Egtim durumu]))+1)/((Personnel[Egtim durumu]="Dil egitimi tamamlandi sinavdan gecti")),ROWS($K$7:K626)),"")</f>
        <v/>
      </c>
    </row>
    <row r="627" spans="1:11" x14ac:dyDescent="0.25">
      <c r="A627" s="18" t="str">
        <f>IFERROR(INDEX(Personnel[Sicil],$K627),"")</f>
        <v/>
      </c>
      <c r="B627" s="17" t="str">
        <f>IFERROR(INDEX(Personnel[Adi Soyadi],$K627),"")</f>
        <v/>
      </c>
      <c r="C627" s="18" t="str">
        <f>IFERROR(INDEX(Personnel[Vatandaslik],$K627),"")</f>
        <v/>
      </c>
      <c r="D627" s="18" t="str">
        <f>IFERROR(INDEX(Personnel[Santiye],$K627),"")</f>
        <v/>
      </c>
      <c r="E627" s="18" t="str">
        <f>IFERROR(INDEX(Personnel[Ogretmen],$K627),"")</f>
        <v/>
      </c>
      <c r="F627" s="17" t="str">
        <f>IFERROR(INDEX(Personnel[[Sinav ]],$K627),"")</f>
        <v/>
      </c>
      <c r="G627" s="17" t="str">
        <f>IFERROR(INDEX(Personnel[Egtim durumu],$K627),"")</f>
        <v/>
      </c>
      <c r="H627" s="17" t="str">
        <f>IFERROR(INDEX(Personnel[Shohruh Not],$K627),"")</f>
        <v/>
      </c>
      <c r="I627" s="18" t="str">
        <f>IFERROR(INDEX(Personnel[Дней в РФ],$K627),"")</f>
        <v/>
      </c>
      <c r="K627" s="23" t="str">
        <f t="array" ref="K627">IFERROR(_xlfn.AGGREGATE(15,6,(ROW(Personnel[Egtim durumu])-MIN(ROW(Personnel[Egtim durumu]))+1)/((Personnel[Egtim durumu]="Dil egitimi tamamlandi sinavdan gecti")),ROWS($K$7:K627)),"")</f>
        <v/>
      </c>
    </row>
    <row r="628" spans="1:11" x14ac:dyDescent="0.25">
      <c r="A628" s="40" t="str">
        <f>IFERROR(INDEX(Personnel[Sicil],$K628),"")</f>
        <v/>
      </c>
      <c r="B628" s="41" t="str">
        <f>IFERROR(INDEX(Personnel[Adi Soyadi],$K628),"")</f>
        <v/>
      </c>
      <c r="C628" s="40" t="str">
        <f>IFERROR(INDEX(Personnel[Vatandaslik],$K628),"")</f>
        <v/>
      </c>
      <c r="D628" s="40" t="str">
        <f>IFERROR(INDEX(Personnel[Santiye],$K628),"")</f>
        <v/>
      </c>
      <c r="E628" s="40" t="str">
        <f>IFERROR(INDEX(Personnel[Ogretmen],$K628),"")</f>
        <v/>
      </c>
      <c r="F628" s="41" t="str">
        <f>IFERROR(INDEX(Personnel[[Sinav ]],$K628),"")</f>
        <v/>
      </c>
      <c r="G628" s="41" t="str">
        <f>IFERROR(INDEX(Personnel[Egtim durumu],$K628),"")</f>
        <v/>
      </c>
      <c r="H628" s="41" t="str">
        <f>IFERROR(INDEX(Personnel[Shohruh Not],$K628),"")</f>
        <v/>
      </c>
      <c r="I628" s="40" t="str">
        <f>IFERROR(INDEX(Personnel[Дней в РФ],$K628),"")</f>
        <v/>
      </c>
      <c r="K628" s="23" t="str">
        <f t="array" ref="K628">IFERROR(_xlfn.AGGREGATE(15,6,(ROW(Personnel[Egtim durumu])-MIN(ROW(Personnel[Egtim durumu]))+1)/((Personnel[Egtim durumu]="Dil egitimi tamamlandi sinavdan gecti")),ROWS($K$7:K628)),"")</f>
        <v/>
      </c>
    </row>
    <row r="629" spans="1:11" x14ac:dyDescent="0.25">
      <c r="A629" s="18" t="str">
        <f>IFERROR(INDEX(Personnel[Sicil],$K629),"")</f>
        <v/>
      </c>
      <c r="B629" s="17" t="str">
        <f>IFERROR(INDEX(Personnel[Adi Soyadi],$K629),"")</f>
        <v/>
      </c>
      <c r="C629" s="18" t="str">
        <f>IFERROR(INDEX(Personnel[Vatandaslik],$K629),"")</f>
        <v/>
      </c>
      <c r="D629" s="18" t="str">
        <f>IFERROR(INDEX(Personnel[Santiye],$K629),"")</f>
        <v/>
      </c>
      <c r="E629" s="18" t="str">
        <f>IFERROR(INDEX(Personnel[Ogretmen],$K629),"")</f>
        <v/>
      </c>
      <c r="F629" s="17" t="str">
        <f>IFERROR(INDEX(Personnel[[Sinav ]],$K629),"")</f>
        <v/>
      </c>
      <c r="G629" s="17" t="str">
        <f>IFERROR(INDEX(Personnel[Egtim durumu],$K629),"")</f>
        <v/>
      </c>
      <c r="H629" s="17" t="str">
        <f>IFERROR(INDEX(Personnel[Shohruh Not],$K629),"")</f>
        <v/>
      </c>
      <c r="I629" s="18" t="str">
        <f>IFERROR(INDEX(Personnel[Дней в РФ],$K629),"")</f>
        <v/>
      </c>
      <c r="K629" s="23" t="str">
        <f t="array" ref="K629">IFERROR(_xlfn.AGGREGATE(15,6,(ROW(Personnel[Egtim durumu])-MIN(ROW(Personnel[Egtim durumu]))+1)/((Personnel[Egtim durumu]="Dil egitimi tamamlandi sinavdan gecti")),ROWS($K$7:K629)),"")</f>
        <v/>
      </c>
    </row>
    <row r="630" spans="1:11" x14ac:dyDescent="0.25">
      <c r="A630" s="40" t="str">
        <f>IFERROR(INDEX(Personnel[Sicil],$K630),"")</f>
        <v/>
      </c>
      <c r="B630" s="41" t="str">
        <f>IFERROR(INDEX(Personnel[Adi Soyadi],$K630),"")</f>
        <v/>
      </c>
      <c r="C630" s="40" t="str">
        <f>IFERROR(INDEX(Personnel[Vatandaslik],$K630),"")</f>
        <v/>
      </c>
      <c r="D630" s="40" t="str">
        <f>IFERROR(INDEX(Personnel[Santiye],$K630),"")</f>
        <v/>
      </c>
      <c r="E630" s="40" t="str">
        <f>IFERROR(INDEX(Personnel[Ogretmen],$K630),"")</f>
        <v/>
      </c>
      <c r="F630" s="41" t="str">
        <f>IFERROR(INDEX(Personnel[[Sinav ]],$K630),"")</f>
        <v/>
      </c>
      <c r="G630" s="41" t="str">
        <f>IFERROR(INDEX(Personnel[Egtim durumu],$K630),"")</f>
        <v/>
      </c>
      <c r="H630" s="41" t="str">
        <f>IFERROR(INDEX(Personnel[Shohruh Not],$K630),"")</f>
        <v/>
      </c>
      <c r="I630" s="40" t="str">
        <f>IFERROR(INDEX(Personnel[Дней в РФ],$K630),"")</f>
        <v/>
      </c>
      <c r="K630" s="23" t="str">
        <f t="array" ref="K630">IFERROR(_xlfn.AGGREGATE(15,6,(ROW(Personnel[Egtim durumu])-MIN(ROW(Personnel[Egtim durumu]))+1)/((Personnel[Egtim durumu]="Dil egitimi tamamlandi sinavdan gecti")),ROWS($K$7:K630)),"")</f>
        <v/>
      </c>
    </row>
    <row r="631" spans="1:11" x14ac:dyDescent="0.25">
      <c r="A631" s="18" t="str">
        <f>IFERROR(INDEX(Personnel[Sicil],$K631),"")</f>
        <v/>
      </c>
      <c r="B631" s="17" t="str">
        <f>IFERROR(INDEX(Personnel[Adi Soyadi],$K631),"")</f>
        <v/>
      </c>
      <c r="C631" s="18" t="str">
        <f>IFERROR(INDEX(Personnel[Vatandaslik],$K631),"")</f>
        <v/>
      </c>
      <c r="D631" s="18" t="str">
        <f>IFERROR(INDEX(Personnel[Santiye],$K631),"")</f>
        <v/>
      </c>
      <c r="E631" s="18" t="str">
        <f>IFERROR(INDEX(Personnel[Ogretmen],$K631),"")</f>
        <v/>
      </c>
      <c r="F631" s="17" t="str">
        <f>IFERROR(INDEX(Personnel[[Sinav ]],$K631),"")</f>
        <v/>
      </c>
      <c r="G631" s="17" t="str">
        <f>IFERROR(INDEX(Personnel[Egtim durumu],$K631),"")</f>
        <v/>
      </c>
      <c r="H631" s="17" t="str">
        <f>IFERROR(INDEX(Personnel[Shohruh Not],$K631),"")</f>
        <v/>
      </c>
      <c r="I631" s="18" t="str">
        <f>IFERROR(INDEX(Personnel[Дней в РФ],$K631),"")</f>
        <v/>
      </c>
      <c r="K631" s="23" t="str">
        <f t="array" ref="K631">IFERROR(_xlfn.AGGREGATE(15,6,(ROW(Personnel[Egtim durumu])-MIN(ROW(Personnel[Egtim durumu]))+1)/((Personnel[Egtim durumu]="Dil egitimi tamamlandi sinavdan gecti")),ROWS($K$7:K631)),"")</f>
        <v/>
      </c>
    </row>
    <row r="632" spans="1:11" x14ac:dyDescent="0.25">
      <c r="A632" s="40" t="str">
        <f>IFERROR(INDEX(Personnel[Sicil],$K632),"")</f>
        <v/>
      </c>
      <c r="B632" s="41" t="str">
        <f>IFERROR(INDEX(Personnel[Adi Soyadi],$K632),"")</f>
        <v/>
      </c>
      <c r="C632" s="40" t="str">
        <f>IFERROR(INDEX(Personnel[Vatandaslik],$K632),"")</f>
        <v/>
      </c>
      <c r="D632" s="40" t="str">
        <f>IFERROR(INDEX(Personnel[Santiye],$K632),"")</f>
        <v/>
      </c>
      <c r="E632" s="40" t="str">
        <f>IFERROR(INDEX(Personnel[Ogretmen],$K632),"")</f>
        <v/>
      </c>
      <c r="F632" s="41" t="str">
        <f>IFERROR(INDEX(Personnel[[Sinav ]],$K632),"")</f>
        <v/>
      </c>
      <c r="G632" s="41" t="str">
        <f>IFERROR(INDEX(Personnel[Egtim durumu],$K632),"")</f>
        <v/>
      </c>
      <c r="H632" s="41" t="str">
        <f>IFERROR(INDEX(Personnel[Shohruh Not],$K632),"")</f>
        <v/>
      </c>
      <c r="I632" s="40" t="str">
        <f>IFERROR(INDEX(Personnel[Дней в РФ],$K632),"")</f>
        <v/>
      </c>
      <c r="K632" s="23" t="str">
        <f t="array" ref="K632">IFERROR(_xlfn.AGGREGATE(15,6,(ROW(Personnel[Egtim durumu])-MIN(ROW(Personnel[Egtim durumu]))+1)/((Personnel[Egtim durumu]="Dil egitimi tamamlandi sinavdan gecti")),ROWS($K$7:K632)),"")</f>
        <v/>
      </c>
    </row>
    <row r="633" spans="1:11" x14ac:dyDescent="0.25">
      <c r="A633" s="18" t="str">
        <f>IFERROR(INDEX(Personnel[Sicil],$K633),"")</f>
        <v/>
      </c>
      <c r="B633" s="17" t="str">
        <f>IFERROR(INDEX(Personnel[Adi Soyadi],$K633),"")</f>
        <v/>
      </c>
      <c r="C633" s="18" t="str">
        <f>IFERROR(INDEX(Personnel[Vatandaslik],$K633),"")</f>
        <v/>
      </c>
      <c r="D633" s="18" t="str">
        <f>IFERROR(INDEX(Personnel[Santiye],$K633),"")</f>
        <v/>
      </c>
      <c r="E633" s="18" t="str">
        <f>IFERROR(INDEX(Personnel[Ogretmen],$K633),"")</f>
        <v/>
      </c>
      <c r="F633" s="17" t="str">
        <f>IFERROR(INDEX(Personnel[[Sinav ]],$K633),"")</f>
        <v/>
      </c>
      <c r="G633" s="17" t="str">
        <f>IFERROR(INDEX(Personnel[Egtim durumu],$K633),"")</f>
        <v/>
      </c>
      <c r="H633" s="17" t="str">
        <f>IFERROR(INDEX(Personnel[Shohruh Not],$K633),"")</f>
        <v/>
      </c>
      <c r="I633" s="18" t="str">
        <f>IFERROR(INDEX(Personnel[Дней в РФ],$K633),"")</f>
        <v/>
      </c>
      <c r="K633" s="23" t="str">
        <f t="array" ref="K633">IFERROR(_xlfn.AGGREGATE(15,6,(ROW(Personnel[Egtim durumu])-MIN(ROW(Personnel[Egtim durumu]))+1)/((Personnel[Egtim durumu]="Dil egitimi tamamlandi sinavdan gecti")),ROWS($K$7:K633)),"")</f>
        <v/>
      </c>
    </row>
    <row r="634" spans="1:11" x14ac:dyDescent="0.25">
      <c r="A634" s="40" t="str">
        <f>IFERROR(INDEX(Personnel[Sicil],$K634),"")</f>
        <v/>
      </c>
      <c r="B634" s="41" t="str">
        <f>IFERROR(INDEX(Personnel[Adi Soyadi],$K634),"")</f>
        <v/>
      </c>
      <c r="C634" s="40" t="str">
        <f>IFERROR(INDEX(Personnel[Vatandaslik],$K634),"")</f>
        <v/>
      </c>
      <c r="D634" s="40" t="str">
        <f>IFERROR(INDEX(Personnel[Santiye],$K634),"")</f>
        <v/>
      </c>
      <c r="E634" s="40" t="str">
        <f>IFERROR(INDEX(Personnel[Ogretmen],$K634),"")</f>
        <v/>
      </c>
      <c r="F634" s="41" t="str">
        <f>IFERROR(INDEX(Personnel[[Sinav ]],$K634),"")</f>
        <v/>
      </c>
      <c r="G634" s="41" t="str">
        <f>IFERROR(INDEX(Personnel[Egtim durumu],$K634),"")</f>
        <v/>
      </c>
      <c r="H634" s="41" t="str">
        <f>IFERROR(INDEX(Personnel[Shohruh Not],$K634),"")</f>
        <v/>
      </c>
      <c r="I634" s="40" t="str">
        <f>IFERROR(INDEX(Personnel[Дней в РФ],$K634),"")</f>
        <v/>
      </c>
      <c r="K634" s="23" t="str">
        <f t="array" ref="K634">IFERROR(_xlfn.AGGREGATE(15,6,(ROW(Personnel[Egtim durumu])-MIN(ROW(Personnel[Egtim durumu]))+1)/((Personnel[Egtim durumu]="Dil egitimi tamamlandi sinavdan gecti")),ROWS($K$7:K634)),"")</f>
        <v/>
      </c>
    </row>
    <row r="635" spans="1:11" x14ac:dyDescent="0.25">
      <c r="A635" s="18" t="str">
        <f>IFERROR(INDEX(Personnel[Sicil],$K635),"")</f>
        <v/>
      </c>
      <c r="B635" s="17" t="str">
        <f>IFERROR(INDEX(Personnel[Adi Soyadi],$K635),"")</f>
        <v/>
      </c>
      <c r="C635" s="18" t="str">
        <f>IFERROR(INDEX(Personnel[Vatandaslik],$K635),"")</f>
        <v/>
      </c>
      <c r="D635" s="18" t="str">
        <f>IFERROR(INDEX(Personnel[Santiye],$K635),"")</f>
        <v/>
      </c>
      <c r="E635" s="18" t="str">
        <f>IFERROR(INDEX(Personnel[Ogretmen],$K635),"")</f>
        <v/>
      </c>
      <c r="F635" s="17" t="str">
        <f>IFERROR(INDEX(Personnel[[Sinav ]],$K635),"")</f>
        <v/>
      </c>
      <c r="G635" s="17" t="str">
        <f>IFERROR(INDEX(Personnel[Egtim durumu],$K635),"")</f>
        <v/>
      </c>
      <c r="H635" s="17" t="str">
        <f>IFERROR(INDEX(Personnel[Shohruh Not],$K635),"")</f>
        <v/>
      </c>
      <c r="I635" s="18" t="str">
        <f>IFERROR(INDEX(Personnel[Дней в РФ],$K635),"")</f>
        <v/>
      </c>
      <c r="K635" s="23" t="str">
        <f t="array" ref="K635">IFERROR(_xlfn.AGGREGATE(15,6,(ROW(Personnel[Egtim durumu])-MIN(ROW(Personnel[Egtim durumu]))+1)/((Personnel[Egtim durumu]="Dil egitimi tamamlandi sinavdan gecti")),ROWS($K$7:K635)),"")</f>
        <v/>
      </c>
    </row>
    <row r="636" spans="1:11" x14ac:dyDescent="0.25">
      <c r="A636" s="40" t="str">
        <f>IFERROR(INDEX(Personnel[Sicil],$K636),"")</f>
        <v/>
      </c>
      <c r="B636" s="41" t="str">
        <f>IFERROR(INDEX(Personnel[Adi Soyadi],$K636),"")</f>
        <v/>
      </c>
      <c r="C636" s="40" t="str">
        <f>IFERROR(INDEX(Personnel[Vatandaslik],$K636),"")</f>
        <v/>
      </c>
      <c r="D636" s="40" t="str">
        <f>IFERROR(INDEX(Personnel[Santiye],$K636),"")</f>
        <v/>
      </c>
      <c r="E636" s="40" t="str">
        <f>IFERROR(INDEX(Personnel[Ogretmen],$K636),"")</f>
        <v/>
      </c>
      <c r="F636" s="41" t="str">
        <f>IFERROR(INDEX(Personnel[[Sinav ]],$K636),"")</f>
        <v/>
      </c>
      <c r="G636" s="41" t="str">
        <f>IFERROR(INDEX(Personnel[Egtim durumu],$K636),"")</f>
        <v/>
      </c>
      <c r="H636" s="41" t="str">
        <f>IFERROR(INDEX(Personnel[Shohruh Not],$K636),"")</f>
        <v/>
      </c>
      <c r="I636" s="40" t="str">
        <f>IFERROR(INDEX(Personnel[Дней в РФ],$K636),"")</f>
        <v/>
      </c>
      <c r="K636" s="23" t="str">
        <f t="array" ref="K636">IFERROR(_xlfn.AGGREGATE(15,6,(ROW(Personnel[Egtim durumu])-MIN(ROW(Personnel[Egtim durumu]))+1)/((Personnel[Egtim durumu]="Dil egitimi tamamlandi sinavdan gecti")),ROWS($K$7:K636)),"")</f>
        <v/>
      </c>
    </row>
    <row r="637" spans="1:11" x14ac:dyDescent="0.25">
      <c r="A637" s="18" t="str">
        <f>IFERROR(INDEX(Personnel[Sicil],$K637),"")</f>
        <v/>
      </c>
      <c r="B637" s="17" t="str">
        <f>IFERROR(INDEX(Personnel[Adi Soyadi],$K637),"")</f>
        <v/>
      </c>
      <c r="C637" s="18" t="str">
        <f>IFERROR(INDEX(Personnel[Vatandaslik],$K637),"")</f>
        <v/>
      </c>
      <c r="D637" s="18" t="str">
        <f>IFERROR(INDEX(Personnel[Santiye],$K637),"")</f>
        <v/>
      </c>
      <c r="E637" s="18" t="str">
        <f>IFERROR(INDEX(Personnel[Ogretmen],$K637),"")</f>
        <v/>
      </c>
      <c r="F637" s="17" t="str">
        <f>IFERROR(INDEX(Personnel[[Sinav ]],$K637),"")</f>
        <v/>
      </c>
      <c r="G637" s="17" t="str">
        <f>IFERROR(INDEX(Personnel[Egtim durumu],$K637),"")</f>
        <v/>
      </c>
      <c r="H637" s="17" t="str">
        <f>IFERROR(INDEX(Personnel[Shohruh Not],$K637),"")</f>
        <v/>
      </c>
      <c r="I637" s="18" t="str">
        <f>IFERROR(INDEX(Personnel[Дней в РФ],$K637),"")</f>
        <v/>
      </c>
      <c r="K637" s="23" t="str">
        <f t="array" ref="K637">IFERROR(_xlfn.AGGREGATE(15,6,(ROW(Personnel[Egtim durumu])-MIN(ROW(Personnel[Egtim durumu]))+1)/((Personnel[Egtim durumu]="Dil egitimi tamamlandi sinavdan gecti")),ROWS($K$7:K637)),"")</f>
        <v/>
      </c>
    </row>
    <row r="638" spans="1:11" x14ac:dyDescent="0.25">
      <c r="A638" s="40" t="str">
        <f>IFERROR(INDEX(Personnel[Sicil],$K638),"")</f>
        <v/>
      </c>
      <c r="B638" s="41" t="str">
        <f>IFERROR(INDEX(Personnel[Adi Soyadi],$K638),"")</f>
        <v/>
      </c>
      <c r="C638" s="40" t="str">
        <f>IFERROR(INDEX(Personnel[Vatandaslik],$K638),"")</f>
        <v/>
      </c>
      <c r="D638" s="40" t="str">
        <f>IFERROR(INDEX(Personnel[Santiye],$K638),"")</f>
        <v/>
      </c>
      <c r="E638" s="40" t="str">
        <f>IFERROR(INDEX(Personnel[Ogretmen],$K638),"")</f>
        <v/>
      </c>
      <c r="F638" s="41" t="str">
        <f>IFERROR(INDEX(Personnel[[Sinav ]],$K638),"")</f>
        <v/>
      </c>
      <c r="G638" s="41" t="str">
        <f>IFERROR(INDEX(Personnel[Egtim durumu],$K638),"")</f>
        <v/>
      </c>
      <c r="H638" s="41" t="str">
        <f>IFERROR(INDEX(Personnel[Shohruh Not],$K638),"")</f>
        <v/>
      </c>
      <c r="I638" s="40" t="str">
        <f>IFERROR(INDEX(Personnel[Дней в РФ],$K638),"")</f>
        <v/>
      </c>
      <c r="K638" s="23" t="str">
        <f t="array" ref="K638">IFERROR(_xlfn.AGGREGATE(15,6,(ROW(Personnel[Egtim durumu])-MIN(ROW(Personnel[Egtim durumu]))+1)/((Personnel[Egtim durumu]="Dil egitimi tamamlandi sinavdan gecti")),ROWS($K$7:K638)),"")</f>
        <v/>
      </c>
    </row>
    <row r="639" spans="1:11" x14ac:dyDescent="0.25">
      <c r="A639" s="18" t="str">
        <f>IFERROR(INDEX(Personnel[Sicil],$K639),"")</f>
        <v/>
      </c>
      <c r="B639" s="17" t="str">
        <f>IFERROR(INDEX(Personnel[Adi Soyadi],$K639),"")</f>
        <v/>
      </c>
      <c r="C639" s="18" t="str">
        <f>IFERROR(INDEX(Personnel[Vatandaslik],$K639),"")</f>
        <v/>
      </c>
      <c r="D639" s="18" t="str">
        <f>IFERROR(INDEX(Personnel[Santiye],$K639),"")</f>
        <v/>
      </c>
      <c r="E639" s="18" t="str">
        <f>IFERROR(INDEX(Personnel[Ogretmen],$K639),"")</f>
        <v/>
      </c>
      <c r="F639" s="17" t="str">
        <f>IFERROR(INDEX(Personnel[[Sinav ]],$K639),"")</f>
        <v/>
      </c>
      <c r="G639" s="17" t="str">
        <f>IFERROR(INDEX(Personnel[Egtim durumu],$K639),"")</f>
        <v/>
      </c>
      <c r="H639" s="17" t="str">
        <f>IFERROR(INDEX(Personnel[Shohruh Not],$K639),"")</f>
        <v/>
      </c>
      <c r="I639" s="18" t="str">
        <f>IFERROR(INDEX(Personnel[Дней в РФ],$K639),"")</f>
        <v/>
      </c>
      <c r="K639" s="23" t="str">
        <f t="array" ref="K639">IFERROR(_xlfn.AGGREGATE(15,6,(ROW(Personnel[Egtim durumu])-MIN(ROW(Personnel[Egtim durumu]))+1)/((Personnel[Egtim durumu]="Dil egitimi tamamlandi sinavdan gecti")),ROWS($K$7:K639)),"")</f>
        <v/>
      </c>
    </row>
    <row r="640" spans="1:11" x14ac:dyDescent="0.25">
      <c r="A640" s="40" t="str">
        <f>IFERROR(INDEX(Personnel[Sicil],$K640),"")</f>
        <v/>
      </c>
      <c r="B640" s="41" t="str">
        <f>IFERROR(INDEX(Personnel[Adi Soyadi],$K640),"")</f>
        <v/>
      </c>
      <c r="C640" s="40" t="str">
        <f>IFERROR(INDEX(Personnel[Vatandaslik],$K640),"")</f>
        <v/>
      </c>
      <c r="D640" s="40" t="str">
        <f>IFERROR(INDEX(Personnel[Santiye],$K640),"")</f>
        <v/>
      </c>
      <c r="E640" s="40" t="str">
        <f>IFERROR(INDEX(Personnel[Ogretmen],$K640),"")</f>
        <v/>
      </c>
      <c r="F640" s="41" t="str">
        <f>IFERROR(INDEX(Personnel[[Sinav ]],$K640),"")</f>
        <v/>
      </c>
      <c r="G640" s="41" t="str">
        <f>IFERROR(INDEX(Personnel[Egtim durumu],$K640),"")</f>
        <v/>
      </c>
      <c r="H640" s="41" t="str">
        <f>IFERROR(INDEX(Personnel[Shohruh Not],$K640),"")</f>
        <v/>
      </c>
      <c r="I640" s="40" t="str">
        <f>IFERROR(INDEX(Personnel[Дней в РФ],$K640),"")</f>
        <v/>
      </c>
      <c r="K640" s="23" t="str">
        <f t="array" ref="K640">IFERROR(_xlfn.AGGREGATE(15,6,(ROW(Personnel[Egtim durumu])-MIN(ROW(Personnel[Egtim durumu]))+1)/((Personnel[Egtim durumu]="Dil egitimi tamamlandi sinavdan gecti")),ROWS($K$7:K640)),"")</f>
        <v/>
      </c>
    </row>
    <row r="641" spans="1:11" x14ac:dyDescent="0.25">
      <c r="A641" s="18" t="str">
        <f>IFERROR(INDEX(Personnel[Sicil],$K641),"")</f>
        <v/>
      </c>
      <c r="B641" s="17" t="str">
        <f>IFERROR(INDEX(Personnel[Adi Soyadi],$K641),"")</f>
        <v/>
      </c>
      <c r="C641" s="18" t="str">
        <f>IFERROR(INDEX(Personnel[Vatandaslik],$K641),"")</f>
        <v/>
      </c>
      <c r="D641" s="18" t="str">
        <f>IFERROR(INDEX(Personnel[Santiye],$K641),"")</f>
        <v/>
      </c>
      <c r="E641" s="18" t="str">
        <f>IFERROR(INDEX(Personnel[Ogretmen],$K641),"")</f>
        <v/>
      </c>
      <c r="F641" s="17" t="str">
        <f>IFERROR(INDEX(Personnel[[Sinav ]],$K641),"")</f>
        <v/>
      </c>
      <c r="G641" s="17" t="str">
        <f>IFERROR(INDEX(Personnel[Egtim durumu],$K641),"")</f>
        <v/>
      </c>
      <c r="H641" s="17" t="str">
        <f>IFERROR(INDEX(Personnel[Shohruh Not],$K641),"")</f>
        <v/>
      </c>
      <c r="I641" s="18" t="str">
        <f>IFERROR(INDEX(Personnel[Дней в РФ],$K641),"")</f>
        <v/>
      </c>
      <c r="K641" s="23" t="str">
        <f t="array" ref="K641">IFERROR(_xlfn.AGGREGATE(15,6,(ROW(Personnel[Egtim durumu])-MIN(ROW(Personnel[Egtim durumu]))+1)/((Personnel[Egtim durumu]="Dil egitimi tamamlandi sinavdan gecti")),ROWS($K$7:K641)),"")</f>
        <v/>
      </c>
    </row>
    <row r="642" spans="1:11" x14ac:dyDescent="0.25">
      <c r="A642" s="40" t="str">
        <f>IFERROR(INDEX(Personnel[Sicil],$K642),"")</f>
        <v/>
      </c>
      <c r="B642" s="41" t="str">
        <f>IFERROR(INDEX(Personnel[Adi Soyadi],$K642),"")</f>
        <v/>
      </c>
      <c r="C642" s="40" t="str">
        <f>IFERROR(INDEX(Personnel[Vatandaslik],$K642),"")</f>
        <v/>
      </c>
      <c r="D642" s="40" t="str">
        <f>IFERROR(INDEX(Personnel[Santiye],$K642),"")</f>
        <v/>
      </c>
      <c r="E642" s="40" t="str">
        <f>IFERROR(INDEX(Personnel[Ogretmen],$K642),"")</f>
        <v/>
      </c>
      <c r="F642" s="41" t="str">
        <f>IFERROR(INDEX(Personnel[[Sinav ]],$K642),"")</f>
        <v/>
      </c>
      <c r="G642" s="41" t="str">
        <f>IFERROR(INDEX(Personnel[Egtim durumu],$K642),"")</f>
        <v/>
      </c>
      <c r="H642" s="41" t="str">
        <f>IFERROR(INDEX(Personnel[Shohruh Not],$K642),"")</f>
        <v/>
      </c>
      <c r="I642" s="40" t="str">
        <f>IFERROR(INDEX(Personnel[Дней в РФ],$K642),"")</f>
        <v/>
      </c>
      <c r="K642" s="23" t="str">
        <f t="array" ref="K642">IFERROR(_xlfn.AGGREGATE(15,6,(ROW(Personnel[Egtim durumu])-MIN(ROW(Personnel[Egtim durumu]))+1)/((Personnel[Egtim durumu]="Dil egitimi tamamlandi sinavdan gecti")),ROWS($K$7:K642)),"")</f>
        <v/>
      </c>
    </row>
    <row r="643" spans="1:11" x14ac:dyDescent="0.25">
      <c r="A643" s="18" t="str">
        <f>IFERROR(INDEX(Personnel[Sicil],$K643),"")</f>
        <v/>
      </c>
      <c r="B643" s="17" t="str">
        <f>IFERROR(INDEX(Personnel[Adi Soyadi],$K643),"")</f>
        <v/>
      </c>
      <c r="C643" s="18" t="str">
        <f>IFERROR(INDEX(Personnel[Vatandaslik],$K643),"")</f>
        <v/>
      </c>
      <c r="D643" s="18" t="str">
        <f>IFERROR(INDEX(Personnel[Santiye],$K643),"")</f>
        <v/>
      </c>
      <c r="E643" s="18" t="str">
        <f>IFERROR(INDEX(Personnel[Ogretmen],$K643),"")</f>
        <v/>
      </c>
      <c r="F643" s="17" t="str">
        <f>IFERROR(INDEX(Personnel[[Sinav ]],$K643),"")</f>
        <v/>
      </c>
      <c r="G643" s="17" t="str">
        <f>IFERROR(INDEX(Personnel[Egtim durumu],$K643),"")</f>
        <v/>
      </c>
      <c r="H643" s="17" t="str">
        <f>IFERROR(INDEX(Personnel[Shohruh Not],$K643),"")</f>
        <v/>
      </c>
      <c r="I643" s="18" t="str">
        <f>IFERROR(INDEX(Personnel[Дней в РФ],$K643),"")</f>
        <v/>
      </c>
      <c r="K643" s="23" t="str">
        <f t="array" ref="K643">IFERROR(_xlfn.AGGREGATE(15,6,(ROW(Personnel[Egtim durumu])-MIN(ROW(Personnel[Egtim durumu]))+1)/((Personnel[Egtim durumu]="Dil egitimi tamamlandi sinavdan gecti")),ROWS($K$7:K643)),"")</f>
        <v/>
      </c>
    </row>
    <row r="644" spans="1:11" x14ac:dyDescent="0.25">
      <c r="A644" s="40" t="str">
        <f>IFERROR(INDEX(Personnel[Sicil],$K644),"")</f>
        <v/>
      </c>
      <c r="B644" s="41" t="str">
        <f>IFERROR(INDEX(Personnel[Adi Soyadi],$K644),"")</f>
        <v/>
      </c>
      <c r="C644" s="40" t="str">
        <f>IFERROR(INDEX(Personnel[Vatandaslik],$K644),"")</f>
        <v/>
      </c>
      <c r="D644" s="40" t="str">
        <f>IFERROR(INDEX(Personnel[Santiye],$K644),"")</f>
        <v/>
      </c>
      <c r="E644" s="40" t="str">
        <f>IFERROR(INDEX(Personnel[Ogretmen],$K644),"")</f>
        <v/>
      </c>
      <c r="F644" s="41" t="str">
        <f>IFERROR(INDEX(Personnel[[Sinav ]],$K644),"")</f>
        <v/>
      </c>
      <c r="G644" s="41" t="str">
        <f>IFERROR(INDEX(Personnel[Egtim durumu],$K644),"")</f>
        <v/>
      </c>
      <c r="H644" s="41" t="str">
        <f>IFERROR(INDEX(Personnel[Shohruh Not],$K644),"")</f>
        <v/>
      </c>
      <c r="I644" s="40" t="str">
        <f>IFERROR(INDEX(Personnel[Дней в РФ],$K644),"")</f>
        <v/>
      </c>
      <c r="K644" s="23" t="str">
        <f t="array" ref="K644">IFERROR(_xlfn.AGGREGATE(15,6,(ROW(Personnel[Egtim durumu])-MIN(ROW(Personnel[Egtim durumu]))+1)/((Personnel[Egtim durumu]="Dil egitimi tamamlandi sinavdan gecti")),ROWS($K$7:K644)),"")</f>
        <v/>
      </c>
    </row>
    <row r="645" spans="1:11" x14ac:dyDescent="0.25">
      <c r="A645" s="18" t="str">
        <f>IFERROR(INDEX(Personnel[Sicil],$K645),"")</f>
        <v/>
      </c>
      <c r="B645" s="17" t="str">
        <f>IFERROR(INDEX(Personnel[Adi Soyadi],$K645),"")</f>
        <v/>
      </c>
      <c r="C645" s="18" t="str">
        <f>IFERROR(INDEX(Personnel[Vatandaslik],$K645),"")</f>
        <v/>
      </c>
      <c r="D645" s="18" t="str">
        <f>IFERROR(INDEX(Personnel[Santiye],$K645),"")</f>
        <v/>
      </c>
      <c r="E645" s="18" t="str">
        <f>IFERROR(INDEX(Personnel[Ogretmen],$K645),"")</f>
        <v/>
      </c>
      <c r="F645" s="17" t="str">
        <f>IFERROR(INDEX(Personnel[[Sinav ]],$K645),"")</f>
        <v/>
      </c>
      <c r="G645" s="17" t="str">
        <f>IFERROR(INDEX(Personnel[Egtim durumu],$K645),"")</f>
        <v/>
      </c>
      <c r="H645" s="17" t="str">
        <f>IFERROR(INDEX(Personnel[Shohruh Not],$K645),"")</f>
        <v/>
      </c>
      <c r="I645" s="18" t="str">
        <f>IFERROR(INDEX(Personnel[Дней в РФ],$K645),"")</f>
        <v/>
      </c>
      <c r="K645" s="23" t="str">
        <f t="array" ref="K645">IFERROR(_xlfn.AGGREGATE(15,6,(ROW(Personnel[Egtim durumu])-MIN(ROW(Personnel[Egtim durumu]))+1)/((Personnel[Egtim durumu]="Dil egitimi tamamlandi sinavdan gecti")),ROWS($K$7:K645)),"")</f>
        <v/>
      </c>
    </row>
    <row r="646" spans="1:11" x14ac:dyDescent="0.25">
      <c r="A646" s="40" t="str">
        <f>IFERROR(INDEX(Personnel[Sicil],$K646),"")</f>
        <v/>
      </c>
      <c r="B646" s="41" t="str">
        <f>IFERROR(INDEX(Personnel[Adi Soyadi],$K646),"")</f>
        <v/>
      </c>
      <c r="C646" s="40" t="str">
        <f>IFERROR(INDEX(Personnel[Vatandaslik],$K646),"")</f>
        <v/>
      </c>
      <c r="D646" s="40" t="str">
        <f>IFERROR(INDEX(Personnel[Santiye],$K646),"")</f>
        <v/>
      </c>
      <c r="E646" s="40" t="str">
        <f>IFERROR(INDEX(Personnel[Ogretmen],$K646),"")</f>
        <v/>
      </c>
      <c r="F646" s="41" t="str">
        <f>IFERROR(INDEX(Personnel[[Sinav ]],$K646),"")</f>
        <v/>
      </c>
      <c r="G646" s="41" t="str">
        <f>IFERROR(INDEX(Personnel[Egtim durumu],$K646),"")</f>
        <v/>
      </c>
      <c r="H646" s="41" t="str">
        <f>IFERROR(INDEX(Personnel[Shohruh Not],$K646),"")</f>
        <v/>
      </c>
      <c r="I646" s="40" t="str">
        <f>IFERROR(INDEX(Personnel[Дней в РФ],$K646),"")</f>
        <v/>
      </c>
      <c r="K646" s="23" t="str">
        <f t="array" ref="K646">IFERROR(_xlfn.AGGREGATE(15,6,(ROW(Personnel[Egtim durumu])-MIN(ROW(Personnel[Egtim durumu]))+1)/((Personnel[Egtim durumu]="Dil egitimi tamamlandi sinavdan gecti")),ROWS($K$7:K646)),"")</f>
        <v/>
      </c>
    </row>
    <row r="647" spans="1:11" x14ac:dyDescent="0.25">
      <c r="A647" s="18" t="str">
        <f>IFERROR(INDEX(Personnel[Sicil],$K647),"")</f>
        <v/>
      </c>
      <c r="B647" s="17" t="str">
        <f>IFERROR(INDEX(Personnel[Adi Soyadi],$K647),"")</f>
        <v/>
      </c>
      <c r="C647" s="18" t="str">
        <f>IFERROR(INDEX(Personnel[Vatandaslik],$K647),"")</f>
        <v/>
      </c>
      <c r="D647" s="18" t="str">
        <f>IFERROR(INDEX(Personnel[Santiye],$K647),"")</f>
        <v/>
      </c>
      <c r="E647" s="18" t="str">
        <f>IFERROR(INDEX(Personnel[Ogretmen],$K647),"")</f>
        <v/>
      </c>
      <c r="F647" s="17" t="str">
        <f>IFERROR(INDEX(Personnel[[Sinav ]],$K647),"")</f>
        <v/>
      </c>
      <c r="G647" s="17" t="str">
        <f>IFERROR(INDEX(Personnel[Egtim durumu],$K647),"")</f>
        <v/>
      </c>
      <c r="H647" s="17" t="str">
        <f>IFERROR(INDEX(Personnel[Shohruh Not],$K647),"")</f>
        <v/>
      </c>
      <c r="I647" s="18" t="str">
        <f>IFERROR(INDEX(Personnel[Дней в РФ],$K647),"")</f>
        <v/>
      </c>
      <c r="K647" s="23" t="str">
        <f t="array" ref="K647">IFERROR(_xlfn.AGGREGATE(15,6,(ROW(Personnel[Egtim durumu])-MIN(ROW(Personnel[Egtim durumu]))+1)/((Personnel[Egtim durumu]="Dil egitimi tamamlandi sinavdan gecti")),ROWS($K$7:K647)),"")</f>
        <v/>
      </c>
    </row>
    <row r="648" spans="1:11" x14ac:dyDescent="0.25">
      <c r="A648" s="40" t="str">
        <f>IFERROR(INDEX(Personnel[Sicil],$K648),"")</f>
        <v/>
      </c>
      <c r="B648" s="41" t="str">
        <f>IFERROR(INDEX(Personnel[Adi Soyadi],$K648),"")</f>
        <v/>
      </c>
      <c r="C648" s="40" t="str">
        <f>IFERROR(INDEX(Personnel[Vatandaslik],$K648),"")</f>
        <v/>
      </c>
      <c r="D648" s="40" t="str">
        <f>IFERROR(INDEX(Personnel[Santiye],$K648),"")</f>
        <v/>
      </c>
      <c r="E648" s="40" t="str">
        <f>IFERROR(INDEX(Personnel[Ogretmen],$K648),"")</f>
        <v/>
      </c>
      <c r="F648" s="41" t="str">
        <f>IFERROR(INDEX(Personnel[[Sinav ]],$K648),"")</f>
        <v/>
      </c>
      <c r="G648" s="41" t="str">
        <f>IFERROR(INDEX(Personnel[Egtim durumu],$K648),"")</f>
        <v/>
      </c>
      <c r="H648" s="41" t="str">
        <f>IFERROR(INDEX(Personnel[Shohruh Not],$K648),"")</f>
        <v/>
      </c>
      <c r="I648" s="40" t="str">
        <f>IFERROR(INDEX(Personnel[Дней в РФ],$K648),"")</f>
        <v/>
      </c>
      <c r="K648" s="23" t="str">
        <f t="array" ref="K648">IFERROR(_xlfn.AGGREGATE(15,6,(ROW(Personnel[Egtim durumu])-MIN(ROW(Personnel[Egtim durumu]))+1)/((Personnel[Egtim durumu]="Dil egitimi tamamlandi sinavdan gecti")),ROWS($K$7:K648)),"")</f>
        <v/>
      </c>
    </row>
    <row r="649" spans="1:11" x14ac:dyDescent="0.25">
      <c r="A649" s="18" t="str">
        <f>IFERROR(INDEX(Personnel[Sicil],$K649),"")</f>
        <v/>
      </c>
      <c r="B649" s="17" t="str">
        <f>IFERROR(INDEX(Personnel[Adi Soyadi],$K649),"")</f>
        <v/>
      </c>
      <c r="C649" s="18" t="str">
        <f>IFERROR(INDEX(Personnel[Vatandaslik],$K649),"")</f>
        <v/>
      </c>
      <c r="D649" s="18" t="str">
        <f>IFERROR(INDEX(Personnel[Santiye],$K649),"")</f>
        <v/>
      </c>
      <c r="E649" s="18" t="str">
        <f>IFERROR(INDEX(Personnel[Ogretmen],$K649),"")</f>
        <v/>
      </c>
      <c r="F649" s="17" t="str">
        <f>IFERROR(INDEX(Personnel[[Sinav ]],$K649),"")</f>
        <v/>
      </c>
      <c r="G649" s="17" t="str">
        <f>IFERROR(INDEX(Personnel[Egtim durumu],$K649),"")</f>
        <v/>
      </c>
      <c r="H649" s="17" t="str">
        <f>IFERROR(INDEX(Personnel[Shohruh Not],$K649),"")</f>
        <v/>
      </c>
      <c r="I649" s="18" t="str">
        <f>IFERROR(INDEX(Personnel[Дней в РФ],$K649),"")</f>
        <v/>
      </c>
      <c r="K649" s="23" t="str">
        <f t="array" ref="K649">IFERROR(_xlfn.AGGREGATE(15,6,(ROW(Personnel[Egtim durumu])-MIN(ROW(Personnel[Egtim durumu]))+1)/((Personnel[Egtim durumu]="Dil egitimi tamamlandi sinavdan gecti")),ROWS($K$7:K649)),"")</f>
        <v/>
      </c>
    </row>
    <row r="650" spans="1:11" x14ac:dyDescent="0.25">
      <c r="A650" s="40" t="str">
        <f>IFERROR(INDEX(Personnel[Sicil],$K650),"")</f>
        <v/>
      </c>
      <c r="B650" s="41" t="str">
        <f>IFERROR(INDEX(Personnel[Adi Soyadi],$K650),"")</f>
        <v/>
      </c>
      <c r="C650" s="40" t="str">
        <f>IFERROR(INDEX(Personnel[Vatandaslik],$K650),"")</f>
        <v/>
      </c>
      <c r="D650" s="40" t="str">
        <f>IFERROR(INDEX(Personnel[Santiye],$K650),"")</f>
        <v/>
      </c>
      <c r="E650" s="40" t="str">
        <f>IFERROR(INDEX(Personnel[Ogretmen],$K650),"")</f>
        <v/>
      </c>
      <c r="F650" s="41" t="str">
        <f>IFERROR(INDEX(Personnel[[Sinav ]],$K650),"")</f>
        <v/>
      </c>
      <c r="G650" s="41" t="str">
        <f>IFERROR(INDEX(Personnel[Egtim durumu],$K650),"")</f>
        <v/>
      </c>
      <c r="H650" s="41" t="str">
        <f>IFERROR(INDEX(Personnel[Shohruh Not],$K650),"")</f>
        <v/>
      </c>
      <c r="I650" s="40" t="str">
        <f>IFERROR(INDEX(Personnel[Дней в РФ],$K650),"")</f>
        <v/>
      </c>
      <c r="K650" s="23" t="str">
        <f t="array" ref="K650">IFERROR(_xlfn.AGGREGATE(15,6,(ROW(Personnel[Egtim durumu])-MIN(ROW(Personnel[Egtim durumu]))+1)/((Personnel[Egtim durumu]="Dil egitimi tamamlandi sinavdan gecti")),ROWS($K$7:K650)),"")</f>
        <v/>
      </c>
    </row>
    <row r="651" spans="1:11" x14ac:dyDescent="0.25">
      <c r="A651" s="18" t="str">
        <f>IFERROR(INDEX(Personnel[Sicil],$K651),"")</f>
        <v/>
      </c>
      <c r="B651" s="17" t="str">
        <f>IFERROR(INDEX(Personnel[Adi Soyadi],$K651),"")</f>
        <v/>
      </c>
      <c r="C651" s="18" t="str">
        <f>IFERROR(INDEX(Personnel[Vatandaslik],$K651),"")</f>
        <v/>
      </c>
      <c r="D651" s="18" t="str">
        <f>IFERROR(INDEX(Personnel[Santiye],$K651),"")</f>
        <v/>
      </c>
      <c r="E651" s="18" t="str">
        <f>IFERROR(INDEX(Personnel[Ogretmen],$K651),"")</f>
        <v/>
      </c>
      <c r="F651" s="17" t="str">
        <f>IFERROR(INDEX(Personnel[[Sinav ]],$K651),"")</f>
        <v/>
      </c>
      <c r="G651" s="17" t="str">
        <f>IFERROR(INDEX(Personnel[Egtim durumu],$K651),"")</f>
        <v/>
      </c>
      <c r="H651" s="17" t="str">
        <f>IFERROR(INDEX(Personnel[Shohruh Not],$K651),"")</f>
        <v/>
      </c>
      <c r="I651" s="18" t="str">
        <f>IFERROR(INDEX(Personnel[Дней в РФ],$K651),"")</f>
        <v/>
      </c>
      <c r="K651" s="23" t="str">
        <f t="array" ref="K651">IFERROR(_xlfn.AGGREGATE(15,6,(ROW(Personnel[Egtim durumu])-MIN(ROW(Personnel[Egtim durumu]))+1)/((Personnel[Egtim durumu]="Dil egitimi tamamlandi sinavdan gecti")),ROWS($K$7:K651)),"")</f>
        <v/>
      </c>
    </row>
    <row r="652" spans="1:11" x14ac:dyDescent="0.25">
      <c r="A652" s="40" t="str">
        <f>IFERROR(INDEX(Personnel[Sicil],$K652),"")</f>
        <v/>
      </c>
      <c r="B652" s="41" t="str">
        <f>IFERROR(INDEX(Personnel[Adi Soyadi],$K652),"")</f>
        <v/>
      </c>
      <c r="C652" s="40" t="str">
        <f>IFERROR(INDEX(Personnel[Vatandaslik],$K652),"")</f>
        <v/>
      </c>
      <c r="D652" s="40" t="str">
        <f>IFERROR(INDEX(Personnel[Santiye],$K652),"")</f>
        <v/>
      </c>
      <c r="E652" s="40" t="str">
        <f>IFERROR(INDEX(Personnel[Ogretmen],$K652),"")</f>
        <v/>
      </c>
      <c r="F652" s="41" t="str">
        <f>IFERROR(INDEX(Personnel[[Sinav ]],$K652),"")</f>
        <v/>
      </c>
      <c r="G652" s="41" t="str">
        <f>IFERROR(INDEX(Personnel[Egtim durumu],$K652),"")</f>
        <v/>
      </c>
      <c r="H652" s="41" t="str">
        <f>IFERROR(INDEX(Personnel[Shohruh Not],$K652),"")</f>
        <v/>
      </c>
      <c r="I652" s="40" t="str">
        <f>IFERROR(INDEX(Personnel[Дней в РФ],$K652),"")</f>
        <v/>
      </c>
      <c r="K652" s="23" t="str">
        <f t="array" ref="K652">IFERROR(_xlfn.AGGREGATE(15,6,(ROW(Personnel[Egtim durumu])-MIN(ROW(Personnel[Egtim durumu]))+1)/((Personnel[Egtim durumu]="Dil egitimi tamamlandi sinavdan gecti")),ROWS($K$7:K652)),"")</f>
        <v/>
      </c>
    </row>
    <row r="653" spans="1:11" x14ac:dyDescent="0.25">
      <c r="A653" s="18" t="str">
        <f>IFERROR(INDEX(Personnel[Sicil],$K653),"")</f>
        <v/>
      </c>
      <c r="B653" s="17" t="str">
        <f>IFERROR(INDEX(Personnel[Adi Soyadi],$K653),"")</f>
        <v/>
      </c>
      <c r="C653" s="18" t="str">
        <f>IFERROR(INDEX(Personnel[Vatandaslik],$K653),"")</f>
        <v/>
      </c>
      <c r="D653" s="18" t="str">
        <f>IFERROR(INDEX(Personnel[Santiye],$K653),"")</f>
        <v/>
      </c>
      <c r="E653" s="18" t="str">
        <f>IFERROR(INDEX(Personnel[Ogretmen],$K653),"")</f>
        <v/>
      </c>
      <c r="F653" s="17" t="str">
        <f>IFERROR(INDEX(Personnel[[Sinav ]],$K653),"")</f>
        <v/>
      </c>
      <c r="G653" s="17" t="str">
        <f>IFERROR(INDEX(Personnel[Egtim durumu],$K653),"")</f>
        <v/>
      </c>
      <c r="H653" s="17" t="str">
        <f>IFERROR(INDEX(Personnel[Shohruh Not],$K653),"")</f>
        <v/>
      </c>
      <c r="I653" s="18" t="str">
        <f>IFERROR(INDEX(Personnel[Дней в РФ],$K653),"")</f>
        <v/>
      </c>
      <c r="K653" s="23" t="str">
        <f t="array" ref="K653">IFERROR(_xlfn.AGGREGATE(15,6,(ROW(Personnel[Egtim durumu])-MIN(ROW(Personnel[Egtim durumu]))+1)/((Personnel[Egtim durumu]="Dil egitimi tamamlandi sinavdan gecti")),ROWS($K$7:K653)),"")</f>
        <v/>
      </c>
    </row>
    <row r="654" spans="1:11" x14ac:dyDescent="0.25">
      <c r="A654" s="40" t="str">
        <f>IFERROR(INDEX(Personnel[Sicil],$K654),"")</f>
        <v/>
      </c>
      <c r="B654" s="41" t="str">
        <f>IFERROR(INDEX(Personnel[Adi Soyadi],$K654),"")</f>
        <v/>
      </c>
      <c r="C654" s="40" t="str">
        <f>IFERROR(INDEX(Personnel[Vatandaslik],$K654),"")</f>
        <v/>
      </c>
      <c r="D654" s="40" t="str">
        <f>IFERROR(INDEX(Personnel[Santiye],$K654),"")</f>
        <v/>
      </c>
      <c r="E654" s="40" t="str">
        <f>IFERROR(INDEX(Personnel[Ogretmen],$K654),"")</f>
        <v/>
      </c>
      <c r="F654" s="41" t="str">
        <f>IFERROR(INDEX(Personnel[[Sinav ]],$K654),"")</f>
        <v/>
      </c>
      <c r="G654" s="41" t="str">
        <f>IFERROR(INDEX(Personnel[Egtim durumu],$K654),"")</f>
        <v/>
      </c>
      <c r="H654" s="41" t="str">
        <f>IFERROR(INDEX(Personnel[Shohruh Not],$K654),"")</f>
        <v/>
      </c>
      <c r="I654" s="40" t="str">
        <f>IFERROR(INDEX(Personnel[Дней в РФ],$K654),"")</f>
        <v/>
      </c>
      <c r="K654" s="23" t="str">
        <f t="array" ref="K654">IFERROR(_xlfn.AGGREGATE(15,6,(ROW(Personnel[Egtim durumu])-MIN(ROW(Personnel[Egtim durumu]))+1)/((Personnel[Egtim durumu]="Dil egitimi tamamlandi sinavdan gecti")),ROWS($K$7:K654)),"")</f>
        <v/>
      </c>
    </row>
    <row r="655" spans="1:11" x14ac:dyDescent="0.25">
      <c r="A655" s="18" t="str">
        <f>IFERROR(INDEX(Personnel[Sicil],$K655),"")</f>
        <v/>
      </c>
      <c r="B655" s="17" t="str">
        <f>IFERROR(INDEX(Personnel[Adi Soyadi],$K655),"")</f>
        <v/>
      </c>
      <c r="C655" s="18" t="str">
        <f>IFERROR(INDEX(Personnel[Vatandaslik],$K655),"")</f>
        <v/>
      </c>
      <c r="D655" s="18" t="str">
        <f>IFERROR(INDEX(Personnel[Santiye],$K655),"")</f>
        <v/>
      </c>
      <c r="E655" s="18" t="str">
        <f>IFERROR(INDEX(Personnel[Ogretmen],$K655),"")</f>
        <v/>
      </c>
      <c r="F655" s="17" t="str">
        <f>IFERROR(INDEX(Personnel[[Sinav ]],$K655),"")</f>
        <v/>
      </c>
      <c r="G655" s="17" t="str">
        <f>IFERROR(INDEX(Personnel[Egtim durumu],$K655),"")</f>
        <v/>
      </c>
      <c r="H655" s="17" t="str">
        <f>IFERROR(INDEX(Personnel[Shohruh Not],$K655),"")</f>
        <v/>
      </c>
      <c r="I655" s="18" t="str">
        <f>IFERROR(INDEX(Personnel[Дней в РФ],$K655),"")</f>
        <v/>
      </c>
      <c r="K655" s="23" t="str">
        <f t="array" ref="K655">IFERROR(_xlfn.AGGREGATE(15,6,(ROW(Personnel[Egtim durumu])-MIN(ROW(Personnel[Egtim durumu]))+1)/((Personnel[Egtim durumu]="Dil egitimi tamamlandi sinavdan gecti")),ROWS($K$7:K655)),"")</f>
        <v/>
      </c>
    </row>
    <row r="656" spans="1:11" x14ac:dyDescent="0.25">
      <c r="A656" s="40" t="str">
        <f>IFERROR(INDEX(Personnel[Sicil],$K656),"")</f>
        <v/>
      </c>
      <c r="B656" s="41" t="str">
        <f>IFERROR(INDEX(Personnel[Adi Soyadi],$K656),"")</f>
        <v/>
      </c>
      <c r="C656" s="40" t="str">
        <f>IFERROR(INDEX(Personnel[Vatandaslik],$K656),"")</f>
        <v/>
      </c>
      <c r="D656" s="40" t="str">
        <f>IFERROR(INDEX(Personnel[Santiye],$K656),"")</f>
        <v/>
      </c>
      <c r="E656" s="40" t="str">
        <f>IFERROR(INDEX(Personnel[Ogretmen],$K656),"")</f>
        <v/>
      </c>
      <c r="F656" s="41" t="str">
        <f>IFERROR(INDEX(Personnel[[Sinav ]],$K656),"")</f>
        <v/>
      </c>
      <c r="G656" s="41" t="str">
        <f>IFERROR(INDEX(Personnel[Egtim durumu],$K656),"")</f>
        <v/>
      </c>
      <c r="H656" s="41" t="str">
        <f>IFERROR(INDEX(Personnel[Shohruh Not],$K656),"")</f>
        <v/>
      </c>
      <c r="I656" s="40" t="str">
        <f>IFERROR(INDEX(Personnel[Дней в РФ],$K656),"")</f>
        <v/>
      </c>
      <c r="K656" s="23" t="str">
        <f t="array" ref="K656">IFERROR(_xlfn.AGGREGATE(15,6,(ROW(Personnel[Egtim durumu])-MIN(ROW(Personnel[Egtim durumu]))+1)/((Personnel[Egtim durumu]="Dil egitimi tamamlandi sinavdan gecti")),ROWS($K$7:K656)),"")</f>
        <v/>
      </c>
    </row>
    <row r="657" spans="1:11" x14ac:dyDescent="0.25">
      <c r="A657" s="18" t="str">
        <f>IFERROR(INDEX(Personnel[Sicil],$K657),"")</f>
        <v/>
      </c>
      <c r="B657" s="17" t="str">
        <f>IFERROR(INDEX(Personnel[Adi Soyadi],$K657),"")</f>
        <v/>
      </c>
      <c r="C657" s="18" t="str">
        <f>IFERROR(INDEX(Personnel[Vatandaslik],$K657),"")</f>
        <v/>
      </c>
      <c r="D657" s="18" t="str">
        <f>IFERROR(INDEX(Personnel[Santiye],$K657),"")</f>
        <v/>
      </c>
      <c r="E657" s="18" t="str">
        <f>IFERROR(INDEX(Personnel[Ogretmen],$K657),"")</f>
        <v/>
      </c>
      <c r="F657" s="17" t="str">
        <f>IFERROR(INDEX(Personnel[[Sinav ]],$K657),"")</f>
        <v/>
      </c>
      <c r="G657" s="17" t="str">
        <f>IFERROR(INDEX(Personnel[Egtim durumu],$K657),"")</f>
        <v/>
      </c>
      <c r="H657" s="17" t="str">
        <f>IFERROR(INDEX(Personnel[Shohruh Not],$K657),"")</f>
        <v/>
      </c>
      <c r="I657" s="18" t="str">
        <f>IFERROR(INDEX(Personnel[Дней в РФ],$K657),"")</f>
        <v/>
      </c>
      <c r="K657" s="23" t="str">
        <f t="array" ref="K657">IFERROR(_xlfn.AGGREGATE(15,6,(ROW(Personnel[Egtim durumu])-MIN(ROW(Personnel[Egtim durumu]))+1)/((Personnel[Egtim durumu]="Dil egitimi tamamlandi sinavdan gecti")),ROWS($K$7:K657)),"")</f>
        <v/>
      </c>
    </row>
    <row r="658" spans="1:11" x14ac:dyDescent="0.25">
      <c r="A658" s="40" t="str">
        <f>IFERROR(INDEX(Personnel[Sicil],$K658),"")</f>
        <v/>
      </c>
      <c r="B658" s="41" t="str">
        <f>IFERROR(INDEX(Personnel[Adi Soyadi],$K658),"")</f>
        <v/>
      </c>
      <c r="C658" s="40" t="str">
        <f>IFERROR(INDEX(Personnel[Vatandaslik],$K658),"")</f>
        <v/>
      </c>
      <c r="D658" s="40" t="str">
        <f>IFERROR(INDEX(Personnel[Santiye],$K658),"")</f>
        <v/>
      </c>
      <c r="E658" s="40" t="str">
        <f>IFERROR(INDEX(Personnel[Ogretmen],$K658),"")</f>
        <v/>
      </c>
      <c r="F658" s="41" t="str">
        <f>IFERROR(INDEX(Personnel[[Sinav ]],$K658),"")</f>
        <v/>
      </c>
      <c r="G658" s="41" t="str">
        <f>IFERROR(INDEX(Personnel[Egtim durumu],$K658),"")</f>
        <v/>
      </c>
      <c r="H658" s="41" t="str">
        <f>IFERROR(INDEX(Personnel[Shohruh Not],$K658),"")</f>
        <v/>
      </c>
      <c r="I658" s="40" t="str">
        <f>IFERROR(INDEX(Personnel[Дней в РФ],$K658),"")</f>
        <v/>
      </c>
      <c r="K658" s="23" t="str">
        <f t="array" ref="K658">IFERROR(_xlfn.AGGREGATE(15,6,(ROW(Personnel[Egtim durumu])-MIN(ROW(Personnel[Egtim durumu]))+1)/((Personnel[Egtim durumu]="Dil egitimi tamamlandi sinavdan gecti")),ROWS($K$7:K658)),"")</f>
        <v/>
      </c>
    </row>
    <row r="659" spans="1:11" x14ac:dyDescent="0.25">
      <c r="A659" s="18" t="str">
        <f>IFERROR(INDEX(Personnel[Sicil],$K659),"")</f>
        <v/>
      </c>
      <c r="B659" s="17" t="str">
        <f>IFERROR(INDEX(Personnel[Adi Soyadi],$K659),"")</f>
        <v/>
      </c>
      <c r="C659" s="18" t="str">
        <f>IFERROR(INDEX(Personnel[Vatandaslik],$K659),"")</f>
        <v/>
      </c>
      <c r="D659" s="18" t="str">
        <f>IFERROR(INDEX(Personnel[Santiye],$K659),"")</f>
        <v/>
      </c>
      <c r="E659" s="18" t="str">
        <f>IFERROR(INDEX(Personnel[Ogretmen],$K659),"")</f>
        <v/>
      </c>
      <c r="F659" s="17" t="str">
        <f>IFERROR(INDEX(Personnel[[Sinav ]],$K659),"")</f>
        <v/>
      </c>
      <c r="G659" s="17" t="str">
        <f>IFERROR(INDEX(Personnel[Egtim durumu],$K659),"")</f>
        <v/>
      </c>
      <c r="H659" s="17" t="str">
        <f>IFERROR(INDEX(Personnel[Shohruh Not],$K659),"")</f>
        <v/>
      </c>
      <c r="I659" s="18" t="str">
        <f>IFERROR(INDEX(Personnel[Дней в РФ],$K659),"")</f>
        <v/>
      </c>
      <c r="K659" s="23" t="str">
        <f t="array" ref="K659">IFERROR(_xlfn.AGGREGATE(15,6,(ROW(Personnel[Egtim durumu])-MIN(ROW(Personnel[Egtim durumu]))+1)/((Personnel[Egtim durumu]="Dil egitimi tamamlandi sinavdan gecti")),ROWS($K$7:K659)),"")</f>
        <v/>
      </c>
    </row>
    <row r="660" spans="1:11" x14ac:dyDescent="0.25">
      <c r="A660" s="40" t="str">
        <f>IFERROR(INDEX(Personnel[Sicil],$K660),"")</f>
        <v/>
      </c>
      <c r="B660" s="41" t="str">
        <f>IFERROR(INDEX(Personnel[Adi Soyadi],$K660),"")</f>
        <v/>
      </c>
      <c r="C660" s="40" t="str">
        <f>IFERROR(INDEX(Personnel[Vatandaslik],$K660),"")</f>
        <v/>
      </c>
      <c r="D660" s="40" t="str">
        <f>IFERROR(INDEX(Personnel[Santiye],$K660),"")</f>
        <v/>
      </c>
      <c r="E660" s="40" t="str">
        <f>IFERROR(INDEX(Personnel[Ogretmen],$K660),"")</f>
        <v/>
      </c>
      <c r="F660" s="41" t="str">
        <f>IFERROR(INDEX(Personnel[[Sinav ]],$K660),"")</f>
        <v/>
      </c>
      <c r="G660" s="41" t="str">
        <f>IFERROR(INDEX(Personnel[Egtim durumu],$K660),"")</f>
        <v/>
      </c>
      <c r="H660" s="41" t="str">
        <f>IFERROR(INDEX(Personnel[Shohruh Not],$K660),"")</f>
        <v/>
      </c>
      <c r="I660" s="40" t="str">
        <f>IFERROR(INDEX(Personnel[Дней в РФ],$K660),"")</f>
        <v/>
      </c>
      <c r="K660" s="23" t="str">
        <f t="array" ref="K660">IFERROR(_xlfn.AGGREGATE(15,6,(ROW(Personnel[Egtim durumu])-MIN(ROW(Personnel[Egtim durumu]))+1)/((Personnel[Egtim durumu]="Dil egitimi tamamlandi sinavdan gecti")),ROWS($K$7:K660)),"")</f>
        <v/>
      </c>
    </row>
    <row r="661" spans="1:11" x14ac:dyDescent="0.25">
      <c r="A661" s="18" t="str">
        <f>IFERROR(INDEX(Personnel[Sicil],$K661),"")</f>
        <v/>
      </c>
      <c r="B661" s="17" t="str">
        <f>IFERROR(INDEX(Personnel[Adi Soyadi],$K661),"")</f>
        <v/>
      </c>
      <c r="C661" s="18" t="str">
        <f>IFERROR(INDEX(Personnel[Vatandaslik],$K661),"")</f>
        <v/>
      </c>
      <c r="D661" s="18" t="str">
        <f>IFERROR(INDEX(Personnel[Santiye],$K661),"")</f>
        <v/>
      </c>
      <c r="E661" s="18" t="str">
        <f>IFERROR(INDEX(Personnel[Ogretmen],$K661),"")</f>
        <v/>
      </c>
      <c r="F661" s="17" t="str">
        <f>IFERROR(INDEX(Personnel[[Sinav ]],$K661),"")</f>
        <v/>
      </c>
      <c r="G661" s="17" t="str">
        <f>IFERROR(INDEX(Personnel[Egtim durumu],$K661),"")</f>
        <v/>
      </c>
      <c r="H661" s="17" t="str">
        <f>IFERROR(INDEX(Personnel[Shohruh Not],$K661),"")</f>
        <v/>
      </c>
      <c r="I661" s="18" t="str">
        <f>IFERROR(INDEX(Personnel[Дней в РФ],$K661),"")</f>
        <v/>
      </c>
      <c r="K661" s="23" t="str">
        <f t="array" ref="K661">IFERROR(_xlfn.AGGREGATE(15,6,(ROW(Personnel[Egtim durumu])-MIN(ROW(Personnel[Egtim durumu]))+1)/((Personnel[Egtim durumu]="Dil egitimi tamamlandi sinavdan gecti")),ROWS($K$7:K661)),"")</f>
        <v/>
      </c>
    </row>
    <row r="662" spans="1:11" x14ac:dyDescent="0.25">
      <c r="A662" s="40" t="str">
        <f>IFERROR(INDEX(Personnel[Sicil],$K662),"")</f>
        <v/>
      </c>
      <c r="B662" s="41" t="str">
        <f>IFERROR(INDEX(Personnel[Adi Soyadi],$K662),"")</f>
        <v/>
      </c>
      <c r="C662" s="40" t="str">
        <f>IFERROR(INDEX(Personnel[Vatandaslik],$K662),"")</f>
        <v/>
      </c>
      <c r="D662" s="40" t="str">
        <f>IFERROR(INDEX(Personnel[Santiye],$K662),"")</f>
        <v/>
      </c>
      <c r="E662" s="40" t="str">
        <f>IFERROR(INDEX(Personnel[Ogretmen],$K662),"")</f>
        <v/>
      </c>
      <c r="F662" s="41" t="str">
        <f>IFERROR(INDEX(Personnel[[Sinav ]],$K662),"")</f>
        <v/>
      </c>
      <c r="G662" s="41" t="str">
        <f>IFERROR(INDEX(Personnel[Egtim durumu],$K662),"")</f>
        <v/>
      </c>
      <c r="H662" s="41" t="str">
        <f>IFERROR(INDEX(Personnel[Shohruh Not],$K662),"")</f>
        <v/>
      </c>
      <c r="I662" s="40" t="str">
        <f>IFERROR(INDEX(Personnel[Дней в РФ],$K662),"")</f>
        <v/>
      </c>
      <c r="K662" s="23" t="str">
        <f t="array" ref="K662">IFERROR(_xlfn.AGGREGATE(15,6,(ROW(Personnel[Egtim durumu])-MIN(ROW(Personnel[Egtim durumu]))+1)/((Personnel[Egtim durumu]="Dil egitimi tamamlandi sinavdan gecti")),ROWS($K$7:K662)),"")</f>
        <v/>
      </c>
    </row>
    <row r="663" spans="1:11" x14ac:dyDescent="0.25">
      <c r="A663" s="18" t="str">
        <f>IFERROR(INDEX(Personnel[Sicil],$K663),"")</f>
        <v/>
      </c>
      <c r="B663" s="17" t="str">
        <f>IFERROR(INDEX(Personnel[Adi Soyadi],$K663),"")</f>
        <v/>
      </c>
      <c r="C663" s="18" t="str">
        <f>IFERROR(INDEX(Personnel[Vatandaslik],$K663),"")</f>
        <v/>
      </c>
      <c r="D663" s="18" t="str">
        <f>IFERROR(INDEX(Personnel[Santiye],$K663),"")</f>
        <v/>
      </c>
      <c r="E663" s="18" t="str">
        <f>IFERROR(INDEX(Personnel[Ogretmen],$K663),"")</f>
        <v/>
      </c>
      <c r="F663" s="17" t="str">
        <f>IFERROR(INDEX(Personnel[[Sinav ]],$K663),"")</f>
        <v/>
      </c>
      <c r="G663" s="17" t="str">
        <f>IFERROR(INDEX(Personnel[Egtim durumu],$K663),"")</f>
        <v/>
      </c>
      <c r="H663" s="17" t="str">
        <f>IFERROR(INDEX(Personnel[Shohruh Not],$K663),"")</f>
        <v/>
      </c>
      <c r="I663" s="18" t="str">
        <f>IFERROR(INDEX(Personnel[Дней в РФ],$K663),"")</f>
        <v/>
      </c>
      <c r="K663" s="23" t="str">
        <f t="array" ref="K663">IFERROR(_xlfn.AGGREGATE(15,6,(ROW(Personnel[Egtim durumu])-MIN(ROW(Personnel[Egtim durumu]))+1)/((Personnel[Egtim durumu]="Dil egitimi tamamlandi sinavdan gecti")),ROWS($K$7:K663)),"")</f>
        <v/>
      </c>
    </row>
    <row r="664" spans="1:11" x14ac:dyDescent="0.25">
      <c r="A664" s="40" t="str">
        <f>IFERROR(INDEX(Personnel[Sicil],$K664),"")</f>
        <v/>
      </c>
      <c r="B664" s="41" t="str">
        <f>IFERROR(INDEX(Personnel[Adi Soyadi],$K664),"")</f>
        <v/>
      </c>
      <c r="C664" s="40" t="str">
        <f>IFERROR(INDEX(Personnel[Vatandaslik],$K664),"")</f>
        <v/>
      </c>
      <c r="D664" s="40" t="str">
        <f>IFERROR(INDEX(Personnel[Santiye],$K664),"")</f>
        <v/>
      </c>
      <c r="E664" s="40" t="str">
        <f>IFERROR(INDEX(Personnel[Ogretmen],$K664),"")</f>
        <v/>
      </c>
      <c r="F664" s="41" t="str">
        <f>IFERROR(INDEX(Personnel[[Sinav ]],$K664),"")</f>
        <v/>
      </c>
      <c r="G664" s="41" t="str">
        <f>IFERROR(INDEX(Personnel[Egtim durumu],$K664),"")</f>
        <v/>
      </c>
      <c r="H664" s="41" t="str">
        <f>IFERROR(INDEX(Personnel[Shohruh Not],$K664),"")</f>
        <v/>
      </c>
      <c r="I664" s="40" t="str">
        <f>IFERROR(INDEX(Personnel[Дней в РФ],$K664),"")</f>
        <v/>
      </c>
      <c r="K664" s="23" t="str">
        <f t="array" ref="K664">IFERROR(_xlfn.AGGREGATE(15,6,(ROW(Personnel[Egtim durumu])-MIN(ROW(Personnel[Egtim durumu]))+1)/((Personnel[Egtim durumu]="Dil egitimi tamamlandi sinavdan gecti")),ROWS($K$7:K664)),"")</f>
        <v/>
      </c>
    </row>
    <row r="665" spans="1:11" x14ac:dyDescent="0.25">
      <c r="A665" s="18" t="str">
        <f>IFERROR(INDEX(Personnel[Sicil],$K665),"")</f>
        <v/>
      </c>
      <c r="B665" s="17" t="str">
        <f>IFERROR(INDEX(Personnel[Adi Soyadi],$K665),"")</f>
        <v/>
      </c>
      <c r="C665" s="18" t="str">
        <f>IFERROR(INDEX(Personnel[Vatandaslik],$K665),"")</f>
        <v/>
      </c>
      <c r="D665" s="18" t="str">
        <f>IFERROR(INDEX(Personnel[Santiye],$K665),"")</f>
        <v/>
      </c>
      <c r="E665" s="18" t="str">
        <f>IFERROR(INDEX(Personnel[Ogretmen],$K665),"")</f>
        <v/>
      </c>
      <c r="F665" s="17" t="str">
        <f>IFERROR(INDEX(Personnel[[Sinav ]],$K665),"")</f>
        <v/>
      </c>
      <c r="G665" s="17" t="str">
        <f>IFERROR(INDEX(Personnel[Egtim durumu],$K665),"")</f>
        <v/>
      </c>
      <c r="H665" s="17" t="str">
        <f>IFERROR(INDEX(Personnel[Shohruh Not],$K665),"")</f>
        <v/>
      </c>
      <c r="I665" s="18" t="str">
        <f>IFERROR(INDEX(Personnel[Дней в РФ],$K665),"")</f>
        <v/>
      </c>
      <c r="K665" s="23" t="str">
        <f t="array" ref="K665">IFERROR(_xlfn.AGGREGATE(15,6,(ROW(Personnel[Egtim durumu])-MIN(ROW(Personnel[Egtim durumu]))+1)/((Personnel[Egtim durumu]="Dil egitimi tamamlandi sinavdan gecti")),ROWS($K$7:K665)),"")</f>
        <v/>
      </c>
    </row>
    <row r="666" spans="1:11" x14ac:dyDescent="0.25">
      <c r="A666" s="40" t="str">
        <f>IFERROR(INDEX(Personnel[Sicil],$K666),"")</f>
        <v/>
      </c>
      <c r="B666" s="41" t="str">
        <f>IFERROR(INDEX(Personnel[Adi Soyadi],$K666),"")</f>
        <v/>
      </c>
      <c r="C666" s="40" t="str">
        <f>IFERROR(INDEX(Personnel[Vatandaslik],$K666),"")</f>
        <v/>
      </c>
      <c r="D666" s="40" t="str">
        <f>IFERROR(INDEX(Personnel[Santiye],$K666),"")</f>
        <v/>
      </c>
      <c r="E666" s="40" t="str">
        <f>IFERROR(INDEX(Personnel[Ogretmen],$K666),"")</f>
        <v/>
      </c>
      <c r="F666" s="41" t="str">
        <f>IFERROR(INDEX(Personnel[[Sinav ]],$K666),"")</f>
        <v/>
      </c>
      <c r="G666" s="41" t="str">
        <f>IFERROR(INDEX(Personnel[Egtim durumu],$K666),"")</f>
        <v/>
      </c>
      <c r="H666" s="41" t="str">
        <f>IFERROR(INDEX(Personnel[Shohruh Not],$K666),"")</f>
        <v/>
      </c>
      <c r="I666" s="40" t="str">
        <f>IFERROR(INDEX(Personnel[Дней в РФ],$K666),"")</f>
        <v/>
      </c>
      <c r="K666" s="23" t="str">
        <f t="array" ref="K666">IFERROR(_xlfn.AGGREGATE(15,6,(ROW(Personnel[Egtim durumu])-MIN(ROW(Personnel[Egtim durumu]))+1)/((Personnel[Egtim durumu]="Dil egitimi tamamlandi sinavdan gecti")),ROWS($K$7:K666)),"")</f>
        <v/>
      </c>
    </row>
    <row r="667" spans="1:11" x14ac:dyDescent="0.25">
      <c r="A667" s="18" t="str">
        <f>IFERROR(INDEX(Personnel[Sicil],$K667),"")</f>
        <v/>
      </c>
      <c r="B667" s="17" t="str">
        <f>IFERROR(INDEX(Personnel[Adi Soyadi],$K667),"")</f>
        <v/>
      </c>
      <c r="C667" s="18" t="str">
        <f>IFERROR(INDEX(Personnel[Vatandaslik],$K667),"")</f>
        <v/>
      </c>
      <c r="D667" s="18" t="str">
        <f>IFERROR(INDEX(Personnel[Santiye],$K667),"")</f>
        <v/>
      </c>
      <c r="E667" s="18" t="str">
        <f>IFERROR(INDEX(Personnel[Ogretmen],$K667),"")</f>
        <v/>
      </c>
      <c r="F667" s="17" t="str">
        <f>IFERROR(INDEX(Personnel[[Sinav ]],$K667),"")</f>
        <v/>
      </c>
      <c r="G667" s="17" t="str">
        <f>IFERROR(INDEX(Personnel[Egtim durumu],$K667),"")</f>
        <v/>
      </c>
      <c r="H667" s="17" t="str">
        <f>IFERROR(INDEX(Personnel[Shohruh Not],$K667),"")</f>
        <v/>
      </c>
      <c r="I667" s="18" t="str">
        <f>IFERROR(INDEX(Personnel[Дней в РФ],$K667),"")</f>
        <v/>
      </c>
      <c r="K667" s="23" t="str">
        <f t="array" ref="K667">IFERROR(_xlfn.AGGREGATE(15,6,(ROW(Personnel[Egtim durumu])-MIN(ROW(Personnel[Egtim durumu]))+1)/((Personnel[Egtim durumu]="Dil egitimi tamamlandi sinavdan gecti")),ROWS($K$7:K667)),"")</f>
        <v/>
      </c>
    </row>
    <row r="668" spans="1:11" x14ac:dyDescent="0.25">
      <c r="A668" s="40" t="str">
        <f>IFERROR(INDEX(Personnel[Sicil],$K668),"")</f>
        <v/>
      </c>
      <c r="B668" s="41" t="str">
        <f>IFERROR(INDEX(Personnel[Adi Soyadi],$K668),"")</f>
        <v/>
      </c>
      <c r="C668" s="40" t="str">
        <f>IFERROR(INDEX(Personnel[Vatandaslik],$K668),"")</f>
        <v/>
      </c>
      <c r="D668" s="40" t="str">
        <f>IFERROR(INDEX(Personnel[Santiye],$K668),"")</f>
        <v/>
      </c>
      <c r="E668" s="40" t="str">
        <f>IFERROR(INDEX(Personnel[Ogretmen],$K668),"")</f>
        <v/>
      </c>
      <c r="F668" s="41" t="str">
        <f>IFERROR(INDEX(Personnel[[Sinav ]],$K668),"")</f>
        <v/>
      </c>
      <c r="G668" s="41" t="str">
        <f>IFERROR(INDEX(Personnel[Egtim durumu],$K668),"")</f>
        <v/>
      </c>
      <c r="H668" s="41" t="str">
        <f>IFERROR(INDEX(Personnel[Shohruh Not],$K668),"")</f>
        <v/>
      </c>
      <c r="I668" s="40" t="str">
        <f>IFERROR(INDEX(Personnel[Дней в РФ],$K668),"")</f>
        <v/>
      </c>
      <c r="K668" s="23" t="str">
        <f t="array" ref="K668">IFERROR(_xlfn.AGGREGATE(15,6,(ROW(Personnel[Egtim durumu])-MIN(ROW(Personnel[Egtim durumu]))+1)/((Personnel[Egtim durumu]="Dil egitimi tamamlandi sinavdan gecti")),ROWS($K$7:K668)),"")</f>
        <v/>
      </c>
    </row>
    <row r="669" spans="1:11" x14ac:dyDescent="0.25">
      <c r="A669" s="18" t="str">
        <f>IFERROR(INDEX(Personnel[Sicil],$K669),"")</f>
        <v/>
      </c>
      <c r="B669" s="17" t="str">
        <f>IFERROR(INDEX(Personnel[Adi Soyadi],$K669),"")</f>
        <v/>
      </c>
      <c r="C669" s="18" t="str">
        <f>IFERROR(INDEX(Personnel[Vatandaslik],$K669),"")</f>
        <v/>
      </c>
      <c r="D669" s="18" t="str">
        <f>IFERROR(INDEX(Personnel[Santiye],$K669),"")</f>
        <v/>
      </c>
      <c r="E669" s="18" t="str">
        <f>IFERROR(INDEX(Personnel[Ogretmen],$K669),"")</f>
        <v/>
      </c>
      <c r="F669" s="17" t="str">
        <f>IFERROR(INDEX(Personnel[[Sinav ]],$K669),"")</f>
        <v/>
      </c>
      <c r="G669" s="17" t="str">
        <f>IFERROR(INDEX(Personnel[Egtim durumu],$K669),"")</f>
        <v/>
      </c>
      <c r="H669" s="17" t="str">
        <f>IFERROR(INDEX(Personnel[Shohruh Not],$K669),"")</f>
        <v/>
      </c>
      <c r="I669" s="18" t="str">
        <f>IFERROR(INDEX(Personnel[Дней в РФ],$K669),"")</f>
        <v/>
      </c>
      <c r="K669" s="23" t="str">
        <f t="array" ref="K669">IFERROR(_xlfn.AGGREGATE(15,6,(ROW(Personnel[Egtim durumu])-MIN(ROW(Personnel[Egtim durumu]))+1)/((Personnel[Egtim durumu]="Dil egitimi tamamlandi sinavdan gecti")),ROWS($K$7:K669)),"")</f>
        <v/>
      </c>
    </row>
    <row r="670" spans="1:11" x14ac:dyDescent="0.25">
      <c r="A670" s="40" t="str">
        <f>IFERROR(INDEX(Personnel[Sicil],$K670),"")</f>
        <v/>
      </c>
      <c r="B670" s="41" t="str">
        <f>IFERROR(INDEX(Personnel[Adi Soyadi],$K670),"")</f>
        <v/>
      </c>
      <c r="C670" s="40" t="str">
        <f>IFERROR(INDEX(Personnel[Vatandaslik],$K670),"")</f>
        <v/>
      </c>
      <c r="D670" s="40" t="str">
        <f>IFERROR(INDEX(Personnel[Santiye],$K670),"")</f>
        <v/>
      </c>
      <c r="E670" s="40" t="str">
        <f>IFERROR(INDEX(Personnel[Ogretmen],$K670),"")</f>
        <v/>
      </c>
      <c r="F670" s="41" t="str">
        <f>IFERROR(INDEX(Personnel[[Sinav ]],$K670),"")</f>
        <v/>
      </c>
      <c r="G670" s="41" t="str">
        <f>IFERROR(INDEX(Personnel[Egtim durumu],$K670),"")</f>
        <v/>
      </c>
      <c r="H670" s="41" t="str">
        <f>IFERROR(INDEX(Personnel[Shohruh Not],$K670),"")</f>
        <v/>
      </c>
      <c r="I670" s="40" t="str">
        <f>IFERROR(INDEX(Personnel[Дней в РФ],$K670),"")</f>
        <v/>
      </c>
      <c r="K670" s="23" t="str">
        <f t="array" ref="K670">IFERROR(_xlfn.AGGREGATE(15,6,(ROW(Personnel[Egtim durumu])-MIN(ROW(Personnel[Egtim durumu]))+1)/((Personnel[Egtim durumu]="Dil egitimi tamamlandi sinavdan gecti")),ROWS($K$7:K670)),"")</f>
        <v/>
      </c>
    </row>
    <row r="671" spans="1:11" x14ac:dyDescent="0.25">
      <c r="A671" s="18" t="str">
        <f>IFERROR(INDEX(Personnel[Sicil],$K671),"")</f>
        <v/>
      </c>
      <c r="B671" s="17" t="str">
        <f>IFERROR(INDEX(Personnel[Adi Soyadi],$K671),"")</f>
        <v/>
      </c>
      <c r="C671" s="18" t="str">
        <f>IFERROR(INDEX(Personnel[Vatandaslik],$K671),"")</f>
        <v/>
      </c>
      <c r="D671" s="18" t="str">
        <f>IFERROR(INDEX(Personnel[Santiye],$K671),"")</f>
        <v/>
      </c>
      <c r="E671" s="18" t="str">
        <f>IFERROR(INDEX(Personnel[Ogretmen],$K671),"")</f>
        <v/>
      </c>
      <c r="F671" s="17" t="str">
        <f>IFERROR(INDEX(Personnel[[Sinav ]],$K671),"")</f>
        <v/>
      </c>
      <c r="G671" s="17" t="str">
        <f>IFERROR(INDEX(Personnel[Egtim durumu],$K671),"")</f>
        <v/>
      </c>
      <c r="H671" s="17" t="str">
        <f>IFERROR(INDEX(Personnel[Shohruh Not],$K671),"")</f>
        <v/>
      </c>
      <c r="I671" s="18" t="str">
        <f>IFERROR(INDEX(Personnel[Дней в РФ],$K671),"")</f>
        <v/>
      </c>
      <c r="K671" s="23" t="str">
        <f t="array" ref="K671">IFERROR(_xlfn.AGGREGATE(15,6,(ROW(Personnel[Egtim durumu])-MIN(ROW(Personnel[Egtim durumu]))+1)/((Personnel[Egtim durumu]="Dil egitimi tamamlandi sinavdan gecti")),ROWS($K$7:K671)),"")</f>
        <v/>
      </c>
    </row>
    <row r="672" spans="1:11" x14ac:dyDescent="0.25">
      <c r="A672" s="40" t="str">
        <f>IFERROR(INDEX(Personnel[Sicil],$K672),"")</f>
        <v/>
      </c>
      <c r="B672" s="41" t="str">
        <f>IFERROR(INDEX(Personnel[Adi Soyadi],$K672),"")</f>
        <v/>
      </c>
      <c r="C672" s="40" t="str">
        <f>IFERROR(INDEX(Personnel[Vatandaslik],$K672),"")</f>
        <v/>
      </c>
      <c r="D672" s="40" t="str">
        <f>IFERROR(INDEX(Personnel[Santiye],$K672),"")</f>
        <v/>
      </c>
      <c r="E672" s="40" t="str">
        <f>IFERROR(INDEX(Personnel[Ogretmen],$K672),"")</f>
        <v/>
      </c>
      <c r="F672" s="41" t="str">
        <f>IFERROR(INDEX(Personnel[[Sinav ]],$K672),"")</f>
        <v/>
      </c>
      <c r="G672" s="41" t="str">
        <f>IFERROR(INDEX(Personnel[Egtim durumu],$K672),"")</f>
        <v/>
      </c>
      <c r="H672" s="41" t="str">
        <f>IFERROR(INDEX(Personnel[Shohruh Not],$K672),"")</f>
        <v/>
      </c>
      <c r="I672" s="40" t="str">
        <f>IFERROR(INDEX(Personnel[Дней в РФ],$K672),"")</f>
        <v/>
      </c>
      <c r="K672" s="23" t="str">
        <f t="array" ref="K672">IFERROR(_xlfn.AGGREGATE(15,6,(ROW(Personnel[Egtim durumu])-MIN(ROW(Personnel[Egtim durumu]))+1)/((Personnel[Egtim durumu]="Dil egitimi tamamlandi sinavdan gecti")),ROWS($K$7:K672)),"")</f>
        <v/>
      </c>
    </row>
    <row r="673" spans="1:11" x14ac:dyDescent="0.25">
      <c r="A673" s="18" t="str">
        <f>IFERROR(INDEX(Personnel[Sicil],$K673),"")</f>
        <v/>
      </c>
      <c r="B673" s="17" t="str">
        <f>IFERROR(INDEX(Personnel[Adi Soyadi],$K673),"")</f>
        <v/>
      </c>
      <c r="C673" s="18" t="str">
        <f>IFERROR(INDEX(Personnel[Vatandaslik],$K673),"")</f>
        <v/>
      </c>
      <c r="D673" s="18" t="str">
        <f>IFERROR(INDEX(Personnel[Santiye],$K673),"")</f>
        <v/>
      </c>
      <c r="E673" s="18" t="str">
        <f>IFERROR(INDEX(Personnel[Ogretmen],$K673),"")</f>
        <v/>
      </c>
      <c r="F673" s="17" t="str">
        <f>IFERROR(INDEX(Personnel[[Sinav ]],$K673),"")</f>
        <v/>
      </c>
      <c r="G673" s="17" t="str">
        <f>IFERROR(INDEX(Personnel[Egtim durumu],$K673),"")</f>
        <v/>
      </c>
      <c r="H673" s="17" t="str">
        <f>IFERROR(INDEX(Personnel[Shohruh Not],$K673),"")</f>
        <v/>
      </c>
      <c r="I673" s="18" t="str">
        <f>IFERROR(INDEX(Personnel[Дней в РФ],$K673),"")</f>
        <v/>
      </c>
      <c r="K673" s="23" t="str">
        <f t="array" ref="K673">IFERROR(_xlfn.AGGREGATE(15,6,(ROW(Personnel[Egtim durumu])-MIN(ROW(Personnel[Egtim durumu]))+1)/((Personnel[Egtim durumu]="Dil egitimi tamamlandi sinavdan gecti")),ROWS($K$7:K673)),"")</f>
        <v/>
      </c>
    </row>
    <row r="674" spans="1:11" x14ac:dyDescent="0.25">
      <c r="A674" s="40" t="str">
        <f>IFERROR(INDEX(Personnel[Sicil],$K674),"")</f>
        <v/>
      </c>
      <c r="B674" s="41" t="str">
        <f>IFERROR(INDEX(Personnel[Adi Soyadi],$K674),"")</f>
        <v/>
      </c>
      <c r="C674" s="40" t="str">
        <f>IFERROR(INDEX(Personnel[Vatandaslik],$K674),"")</f>
        <v/>
      </c>
      <c r="D674" s="40" t="str">
        <f>IFERROR(INDEX(Personnel[Santiye],$K674),"")</f>
        <v/>
      </c>
      <c r="E674" s="40" t="str">
        <f>IFERROR(INDEX(Personnel[Ogretmen],$K674),"")</f>
        <v/>
      </c>
      <c r="F674" s="41" t="str">
        <f>IFERROR(INDEX(Personnel[[Sinav ]],$K674),"")</f>
        <v/>
      </c>
      <c r="G674" s="41" t="str">
        <f>IFERROR(INDEX(Personnel[Egtim durumu],$K674),"")</f>
        <v/>
      </c>
      <c r="H674" s="41" t="str">
        <f>IFERROR(INDEX(Personnel[Shohruh Not],$K674),"")</f>
        <v/>
      </c>
      <c r="I674" s="40" t="str">
        <f>IFERROR(INDEX(Personnel[Дней в РФ],$K674),"")</f>
        <v/>
      </c>
      <c r="K674" s="23" t="str">
        <f t="array" ref="K674">IFERROR(_xlfn.AGGREGATE(15,6,(ROW(Personnel[Egtim durumu])-MIN(ROW(Personnel[Egtim durumu]))+1)/((Personnel[Egtim durumu]="Dil egitimi tamamlandi sinavdan gecti")),ROWS($K$7:K674)),"")</f>
        <v/>
      </c>
    </row>
    <row r="675" spans="1:11" x14ac:dyDescent="0.25">
      <c r="A675" s="18" t="str">
        <f>IFERROR(INDEX(Personnel[Sicil],$K675),"")</f>
        <v/>
      </c>
      <c r="B675" s="17" t="str">
        <f>IFERROR(INDEX(Personnel[Adi Soyadi],$K675),"")</f>
        <v/>
      </c>
      <c r="C675" s="18" t="str">
        <f>IFERROR(INDEX(Personnel[Vatandaslik],$K675),"")</f>
        <v/>
      </c>
      <c r="D675" s="18" t="str">
        <f>IFERROR(INDEX(Personnel[Santiye],$K675),"")</f>
        <v/>
      </c>
      <c r="E675" s="18" t="str">
        <f>IFERROR(INDEX(Personnel[Ogretmen],$K675),"")</f>
        <v/>
      </c>
      <c r="F675" s="17" t="str">
        <f>IFERROR(INDEX(Personnel[[Sinav ]],$K675),"")</f>
        <v/>
      </c>
      <c r="G675" s="17" t="str">
        <f>IFERROR(INDEX(Personnel[Egtim durumu],$K675),"")</f>
        <v/>
      </c>
      <c r="H675" s="17" t="str">
        <f>IFERROR(INDEX(Personnel[Shohruh Not],$K675),"")</f>
        <v/>
      </c>
      <c r="I675" s="18" t="str">
        <f>IFERROR(INDEX(Personnel[Дней в РФ],$K675),"")</f>
        <v/>
      </c>
      <c r="K675" s="23" t="str">
        <f t="array" ref="K675">IFERROR(_xlfn.AGGREGATE(15,6,(ROW(Personnel[Egtim durumu])-MIN(ROW(Personnel[Egtim durumu]))+1)/((Personnel[Egtim durumu]="Dil egitimi tamamlandi sinavdan gecti")),ROWS($K$7:K675)),"")</f>
        <v/>
      </c>
    </row>
    <row r="676" spans="1:11" x14ac:dyDescent="0.25">
      <c r="A676" s="40" t="str">
        <f>IFERROR(INDEX(Personnel[Sicil],$K676),"")</f>
        <v/>
      </c>
      <c r="B676" s="41" t="str">
        <f>IFERROR(INDEX(Personnel[Adi Soyadi],$K676),"")</f>
        <v/>
      </c>
      <c r="C676" s="40" t="str">
        <f>IFERROR(INDEX(Personnel[Vatandaslik],$K676),"")</f>
        <v/>
      </c>
      <c r="D676" s="40" t="str">
        <f>IFERROR(INDEX(Personnel[Santiye],$K676),"")</f>
        <v/>
      </c>
      <c r="E676" s="40" t="str">
        <f>IFERROR(INDEX(Personnel[Ogretmen],$K676),"")</f>
        <v/>
      </c>
      <c r="F676" s="41" t="str">
        <f>IFERROR(INDEX(Personnel[[Sinav ]],$K676),"")</f>
        <v/>
      </c>
      <c r="G676" s="41" t="str">
        <f>IFERROR(INDEX(Personnel[Egtim durumu],$K676),"")</f>
        <v/>
      </c>
      <c r="H676" s="41" t="str">
        <f>IFERROR(INDEX(Personnel[Shohruh Not],$K676),"")</f>
        <v/>
      </c>
      <c r="I676" s="40" t="str">
        <f>IFERROR(INDEX(Personnel[Дней в РФ],$K676),"")</f>
        <v/>
      </c>
      <c r="K676" s="23" t="str">
        <f t="array" ref="K676">IFERROR(_xlfn.AGGREGATE(15,6,(ROW(Personnel[Egtim durumu])-MIN(ROW(Personnel[Egtim durumu]))+1)/((Personnel[Egtim durumu]="Dil egitimi tamamlandi sinavdan gecti")),ROWS($K$7:K676)),"")</f>
        <v/>
      </c>
    </row>
    <row r="677" spans="1:11" x14ac:dyDescent="0.25">
      <c r="A677" s="18" t="str">
        <f>IFERROR(INDEX(Personnel[Sicil],$K677),"")</f>
        <v/>
      </c>
      <c r="B677" s="17" t="str">
        <f>IFERROR(INDEX(Personnel[Adi Soyadi],$K677),"")</f>
        <v/>
      </c>
      <c r="C677" s="18" t="str">
        <f>IFERROR(INDEX(Personnel[Vatandaslik],$K677),"")</f>
        <v/>
      </c>
      <c r="D677" s="18" t="str">
        <f>IFERROR(INDEX(Personnel[Santiye],$K677),"")</f>
        <v/>
      </c>
      <c r="E677" s="18" t="str">
        <f>IFERROR(INDEX(Personnel[Ogretmen],$K677),"")</f>
        <v/>
      </c>
      <c r="F677" s="17" t="str">
        <f>IFERROR(INDEX(Personnel[[Sinav ]],$K677),"")</f>
        <v/>
      </c>
      <c r="G677" s="17" t="str">
        <f>IFERROR(INDEX(Personnel[Egtim durumu],$K677),"")</f>
        <v/>
      </c>
      <c r="H677" s="17" t="str">
        <f>IFERROR(INDEX(Personnel[Shohruh Not],$K677),"")</f>
        <v/>
      </c>
      <c r="I677" s="18" t="str">
        <f>IFERROR(INDEX(Personnel[Дней в РФ],$K677),"")</f>
        <v/>
      </c>
      <c r="K677" s="23" t="str">
        <f t="array" ref="K677">IFERROR(_xlfn.AGGREGATE(15,6,(ROW(Personnel[Egtim durumu])-MIN(ROW(Personnel[Egtim durumu]))+1)/((Personnel[Egtim durumu]="Dil egitimi tamamlandi sinavdan gecti")),ROWS($K$7:K677)),"")</f>
        <v/>
      </c>
    </row>
    <row r="678" spans="1:11" x14ac:dyDescent="0.25">
      <c r="A678" s="40" t="str">
        <f>IFERROR(INDEX(Personnel[Sicil],$K678),"")</f>
        <v/>
      </c>
      <c r="B678" s="41" t="str">
        <f>IFERROR(INDEX(Personnel[Adi Soyadi],$K678),"")</f>
        <v/>
      </c>
      <c r="C678" s="40" t="str">
        <f>IFERROR(INDEX(Personnel[Vatandaslik],$K678),"")</f>
        <v/>
      </c>
      <c r="D678" s="40" t="str">
        <f>IFERROR(INDEX(Personnel[Santiye],$K678),"")</f>
        <v/>
      </c>
      <c r="E678" s="40" t="str">
        <f>IFERROR(INDEX(Personnel[Ogretmen],$K678),"")</f>
        <v/>
      </c>
      <c r="F678" s="41" t="str">
        <f>IFERROR(INDEX(Personnel[[Sinav ]],$K678),"")</f>
        <v/>
      </c>
      <c r="G678" s="41" t="str">
        <f>IFERROR(INDEX(Personnel[Egtim durumu],$K678),"")</f>
        <v/>
      </c>
      <c r="H678" s="41" t="str">
        <f>IFERROR(INDEX(Personnel[Shohruh Not],$K678),"")</f>
        <v/>
      </c>
      <c r="I678" s="40" t="str">
        <f>IFERROR(INDEX(Personnel[Дней в РФ],$K678),"")</f>
        <v/>
      </c>
      <c r="K678" s="23" t="str">
        <f t="array" ref="K678">IFERROR(_xlfn.AGGREGATE(15,6,(ROW(Personnel[Egtim durumu])-MIN(ROW(Personnel[Egtim durumu]))+1)/((Personnel[Egtim durumu]="Dil egitimi tamamlandi sinavdan gecti")),ROWS($K$7:K678)),"")</f>
        <v/>
      </c>
    </row>
    <row r="679" spans="1:11" x14ac:dyDescent="0.25">
      <c r="A679" s="18" t="str">
        <f>IFERROR(INDEX(Personnel[Sicil],$K679),"")</f>
        <v/>
      </c>
      <c r="B679" s="17" t="str">
        <f>IFERROR(INDEX(Personnel[Adi Soyadi],$K679),"")</f>
        <v/>
      </c>
      <c r="C679" s="18" t="str">
        <f>IFERROR(INDEX(Personnel[Vatandaslik],$K679),"")</f>
        <v/>
      </c>
      <c r="D679" s="18" t="str">
        <f>IFERROR(INDEX(Personnel[Santiye],$K679),"")</f>
        <v/>
      </c>
      <c r="E679" s="18" t="str">
        <f>IFERROR(INDEX(Personnel[Ogretmen],$K679),"")</f>
        <v/>
      </c>
      <c r="F679" s="17" t="str">
        <f>IFERROR(INDEX(Personnel[[Sinav ]],$K679),"")</f>
        <v/>
      </c>
      <c r="G679" s="17" t="str">
        <f>IFERROR(INDEX(Personnel[Egtim durumu],$K679),"")</f>
        <v/>
      </c>
      <c r="H679" s="17" t="str">
        <f>IFERROR(INDEX(Personnel[Shohruh Not],$K679),"")</f>
        <v/>
      </c>
      <c r="I679" s="18" t="str">
        <f>IFERROR(INDEX(Personnel[Дней в РФ],$K679),"")</f>
        <v/>
      </c>
      <c r="K679" s="23" t="str">
        <f t="array" ref="K679">IFERROR(_xlfn.AGGREGATE(15,6,(ROW(Personnel[Egtim durumu])-MIN(ROW(Personnel[Egtim durumu]))+1)/((Personnel[Egtim durumu]="Dil egitimi tamamlandi sinavdan gecti")),ROWS($K$7:K679)),"")</f>
        <v/>
      </c>
    </row>
    <row r="680" spans="1:11" x14ac:dyDescent="0.25">
      <c r="A680" s="40" t="str">
        <f>IFERROR(INDEX(Personnel[Sicil],$K680),"")</f>
        <v/>
      </c>
      <c r="B680" s="41" t="str">
        <f>IFERROR(INDEX(Personnel[Adi Soyadi],$K680),"")</f>
        <v/>
      </c>
      <c r="C680" s="40" t="str">
        <f>IFERROR(INDEX(Personnel[Vatandaslik],$K680),"")</f>
        <v/>
      </c>
      <c r="D680" s="40" t="str">
        <f>IFERROR(INDEX(Personnel[Santiye],$K680),"")</f>
        <v/>
      </c>
      <c r="E680" s="40" t="str">
        <f>IFERROR(INDEX(Personnel[Ogretmen],$K680),"")</f>
        <v/>
      </c>
      <c r="F680" s="41" t="str">
        <f>IFERROR(INDEX(Personnel[[Sinav ]],$K680),"")</f>
        <v/>
      </c>
      <c r="G680" s="41" t="str">
        <f>IFERROR(INDEX(Personnel[Egtim durumu],$K680),"")</f>
        <v/>
      </c>
      <c r="H680" s="41" t="str">
        <f>IFERROR(INDEX(Personnel[Shohruh Not],$K680),"")</f>
        <v/>
      </c>
      <c r="I680" s="40" t="str">
        <f>IFERROR(INDEX(Personnel[Дней в РФ],$K680),"")</f>
        <v/>
      </c>
      <c r="K680" s="23" t="str">
        <f t="array" ref="K680">IFERROR(_xlfn.AGGREGATE(15,6,(ROW(Personnel[Egtim durumu])-MIN(ROW(Personnel[Egtim durumu]))+1)/((Personnel[Egtim durumu]="Dil egitimi tamamlandi sinavdan gecti")),ROWS($K$7:K680)),"")</f>
        <v/>
      </c>
    </row>
    <row r="681" spans="1:11" x14ac:dyDescent="0.25">
      <c r="A681" s="18" t="str">
        <f>IFERROR(INDEX(Personnel[Sicil],$K681),"")</f>
        <v/>
      </c>
      <c r="B681" s="17" t="str">
        <f>IFERROR(INDEX(Personnel[Adi Soyadi],$K681),"")</f>
        <v/>
      </c>
      <c r="C681" s="18" t="str">
        <f>IFERROR(INDEX(Personnel[Vatandaslik],$K681),"")</f>
        <v/>
      </c>
      <c r="D681" s="18" t="str">
        <f>IFERROR(INDEX(Personnel[Santiye],$K681),"")</f>
        <v/>
      </c>
      <c r="E681" s="18" t="str">
        <f>IFERROR(INDEX(Personnel[Ogretmen],$K681),"")</f>
        <v/>
      </c>
      <c r="F681" s="17" t="str">
        <f>IFERROR(INDEX(Personnel[[Sinav ]],$K681),"")</f>
        <v/>
      </c>
      <c r="G681" s="17" t="str">
        <f>IFERROR(INDEX(Personnel[Egtim durumu],$K681),"")</f>
        <v/>
      </c>
      <c r="H681" s="17" t="str">
        <f>IFERROR(INDEX(Personnel[Shohruh Not],$K681),"")</f>
        <v/>
      </c>
      <c r="I681" s="18" t="str">
        <f>IFERROR(INDEX(Personnel[Дней в РФ],$K681),"")</f>
        <v/>
      </c>
      <c r="K681" s="23" t="str">
        <f t="array" ref="K681">IFERROR(_xlfn.AGGREGATE(15,6,(ROW(Personnel[Egtim durumu])-MIN(ROW(Personnel[Egtim durumu]))+1)/((Personnel[Egtim durumu]="Dil egitimi tamamlandi sinavdan gecti")),ROWS($K$7:K681)),"")</f>
        <v/>
      </c>
    </row>
    <row r="682" spans="1:11" x14ac:dyDescent="0.25">
      <c r="A682" s="40" t="str">
        <f>IFERROR(INDEX(Personnel[Sicil],$K682),"")</f>
        <v/>
      </c>
      <c r="B682" s="41" t="str">
        <f>IFERROR(INDEX(Personnel[Adi Soyadi],$K682),"")</f>
        <v/>
      </c>
      <c r="C682" s="40" t="str">
        <f>IFERROR(INDEX(Personnel[Vatandaslik],$K682),"")</f>
        <v/>
      </c>
      <c r="D682" s="40" t="str">
        <f>IFERROR(INDEX(Personnel[Santiye],$K682),"")</f>
        <v/>
      </c>
      <c r="E682" s="40" t="str">
        <f>IFERROR(INDEX(Personnel[Ogretmen],$K682),"")</f>
        <v/>
      </c>
      <c r="F682" s="41" t="str">
        <f>IFERROR(INDEX(Personnel[[Sinav ]],$K682),"")</f>
        <v/>
      </c>
      <c r="G682" s="41" t="str">
        <f>IFERROR(INDEX(Personnel[Egtim durumu],$K682),"")</f>
        <v/>
      </c>
      <c r="H682" s="41" t="str">
        <f>IFERROR(INDEX(Personnel[Shohruh Not],$K682),"")</f>
        <v/>
      </c>
      <c r="I682" s="40" t="str">
        <f>IFERROR(INDEX(Personnel[Дней в РФ],$K682),"")</f>
        <v/>
      </c>
      <c r="K682" s="23" t="str">
        <f t="array" ref="K682">IFERROR(_xlfn.AGGREGATE(15,6,(ROW(Personnel[Egtim durumu])-MIN(ROW(Personnel[Egtim durumu]))+1)/((Personnel[Egtim durumu]="Dil egitimi tamamlandi sinavdan gecti")),ROWS($K$7:K682)),"")</f>
        <v/>
      </c>
    </row>
    <row r="683" spans="1:11" x14ac:dyDescent="0.25">
      <c r="A683" s="18" t="str">
        <f>IFERROR(INDEX(Personnel[Sicil],$K683),"")</f>
        <v/>
      </c>
      <c r="B683" s="17" t="str">
        <f>IFERROR(INDEX(Personnel[Adi Soyadi],$K683),"")</f>
        <v/>
      </c>
      <c r="C683" s="18" t="str">
        <f>IFERROR(INDEX(Personnel[Vatandaslik],$K683),"")</f>
        <v/>
      </c>
      <c r="D683" s="18" t="str">
        <f>IFERROR(INDEX(Personnel[Santiye],$K683),"")</f>
        <v/>
      </c>
      <c r="E683" s="18" t="str">
        <f>IFERROR(INDEX(Personnel[Ogretmen],$K683),"")</f>
        <v/>
      </c>
      <c r="F683" s="17" t="str">
        <f>IFERROR(INDEX(Personnel[[Sinav ]],$K683),"")</f>
        <v/>
      </c>
      <c r="G683" s="17" t="str">
        <f>IFERROR(INDEX(Personnel[Egtim durumu],$K683),"")</f>
        <v/>
      </c>
      <c r="H683" s="17" t="str">
        <f>IFERROR(INDEX(Personnel[Shohruh Not],$K683),"")</f>
        <v/>
      </c>
      <c r="I683" s="18" t="str">
        <f>IFERROR(INDEX(Personnel[Дней в РФ],$K683),"")</f>
        <v/>
      </c>
      <c r="K683" s="23" t="str">
        <f t="array" ref="K683">IFERROR(_xlfn.AGGREGATE(15,6,(ROW(Personnel[Egtim durumu])-MIN(ROW(Personnel[Egtim durumu]))+1)/((Personnel[Egtim durumu]="Dil egitimi tamamlandi sinavdan gecti")),ROWS($K$7:K683)),"")</f>
        <v/>
      </c>
    </row>
    <row r="684" spans="1:11" x14ac:dyDescent="0.25">
      <c r="A684" s="40" t="str">
        <f>IFERROR(INDEX(Personnel[Sicil],$K684),"")</f>
        <v/>
      </c>
      <c r="B684" s="41" t="str">
        <f>IFERROR(INDEX(Personnel[Adi Soyadi],$K684),"")</f>
        <v/>
      </c>
      <c r="C684" s="40" t="str">
        <f>IFERROR(INDEX(Personnel[Vatandaslik],$K684),"")</f>
        <v/>
      </c>
      <c r="D684" s="40" t="str">
        <f>IFERROR(INDEX(Personnel[Santiye],$K684),"")</f>
        <v/>
      </c>
      <c r="E684" s="40" t="str">
        <f>IFERROR(INDEX(Personnel[Ogretmen],$K684),"")</f>
        <v/>
      </c>
      <c r="F684" s="41" t="str">
        <f>IFERROR(INDEX(Personnel[[Sinav ]],$K684),"")</f>
        <v/>
      </c>
      <c r="G684" s="41" t="str">
        <f>IFERROR(INDEX(Personnel[Egtim durumu],$K684),"")</f>
        <v/>
      </c>
      <c r="H684" s="41" t="str">
        <f>IFERROR(INDEX(Personnel[Shohruh Not],$K684),"")</f>
        <v/>
      </c>
      <c r="I684" s="40" t="str">
        <f>IFERROR(INDEX(Personnel[Дней в РФ],$K684),"")</f>
        <v/>
      </c>
      <c r="K684" s="23" t="str">
        <f t="array" ref="K684">IFERROR(_xlfn.AGGREGATE(15,6,(ROW(Personnel[Egtim durumu])-MIN(ROW(Personnel[Egtim durumu]))+1)/((Personnel[Egtim durumu]="Dil egitimi tamamlandi sinavdan gecti")),ROWS($K$7:K684)),"")</f>
        <v/>
      </c>
    </row>
    <row r="685" spans="1:11" x14ac:dyDescent="0.25">
      <c r="A685" s="18" t="str">
        <f>IFERROR(INDEX(Personnel[Sicil],$K685),"")</f>
        <v/>
      </c>
      <c r="B685" s="17" t="str">
        <f>IFERROR(INDEX(Personnel[Adi Soyadi],$K685),"")</f>
        <v/>
      </c>
      <c r="C685" s="18" t="str">
        <f>IFERROR(INDEX(Personnel[Vatandaslik],$K685),"")</f>
        <v/>
      </c>
      <c r="D685" s="18" t="str">
        <f>IFERROR(INDEX(Personnel[Santiye],$K685),"")</f>
        <v/>
      </c>
      <c r="E685" s="18" t="str">
        <f>IFERROR(INDEX(Personnel[Ogretmen],$K685),"")</f>
        <v/>
      </c>
      <c r="F685" s="17" t="str">
        <f>IFERROR(INDEX(Personnel[[Sinav ]],$K685),"")</f>
        <v/>
      </c>
      <c r="G685" s="17" t="str">
        <f>IFERROR(INDEX(Personnel[Egtim durumu],$K685),"")</f>
        <v/>
      </c>
      <c r="H685" s="17" t="str">
        <f>IFERROR(INDEX(Personnel[Shohruh Not],$K685),"")</f>
        <v/>
      </c>
      <c r="I685" s="18" t="str">
        <f>IFERROR(INDEX(Personnel[Дней в РФ],$K685),"")</f>
        <v/>
      </c>
      <c r="K685" s="23" t="str">
        <f t="array" ref="K685">IFERROR(_xlfn.AGGREGATE(15,6,(ROW(Personnel[Egtim durumu])-MIN(ROW(Personnel[Egtim durumu]))+1)/((Personnel[Egtim durumu]="Dil egitimi tamamlandi sinavdan gecti")),ROWS($K$7:K685)),"")</f>
        <v/>
      </c>
    </row>
    <row r="686" spans="1:11" x14ac:dyDescent="0.25">
      <c r="A686" s="40" t="str">
        <f>IFERROR(INDEX(Personnel[Sicil],$K686),"")</f>
        <v/>
      </c>
      <c r="B686" s="41" t="str">
        <f>IFERROR(INDEX(Personnel[Adi Soyadi],$K686),"")</f>
        <v/>
      </c>
      <c r="C686" s="40" t="str">
        <f>IFERROR(INDEX(Personnel[Vatandaslik],$K686),"")</f>
        <v/>
      </c>
      <c r="D686" s="40" t="str">
        <f>IFERROR(INDEX(Personnel[Santiye],$K686),"")</f>
        <v/>
      </c>
      <c r="E686" s="40" t="str">
        <f>IFERROR(INDEX(Personnel[Ogretmen],$K686),"")</f>
        <v/>
      </c>
      <c r="F686" s="41" t="str">
        <f>IFERROR(INDEX(Personnel[[Sinav ]],$K686),"")</f>
        <v/>
      </c>
      <c r="G686" s="41" t="str">
        <f>IFERROR(INDEX(Personnel[Egtim durumu],$K686),"")</f>
        <v/>
      </c>
      <c r="H686" s="41" t="str">
        <f>IFERROR(INDEX(Personnel[Shohruh Not],$K686),"")</f>
        <v/>
      </c>
      <c r="I686" s="40" t="str">
        <f>IFERROR(INDEX(Personnel[Дней в РФ],$K686),"")</f>
        <v/>
      </c>
      <c r="K686" s="23" t="str">
        <f t="array" ref="K686">IFERROR(_xlfn.AGGREGATE(15,6,(ROW(Personnel[Egtim durumu])-MIN(ROW(Personnel[Egtim durumu]))+1)/((Personnel[Egtim durumu]="Dil egitimi tamamlandi sinavdan gecti")),ROWS($K$7:K686)),"")</f>
        <v/>
      </c>
    </row>
    <row r="687" spans="1:11" x14ac:dyDescent="0.25">
      <c r="A687" s="18" t="str">
        <f>IFERROR(INDEX(Personnel[Sicil],$K687),"")</f>
        <v/>
      </c>
      <c r="B687" s="17" t="str">
        <f>IFERROR(INDEX(Personnel[Adi Soyadi],$K687),"")</f>
        <v/>
      </c>
      <c r="C687" s="18" t="str">
        <f>IFERROR(INDEX(Personnel[Vatandaslik],$K687),"")</f>
        <v/>
      </c>
      <c r="D687" s="18" t="str">
        <f>IFERROR(INDEX(Personnel[Santiye],$K687),"")</f>
        <v/>
      </c>
      <c r="E687" s="18" t="str">
        <f>IFERROR(INDEX(Personnel[Ogretmen],$K687),"")</f>
        <v/>
      </c>
      <c r="F687" s="17" t="str">
        <f>IFERROR(INDEX(Personnel[[Sinav ]],$K687),"")</f>
        <v/>
      </c>
      <c r="G687" s="17" t="str">
        <f>IFERROR(INDEX(Personnel[Egtim durumu],$K687),"")</f>
        <v/>
      </c>
      <c r="H687" s="17" t="str">
        <f>IFERROR(INDEX(Personnel[Shohruh Not],$K687),"")</f>
        <v/>
      </c>
      <c r="I687" s="18" t="str">
        <f>IFERROR(INDEX(Personnel[Дней в РФ],$K687),"")</f>
        <v/>
      </c>
      <c r="K687" s="23" t="str">
        <f t="array" ref="K687">IFERROR(_xlfn.AGGREGATE(15,6,(ROW(Personnel[Egtim durumu])-MIN(ROW(Personnel[Egtim durumu]))+1)/((Personnel[Egtim durumu]="Dil egitimi tamamlandi sinavdan gecti")),ROWS($K$7:K687)),"")</f>
        <v/>
      </c>
    </row>
    <row r="688" spans="1:11" x14ac:dyDescent="0.25">
      <c r="A688" s="40" t="str">
        <f>IFERROR(INDEX(Personnel[Sicil],$K688),"")</f>
        <v/>
      </c>
      <c r="B688" s="41" t="str">
        <f>IFERROR(INDEX(Personnel[Adi Soyadi],$K688),"")</f>
        <v/>
      </c>
      <c r="C688" s="40" t="str">
        <f>IFERROR(INDEX(Personnel[Vatandaslik],$K688),"")</f>
        <v/>
      </c>
      <c r="D688" s="40" t="str">
        <f>IFERROR(INDEX(Personnel[Santiye],$K688),"")</f>
        <v/>
      </c>
      <c r="E688" s="40" t="str">
        <f>IFERROR(INDEX(Personnel[Ogretmen],$K688),"")</f>
        <v/>
      </c>
      <c r="F688" s="41" t="str">
        <f>IFERROR(INDEX(Personnel[[Sinav ]],$K688),"")</f>
        <v/>
      </c>
      <c r="G688" s="41" t="str">
        <f>IFERROR(INDEX(Personnel[Egtim durumu],$K688),"")</f>
        <v/>
      </c>
      <c r="H688" s="41" t="str">
        <f>IFERROR(INDEX(Personnel[Shohruh Not],$K688),"")</f>
        <v/>
      </c>
      <c r="I688" s="40" t="str">
        <f>IFERROR(INDEX(Personnel[Дней в РФ],$K688),"")</f>
        <v/>
      </c>
      <c r="K688" s="23" t="str">
        <f t="array" ref="K688">IFERROR(_xlfn.AGGREGATE(15,6,(ROW(Personnel[Egtim durumu])-MIN(ROW(Personnel[Egtim durumu]))+1)/((Personnel[Egtim durumu]="Dil egitimi tamamlandi sinavdan gecti")),ROWS($K$7:K688)),"")</f>
        <v/>
      </c>
    </row>
    <row r="689" spans="1:11" x14ac:dyDescent="0.25">
      <c r="A689" s="18" t="str">
        <f>IFERROR(INDEX(Personnel[Sicil],$K689),"")</f>
        <v/>
      </c>
      <c r="B689" s="17" t="str">
        <f>IFERROR(INDEX(Personnel[Adi Soyadi],$K689),"")</f>
        <v/>
      </c>
      <c r="C689" s="18" t="str">
        <f>IFERROR(INDEX(Personnel[Vatandaslik],$K689),"")</f>
        <v/>
      </c>
      <c r="D689" s="18" t="str">
        <f>IFERROR(INDEX(Personnel[Santiye],$K689),"")</f>
        <v/>
      </c>
      <c r="E689" s="18" t="str">
        <f>IFERROR(INDEX(Personnel[Ogretmen],$K689),"")</f>
        <v/>
      </c>
      <c r="F689" s="17" t="str">
        <f>IFERROR(INDEX(Personnel[[Sinav ]],$K689),"")</f>
        <v/>
      </c>
      <c r="G689" s="17" t="str">
        <f>IFERROR(INDEX(Personnel[Egtim durumu],$K689),"")</f>
        <v/>
      </c>
      <c r="H689" s="17" t="str">
        <f>IFERROR(INDEX(Personnel[Shohruh Not],$K689),"")</f>
        <v/>
      </c>
      <c r="I689" s="18" t="str">
        <f>IFERROR(INDEX(Personnel[Дней в РФ],$K689),"")</f>
        <v/>
      </c>
      <c r="K689" s="23" t="str">
        <f t="array" ref="K689">IFERROR(_xlfn.AGGREGATE(15,6,(ROW(Personnel[Egtim durumu])-MIN(ROW(Personnel[Egtim durumu]))+1)/((Personnel[Egtim durumu]="Dil egitimi tamamlandi sinavdan gecti")),ROWS($K$7:K689)),"")</f>
        <v/>
      </c>
    </row>
    <row r="690" spans="1:11" x14ac:dyDescent="0.25">
      <c r="A690" s="40" t="str">
        <f>IFERROR(INDEX(Personnel[Sicil],$K690),"")</f>
        <v/>
      </c>
      <c r="B690" s="41" t="str">
        <f>IFERROR(INDEX(Personnel[Adi Soyadi],$K690),"")</f>
        <v/>
      </c>
      <c r="C690" s="40" t="str">
        <f>IFERROR(INDEX(Personnel[Vatandaslik],$K690),"")</f>
        <v/>
      </c>
      <c r="D690" s="40" t="str">
        <f>IFERROR(INDEX(Personnel[Santiye],$K690),"")</f>
        <v/>
      </c>
      <c r="E690" s="40" t="str">
        <f>IFERROR(INDEX(Personnel[Ogretmen],$K690),"")</f>
        <v/>
      </c>
      <c r="F690" s="41" t="str">
        <f>IFERROR(INDEX(Personnel[[Sinav ]],$K690),"")</f>
        <v/>
      </c>
      <c r="G690" s="41" t="str">
        <f>IFERROR(INDEX(Personnel[Egtim durumu],$K690),"")</f>
        <v/>
      </c>
      <c r="H690" s="41" t="str">
        <f>IFERROR(INDEX(Personnel[Shohruh Not],$K690),"")</f>
        <v/>
      </c>
      <c r="I690" s="40" t="str">
        <f>IFERROR(INDEX(Personnel[Дней в РФ],$K690),"")</f>
        <v/>
      </c>
      <c r="K690" s="23" t="str">
        <f t="array" ref="K690">IFERROR(_xlfn.AGGREGATE(15,6,(ROW(Personnel[Egtim durumu])-MIN(ROW(Personnel[Egtim durumu]))+1)/((Personnel[Egtim durumu]="Dil egitimi tamamlandi sinavdan gecti")),ROWS($K$7:K690)),"")</f>
        <v/>
      </c>
    </row>
    <row r="691" spans="1:11" x14ac:dyDescent="0.25">
      <c r="A691" s="18" t="str">
        <f>IFERROR(INDEX(Personnel[Sicil],$K691),"")</f>
        <v/>
      </c>
      <c r="B691" s="17" t="str">
        <f>IFERROR(INDEX(Personnel[Adi Soyadi],$K691),"")</f>
        <v/>
      </c>
      <c r="C691" s="18" t="str">
        <f>IFERROR(INDEX(Personnel[Vatandaslik],$K691),"")</f>
        <v/>
      </c>
      <c r="D691" s="18" t="str">
        <f>IFERROR(INDEX(Personnel[Santiye],$K691),"")</f>
        <v/>
      </c>
      <c r="E691" s="18" t="str">
        <f>IFERROR(INDEX(Personnel[Ogretmen],$K691),"")</f>
        <v/>
      </c>
      <c r="F691" s="17" t="str">
        <f>IFERROR(INDEX(Personnel[[Sinav ]],$K691),"")</f>
        <v/>
      </c>
      <c r="G691" s="17" t="str">
        <f>IFERROR(INDEX(Personnel[Egtim durumu],$K691),"")</f>
        <v/>
      </c>
      <c r="H691" s="17" t="str">
        <f>IFERROR(INDEX(Personnel[Shohruh Not],$K691),"")</f>
        <v/>
      </c>
      <c r="I691" s="18" t="str">
        <f>IFERROR(INDEX(Personnel[Дней в РФ],$K691),"")</f>
        <v/>
      </c>
      <c r="K691" s="23" t="str">
        <f t="array" ref="K691">IFERROR(_xlfn.AGGREGATE(15,6,(ROW(Personnel[Egtim durumu])-MIN(ROW(Personnel[Egtim durumu]))+1)/((Personnel[Egtim durumu]="Dil egitimi tamamlandi sinavdan gecti")),ROWS($K$7:K691)),"")</f>
        <v/>
      </c>
    </row>
    <row r="692" spans="1:11" x14ac:dyDescent="0.25">
      <c r="A692" s="40" t="str">
        <f>IFERROR(INDEX(Personnel[Sicil],$K692),"")</f>
        <v/>
      </c>
      <c r="B692" s="41" t="str">
        <f>IFERROR(INDEX(Personnel[Adi Soyadi],$K692),"")</f>
        <v/>
      </c>
      <c r="C692" s="40" t="str">
        <f>IFERROR(INDEX(Personnel[Vatandaslik],$K692),"")</f>
        <v/>
      </c>
      <c r="D692" s="40" t="str">
        <f>IFERROR(INDEX(Personnel[Santiye],$K692),"")</f>
        <v/>
      </c>
      <c r="E692" s="40" t="str">
        <f>IFERROR(INDEX(Personnel[Ogretmen],$K692),"")</f>
        <v/>
      </c>
      <c r="F692" s="41" t="str">
        <f>IFERROR(INDEX(Personnel[[Sinav ]],$K692),"")</f>
        <v/>
      </c>
      <c r="G692" s="41" t="str">
        <f>IFERROR(INDEX(Personnel[Egtim durumu],$K692),"")</f>
        <v/>
      </c>
      <c r="H692" s="41" t="str">
        <f>IFERROR(INDEX(Personnel[Shohruh Not],$K692),"")</f>
        <v/>
      </c>
      <c r="I692" s="40" t="str">
        <f>IFERROR(INDEX(Personnel[Дней в РФ],$K692),"")</f>
        <v/>
      </c>
      <c r="K692" s="23" t="str">
        <f t="array" ref="K692">IFERROR(_xlfn.AGGREGATE(15,6,(ROW(Personnel[Egtim durumu])-MIN(ROW(Personnel[Egtim durumu]))+1)/((Personnel[Egtim durumu]="Dil egitimi tamamlandi sinavdan gecti")),ROWS($K$7:K692)),"")</f>
        <v/>
      </c>
    </row>
    <row r="693" spans="1:11" x14ac:dyDescent="0.25">
      <c r="A693" s="18" t="str">
        <f>IFERROR(INDEX(Personnel[Sicil],$K693),"")</f>
        <v/>
      </c>
      <c r="B693" s="17" t="str">
        <f>IFERROR(INDEX(Personnel[Adi Soyadi],$K693),"")</f>
        <v/>
      </c>
      <c r="C693" s="18" t="str">
        <f>IFERROR(INDEX(Personnel[Vatandaslik],$K693),"")</f>
        <v/>
      </c>
      <c r="D693" s="18" t="str">
        <f>IFERROR(INDEX(Personnel[Santiye],$K693),"")</f>
        <v/>
      </c>
      <c r="E693" s="18" t="str">
        <f>IFERROR(INDEX(Personnel[Ogretmen],$K693),"")</f>
        <v/>
      </c>
      <c r="F693" s="17" t="str">
        <f>IFERROR(INDEX(Personnel[[Sinav ]],$K693),"")</f>
        <v/>
      </c>
      <c r="G693" s="17" t="str">
        <f>IFERROR(INDEX(Personnel[Egtim durumu],$K693),"")</f>
        <v/>
      </c>
      <c r="H693" s="17" t="str">
        <f>IFERROR(INDEX(Personnel[Shohruh Not],$K693),"")</f>
        <v/>
      </c>
      <c r="I693" s="18" t="str">
        <f>IFERROR(INDEX(Personnel[Дней в РФ],$K693),"")</f>
        <v/>
      </c>
      <c r="K693" s="23" t="str">
        <f t="array" ref="K693">IFERROR(_xlfn.AGGREGATE(15,6,(ROW(Personnel[Egtim durumu])-MIN(ROW(Personnel[Egtim durumu]))+1)/((Personnel[Egtim durumu]="Dil egitimi tamamlandi sinavdan gecti")),ROWS($K$7:K693)),"")</f>
        <v/>
      </c>
    </row>
    <row r="694" spans="1:11" x14ac:dyDescent="0.25">
      <c r="A694" s="40" t="str">
        <f>IFERROR(INDEX(Personnel[Sicil],$K694),"")</f>
        <v/>
      </c>
      <c r="B694" s="41" t="str">
        <f>IFERROR(INDEX(Personnel[Adi Soyadi],$K694),"")</f>
        <v/>
      </c>
      <c r="C694" s="40" t="str">
        <f>IFERROR(INDEX(Personnel[Vatandaslik],$K694),"")</f>
        <v/>
      </c>
      <c r="D694" s="40" t="str">
        <f>IFERROR(INDEX(Personnel[Santiye],$K694),"")</f>
        <v/>
      </c>
      <c r="E694" s="40" t="str">
        <f>IFERROR(INDEX(Personnel[Ogretmen],$K694),"")</f>
        <v/>
      </c>
      <c r="F694" s="41" t="str">
        <f>IFERROR(INDEX(Personnel[[Sinav ]],$K694),"")</f>
        <v/>
      </c>
      <c r="G694" s="41" t="str">
        <f>IFERROR(INDEX(Personnel[Egtim durumu],$K694),"")</f>
        <v/>
      </c>
      <c r="H694" s="41" t="str">
        <f>IFERROR(INDEX(Personnel[Shohruh Not],$K694),"")</f>
        <v/>
      </c>
      <c r="I694" s="40" t="str">
        <f>IFERROR(INDEX(Personnel[Дней в РФ],$K694),"")</f>
        <v/>
      </c>
      <c r="K694" s="23" t="str">
        <f t="array" ref="K694">IFERROR(_xlfn.AGGREGATE(15,6,(ROW(Personnel[Egtim durumu])-MIN(ROW(Personnel[Egtim durumu]))+1)/((Personnel[Egtim durumu]="Dil egitimi tamamlandi sinavdan gecti")),ROWS($K$7:K694)),"")</f>
        <v/>
      </c>
    </row>
    <row r="695" spans="1:11" x14ac:dyDescent="0.25">
      <c r="A695" s="18" t="str">
        <f>IFERROR(INDEX(Personnel[Sicil],$K695),"")</f>
        <v/>
      </c>
      <c r="B695" s="17" t="str">
        <f>IFERROR(INDEX(Personnel[Adi Soyadi],$K695),"")</f>
        <v/>
      </c>
      <c r="C695" s="18" t="str">
        <f>IFERROR(INDEX(Personnel[Vatandaslik],$K695),"")</f>
        <v/>
      </c>
      <c r="D695" s="18" t="str">
        <f>IFERROR(INDEX(Personnel[Santiye],$K695),"")</f>
        <v/>
      </c>
      <c r="E695" s="18" t="str">
        <f>IFERROR(INDEX(Personnel[Ogretmen],$K695),"")</f>
        <v/>
      </c>
      <c r="F695" s="17" t="str">
        <f>IFERROR(INDEX(Personnel[[Sinav ]],$K695),"")</f>
        <v/>
      </c>
      <c r="G695" s="17" t="str">
        <f>IFERROR(INDEX(Personnel[Egtim durumu],$K695),"")</f>
        <v/>
      </c>
      <c r="H695" s="17" t="str">
        <f>IFERROR(INDEX(Personnel[Shohruh Not],$K695),"")</f>
        <v/>
      </c>
      <c r="I695" s="18" t="str">
        <f>IFERROR(INDEX(Personnel[Дней в РФ],$K695),"")</f>
        <v/>
      </c>
      <c r="K695" s="23" t="str">
        <f t="array" ref="K695">IFERROR(_xlfn.AGGREGATE(15,6,(ROW(Personnel[Egtim durumu])-MIN(ROW(Personnel[Egtim durumu]))+1)/((Personnel[Egtim durumu]="Dil egitimi tamamlandi sinavdan gecti")),ROWS($K$7:K695)),"")</f>
        <v/>
      </c>
    </row>
    <row r="696" spans="1:11" x14ac:dyDescent="0.25">
      <c r="A696" s="40" t="str">
        <f>IFERROR(INDEX(Personnel[Sicil],$K696),"")</f>
        <v/>
      </c>
      <c r="B696" s="41" t="str">
        <f>IFERROR(INDEX(Personnel[Adi Soyadi],$K696),"")</f>
        <v/>
      </c>
      <c r="C696" s="40" t="str">
        <f>IFERROR(INDEX(Personnel[Vatandaslik],$K696),"")</f>
        <v/>
      </c>
      <c r="D696" s="40" t="str">
        <f>IFERROR(INDEX(Personnel[Santiye],$K696),"")</f>
        <v/>
      </c>
      <c r="E696" s="40" t="str">
        <f>IFERROR(INDEX(Personnel[Ogretmen],$K696),"")</f>
        <v/>
      </c>
      <c r="F696" s="41" t="str">
        <f>IFERROR(INDEX(Personnel[[Sinav ]],$K696),"")</f>
        <v/>
      </c>
      <c r="G696" s="41" t="str">
        <f>IFERROR(INDEX(Personnel[Egtim durumu],$K696),"")</f>
        <v/>
      </c>
      <c r="H696" s="41" t="str">
        <f>IFERROR(INDEX(Personnel[Shohruh Not],$K696),"")</f>
        <v/>
      </c>
      <c r="I696" s="40" t="str">
        <f>IFERROR(INDEX(Personnel[Дней в РФ],$K696),"")</f>
        <v/>
      </c>
      <c r="K696" s="23" t="str">
        <f t="array" ref="K696">IFERROR(_xlfn.AGGREGATE(15,6,(ROW(Personnel[Egtim durumu])-MIN(ROW(Personnel[Egtim durumu]))+1)/((Personnel[Egtim durumu]="Dil egitimi tamamlandi sinavdan gecti")),ROWS($K$7:K696)),"")</f>
        <v/>
      </c>
    </row>
    <row r="697" spans="1:11" x14ac:dyDescent="0.25">
      <c r="A697" s="18" t="str">
        <f>IFERROR(INDEX(Personnel[Sicil],$K697),"")</f>
        <v/>
      </c>
      <c r="B697" s="17" t="str">
        <f>IFERROR(INDEX(Personnel[Adi Soyadi],$K697),"")</f>
        <v/>
      </c>
      <c r="C697" s="18" t="str">
        <f>IFERROR(INDEX(Personnel[Vatandaslik],$K697),"")</f>
        <v/>
      </c>
      <c r="D697" s="18" t="str">
        <f>IFERROR(INDEX(Personnel[Santiye],$K697),"")</f>
        <v/>
      </c>
      <c r="E697" s="18" t="str">
        <f>IFERROR(INDEX(Personnel[Ogretmen],$K697),"")</f>
        <v/>
      </c>
      <c r="F697" s="17" t="str">
        <f>IFERROR(INDEX(Personnel[[Sinav ]],$K697),"")</f>
        <v/>
      </c>
      <c r="G697" s="17" t="str">
        <f>IFERROR(INDEX(Personnel[Egtim durumu],$K697),"")</f>
        <v/>
      </c>
      <c r="H697" s="17" t="str">
        <f>IFERROR(INDEX(Personnel[Shohruh Not],$K697),"")</f>
        <v/>
      </c>
      <c r="I697" s="18" t="str">
        <f>IFERROR(INDEX(Personnel[Дней в РФ],$K697),"")</f>
        <v/>
      </c>
      <c r="K697" s="23" t="str">
        <f t="array" ref="K697">IFERROR(_xlfn.AGGREGATE(15,6,(ROW(Personnel[Egtim durumu])-MIN(ROW(Personnel[Egtim durumu]))+1)/((Personnel[Egtim durumu]="Dil egitimi tamamlandi sinavdan gecti")),ROWS($K$7:K697)),"")</f>
        <v/>
      </c>
    </row>
    <row r="698" spans="1:11" x14ac:dyDescent="0.25">
      <c r="A698" s="40" t="str">
        <f>IFERROR(INDEX(Personnel[Sicil],$K698),"")</f>
        <v/>
      </c>
      <c r="B698" s="41" t="str">
        <f>IFERROR(INDEX(Personnel[Adi Soyadi],$K698),"")</f>
        <v/>
      </c>
      <c r="C698" s="40" t="str">
        <f>IFERROR(INDEX(Personnel[Vatandaslik],$K698),"")</f>
        <v/>
      </c>
      <c r="D698" s="40" t="str">
        <f>IFERROR(INDEX(Personnel[Santiye],$K698),"")</f>
        <v/>
      </c>
      <c r="E698" s="40" t="str">
        <f>IFERROR(INDEX(Personnel[Ogretmen],$K698),"")</f>
        <v/>
      </c>
      <c r="F698" s="41" t="str">
        <f>IFERROR(INDEX(Personnel[[Sinav ]],$K698),"")</f>
        <v/>
      </c>
      <c r="G698" s="41" t="str">
        <f>IFERROR(INDEX(Personnel[Egtim durumu],$K698),"")</f>
        <v/>
      </c>
      <c r="H698" s="41" t="str">
        <f>IFERROR(INDEX(Personnel[Shohruh Not],$K698),"")</f>
        <v/>
      </c>
      <c r="I698" s="40" t="str">
        <f>IFERROR(INDEX(Personnel[Дней в РФ],$K698),"")</f>
        <v/>
      </c>
      <c r="K698" s="23" t="str">
        <f t="array" ref="K698">IFERROR(_xlfn.AGGREGATE(15,6,(ROW(Personnel[Egtim durumu])-MIN(ROW(Personnel[Egtim durumu]))+1)/((Personnel[Egtim durumu]="Dil egitimi tamamlandi sinavdan gecti")),ROWS($K$7:K698)),"")</f>
        <v/>
      </c>
    </row>
    <row r="699" spans="1:11" x14ac:dyDescent="0.25">
      <c r="A699" s="18" t="str">
        <f>IFERROR(INDEX(Personnel[Sicil],$K699),"")</f>
        <v/>
      </c>
      <c r="B699" s="17" t="str">
        <f>IFERROR(INDEX(Personnel[Adi Soyadi],$K699),"")</f>
        <v/>
      </c>
      <c r="C699" s="18" t="str">
        <f>IFERROR(INDEX(Personnel[Vatandaslik],$K699),"")</f>
        <v/>
      </c>
      <c r="D699" s="18" t="str">
        <f>IFERROR(INDEX(Personnel[Santiye],$K699),"")</f>
        <v/>
      </c>
      <c r="E699" s="18" t="str">
        <f>IFERROR(INDEX(Personnel[Ogretmen],$K699),"")</f>
        <v/>
      </c>
      <c r="F699" s="17" t="str">
        <f>IFERROR(INDEX(Personnel[[Sinav ]],$K699),"")</f>
        <v/>
      </c>
      <c r="G699" s="17" t="str">
        <f>IFERROR(INDEX(Personnel[Egtim durumu],$K699),"")</f>
        <v/>
      </c>
      <c r="H699" s="17" t="str">
        <f>IFERROR(INDEX(Personnel[Shohruh Not],$K699),"")</f>
        <v/>
      </c>
      <c r="I699" s="18" t="str">
        <f>IFERROR(INDEX(Personnel[Дней в РФ],$K699),"")</f>
        <v/>
      </c>
      <c r="K699" s="23" t="str">
        <f t="array" ref="K699">IFERROR(_xlfn.AGGREGATE(15,6,(ROW(Personnel[Egtim durumu])-MIN(ROW(Personnel[Egtim durumu]))+1)/((Personnel[Egtim durumu]="Dil egitimi tamamlandi sinavdan gecti")),ROWS($K$7:K699)),"")</f>
        <v/>
      </c>
    </row>
    <row r="700" spans="1:11" x14ac:dyDescent="0.25">
      <c r="A700" s="40" t="str">
        <f>IFERROR(INDEX(Personnel[Sicil],$K700),"")</f>
        <v/>
      </c>
      <c r="B700" s="41" t="str">
        <f>IFERROR(INDEX(Personnel[Adi Soyadi],$K700),"")</f>
        <v/>
      </c>
      <c r="C700" s="40" t="str">
        <f>IFERROR(INDEX(Personnel[Vatandaslik],$K700),"")</f>
        <v/>
      </c>
      <c r="D700" s="40" t="str">
        <f>IFERROR(INDEX(Personnel[Santiye],$K700),"")</f>
        <v/>
      </c>
      <c r="E700" s="40" t="str">
        <f>IFERROR(INDEX(Personnel[Ogretmen],$K700),"")</f>
        <v/>
      </c>
      <c r="F700" s="41" t="str">
        <f>IFERROR(INDEX(Personnel[[Sinav ]],$K700),"")</f>
        <v/>
      </c>
      <c r="G700" s="41" t="str">
        <f>IFERROR(INDEX(Personnel[Egtim durumu],$K700),"")</f>
        <v/>
      </c>
      <c r="H700" s="41" t="str">
        <f>IFERROR(INDEX(Personnel[Shohruh Not],$K700),"")</f>
        <v/>
      </c>
      <c r="I700" s="40" t="str">
        <f>IFERROR(INDEX(Personnel[Дней в РФ],$K700),"")</f>
        <v/>
      </c>
      <c r="K700" s="23" t="str">
        <f t="array" ref="K700">IFERROR(_xlfn.AGGREGATE(15,6,(ROW(Personnel[Egtim durumu])-MIN(ROW(Personnel[Egtim durumu]))+1)/((Personnel[Egtim durumu]="Dil egitimi tamamlandi sinavdan gecti")),ROWS($K$7:K700)),"")</f>
        <v/>
      </c>
    </row>
    <row r="701" spans="1:11" x14ac:dyDescent="0.25">
      <c r="A701" s="18" t="str">
        <f>IFERROR(INDEX(Personnel[Sicil],$K701),"")</f>
        <v/>
      </c>
      <c r="B701" s="17" t="str">
        <f>IFERROR(INDEX(Personnel[Adi Soyadi],$K701),"")</f>
        <v/>
      </c>
      <c r="C701" s="18" t="str">
        <f>IFERROR(INDEX(Personnel[Vatandaslik],$K701),"")</f>
        <v/>
      </c>
      <c r="D701" s="18" t="str">
        <f>IFERROR(INDEX(Personnel[Santiye],$K701),"")</f>
        <v/>
      </c>
      <c r="E701" s="18" t="str">
        <f>IFERROR(INDEX(Personnel[Ogretmen],$K701),"")</f>
        <v/>
      </c>
      <c r="F701" s="17" t="str">
        <f>IFERROR(INDEX(Personnel[[Sinav ]],$K701),"")</f>
        <v/>
      </c>
      <c r="G701" s="17" t="str">
        <f>IFERROR(INDEX(Personnel[Egtim durumu],$K701),"")</f>
        <v/>
      </c>
      <c r="H701" s="17" t="str">
        <f>IFERROR(INDEX(Personnel[Shohruh Not],$K701),"")</f>
        <v/>
      </c>
      <c r="I701" s="18" t="str">
        <f>IFERROR(INDEX(Personnel[Дней в РФ],$K701),"")</f>
        <v/>
      </c>
      <c r="K701" s="23" t="str">
        <f t="array" ref="K701">IFERROR(_xlfn.AGGREGATE(15,6,(ROW(Personnel[Egtim durumu])-MIN(ROW(Personnel[Egtim durumu]))+1)/((Personnel[Egtim durumu]="Dil egitimi tamamlandi sinavdan gecti")),ROWS($K$7:K701)),"")</f>
        <v/>
      </c>
    </row>
    <row r="702" spans="1:11" x14ac:dyDescent="0.25">
      <c r="A702" s="40" t="str">
        <f>IFERROR(INDEX(Personnel[Sicil],$K702),"")</f>
        <v/>
      </c>
      <c r="B702" s="41" t="str">
        <f>IFERROR(INDEX(Personnel[Adi Soyadi],$K702),"")</f>
        <v/>
      </c>
      <c r="C702" s="40" t="str">
        <f>IFERROR(INDEX(Personnel[Vatandaslik],$K702),"")</f>
        <v/>
      </c>
      <c r="D702" s="40" t="str">
        <f>IFERROR(INDEX(Personnel[Santiye],$K702),"")</f>
        <v/>
      </c>
      <c r="E702" s="40" t="str">
        <f>IFERROR(INDEX(Personnel[Ogretmen],$K702),"")</f>
        <v/>
      </c>
      <c r="F702" s="41" t="str">
        <f>IFERROR(INDEX(Personnel[[Sinav ]],$K702),"")</f>
        <v/>
      </c>
      <c r="G702" s="41" t="str">
        <f>IFERROR(INDEX(Personnel[Egtim durumu],$K702),"")</f>
        <v/>
      </c>
      <c r="H702" s="41" t="str">
        <f>IFERROR(INDEX(Personnel[Shohruh Not],$K702),"")</f>
        <v/>
      </c>
      <c r="I702" s="40" t="str">
        <f>IFERROR(INDEX(Personnel[Дней в РФ],$K702),"")</f>
        <v/>
      </c>
      <c r="K702" s="23" t="str">
        <f t="array" ref="K702">IFERROR(_xlfn.AGGREGATE(15,6,(ROW(Personnel[Egtim durumu])-MIN(ROW(Personnel[Egtim durumu]))+1)/((Personnel[Egtim durumu]="Dil egitimi tamamlandi sinavdan gecti")),ROWS($K$7:K702)),"")</f>
        <v/>
      </c>
    </row>
    <row r="703" spans="1:11" x14ac:dyDescent="0.25">
      <c r="A703" s="18" t="str">
        <f>IFERROR(INDEX(Personnel[Sicil],$K703),"")</f>
        <v/>
      </c>
      <c r="B703" s="17" t="str">
        <f>IFERROR(INDEX(Personnel[Adi Soyadi],$K703),"")</f>
        <v/>
      </c>
      <c r="C703" s="18" t="str">
        <f>IFERROR(INDEX(Personnel[Vatandaslik],$K703),"")</f>
        <v/>
      </c>
      <c r="D703" s="18" t="str">
        <f>IFERROR(INDEX(Personnel[Santiye],$K703),"")</f>
        <v/>
      </c>
      <c r="E703" s="18" t="str">
        <f>IFERROR(INDEX(Personnel[Ogretmen],$K703),"")</f>
        <v/>
      </c>
      <c r="F703" s="17" t="str">
        <f>IFERROR(INDEX(Personnel[[Sinav ]],$K703),"")</f>
        <v/>
      </c>
      <c r="G703" s="17" t="str">
        <f>IFERROR(INDEX(Personnel[Egtim durumu],$K703),"")</f>
        <v/>
      </c>
      <c r="H703" s="17" t="str">
        <f>IFERROR(INDEX(Personnel[Shohruh Not],$K703),"")</f>
        <v/>
      </c>
      <c r="I703" s="18" t="str">
        <f>IFERROR(INDEX(Personnel[Дней в РФ],$K703),"")</f>
        <v/>
      </c>
      <c r="K703" s="23" t="str">
        <f t="array" ref="K703">IFERROR(_xlfn.AGGREGATE(15,6,(ROW(Personnel[Egtim durumu])-MIN(ROW(Personnel[Egtim durumu]))+1)/((Personnel[Egtim durumu]="Dil egitimi tamamlandi sinavdan gecti")),ROWS($K$7:K703)),"")</f>
        <v/>
      </c>
    </row>
    <row r="704" spans="1:11" x14ac:dyDescent="0.25">
      <c r="A704" s="40" t="str">
        <f>IFERROR(INDEX(Personnel[Sicil],$K704),"")</f>
        <v/>
      </c>
      <c r="B704" s="41" t="str">
        <f>IFERROR(INDEX(Personnel[Adi Soyadi],$K704),"")</f>
        <v/>
      </c>
      <c r="C704" s="40" t="str">
        <f>IFERROR(INDEX(Personnel[Vatandaslik],$K704),"")</f>
        <v/>
      </c>
      <c r="D704" s="40" t="str">
        <f>IFERROR(INDEX(Personnel[Santiye],$K704),"")</f>
        <v/>
      </c>
      <c r="E704" s="40" t="str">
        <f>IFERROR(INDEX(Personnel[Ogretmen],$K704),"")</f>
        <v/>
      </c>
      <c r="F704" s="41" t="str">
        <f>IFERROR(INDEX(Personnel[[Sinav ]],$K704),"")</f>
        <v/>
      </c>
      <c r="G704" s="41" t="str">
        <f>IFERROR(INDEX(Personnel[Egtim durumu],$K704),"")</f>
        <v/>
      </c>
      <c r="H704" s="41" t="str">
        <f>IFERROR(INDEX(Personnel[Shohruh Not],$K704),"")</f>
        <v/>
      </c>
      <c r="I704" s="40" t="str">
        <f>IFERROR(INDEX(Personnel[Дней в РФ],$K704),"")</f>
        <v/>
      </c>
      <c r="K704" s="23" t="str">
        <f t="array" ref="K704">IFERROR(_xlfn.AGGREGATE(15,6,(ROW(Personnel[Egtim durumu])-MIN(ROW(Personnel[Egtim durumu]))+1)/((Personnel[Egtim durumu]="Dil egitimi tamamlandi sinavdan gecti")),ROWS($K$7:K704)),"")</f>
        <v/>
      </c>
    </row>
    <row r="705" spans="1:11" x14ac:dyDescent="0.25">
      <c r="A705" s="18" t="str">
        <f>IFERROR(INDEX(Personnel[Sicil],$K705),"")</f>
        <v/>
      </c>
      <c r="B705" s="17" t="str">
        <f>IFERROR(INDEX(Personnel[Adi Soyadi],$K705),"")</f>
        <v/>
      </c>
      <c r="C705" s="18" t="str">
        <f>IFERROR(INDEX(Personnel[Vatandaslik],$K705),"")</f>
        <v/>
      </c>
      <c r="D705" s="18" t="str">
        <f>IFERROR(INDEX(Personnel[Santiye],$K705),"")</f>
        <v/>
      </c>
      <c r="E705" s="18" t="str">
        <f>IFERROR(INDEX(Personnel[Ogretmen],$K705),"")</f>
        <v/>
      </c>
      <c r="F705" s="17" t="str">
        <f>IFERROR(INDEX(Personnel[[Sinav ]],$K705),"")</f>
        <v/>
      </c>
      <c r="G705" s="17" t="str">
        <f>IFERROR(INDEX(Personnel[Egtim durumu],$K705),"")</f>
        <v/>
      </c>
      <c r="H705" s="17" t="str">
        <f>IFERROR(INDEX(Personnel[Shohruh Not],$K705),"")</f>
        <v/>
      </c>
      <c r="I705" s="18" t="str">
        <f>IFERROR(INDEX(Personnel[Дней в РФ],$K705),"")</f>
        <v/>
      </c>
      <c r="K705" s="23" t="str">
        <f t="array" ref="K705">IFERROR(_xlfn.AGGREGATE(15,6,(ROW(Personnel[Egtim durumu])-MIN(ROW(Personnel[Egtim durumu]))+1)/((Personnel[Egtim durumu]="Dil egitimi tamamlandi sinavdan gecti")),ROWS($K$7:K705)),"")</f>
        <v/>
      </c>
    </row>
    <row r="706" spans="1:11" x14ac:dyDescent="0.25">
      <c r="A706" s="40" t="str">
        <f>IFERROR(INDEX(Personnel[Sicil],$K706),"")</f>
        <v/>
      </c>
      <c r="B706" s="41" t="str">
        <f>IFERROR(INDEX(Personnel[Adi Soyadi],$K706),"")</f>
        <v/>
      </c>
      <c r="C706" s="40" t="str">
        <f>IFERROR(INDEX(Personnel[Vatandaslik],$K706),"")</f>
        <v/>
      </c>
      <c r="D706" s="40" t="str">
        <f>IFERROR(INDEX(Personnel[Santiye],$K706),"")</f>
        <v/>
      </c>
      <c r="E706" s="40" t="str">
        <f>IFERROR(INDEX(Personnel[Ogretmen],$K706),"")</f>
        <v/>
      </c>
      <c r="F706" s="41" t="str">
        <f>IFERROR(INDEX(Personnel[[Sinav ]],$K706),"")</f>
        <v/>
      </c>
      <c r="G706" s="41" t="str">
        <f>IFERROR(INDEX(Personnel[Egtim durumu],$K706),"")</f>
        <v/>
      </c>
      <c r="H706" s="41" t="str">
        <f>IFERROR(INDEX(Personnel[Shohruh Not],$K706),"")</f>
        <v/>
      </c>
      <c r="I706" s="40" t="str">
        <f>IFERROR(INDEX(Personnel[Дней в РФ],$K706),"")</f>
        <v/>
      </c>
      <c r="K706" s="23" t="str">
        <f t="array" ref="K706">IFERROR(_xlfn.AGGREGATE(15,6,(ROW(Personnel[Egtim durumu])-MIN(ROW(Personnel[Egtim durumu]))+1)/((Personnel[Egtim durumu]="Dil egitimi tamamlandi sinavdan gecti")),ROWS($K$7:K706)),"")</f>
        <v/>
      </c>
    </row>
    <row r="707" spans="1:11" x14ac:dyDescent="0.25">
      <c r="A707" s="18" t="str">
        <f>IFERROR(INDEX(Personnel[Sicil],$K707),"")</f>
        <v/>
      </c>
      <c r="B707" s="17" t="str">
        <f>IFERROR(INDEX(Personnel[Adi Soyadi],$K707),"")</f>
        <v/>
      </c>
      <c r="C707" s="18" t="str">
        <f>IFERROR(INDEX(Personnel[Vatandaslik],$K707),"")</f>
        <v/>
      </c>
      <c r="D707" s="18" t="str">
        <f>IFERROR(INDEX(Personnel[Santiye],$K707),"")</f>
        <v/>
      </c>
      <c r="E707" s="18" t="str">
        <f>IFERROR(INDEX(Personnel[Ogretmen],$K707),"")</f>
        <v/>
      </c>
      <c r="F707" s="17" t="str">
        <f>IFERROR(INDEX(Personnel[[Sinav ]],$K707),"")</f>
        <v/>
      </c>
      <c r="G707" s="17" t="str">
        <f>IFERROR(INDEX(Personnel[Egtim durumu],$K707),"")</f>
        <v/>
      </c>
      <c r="H707" s="17" t="str">
        <f>IFERROR(INDEX(Personnel[Shohruh Not],$K707),"")</f>
        <v/>
      </c>
      <c r="I707" s="18" t="str">
        <f>IFERROR(INDEX(Personnel[Дней в РФ],$K707),"")</f>
        <v/>
      </c>
      <c r="K707" s="23" t="str">
        <f t="array" ref="K707">IFERROR(_xlfn.AGGREGATE(15,6,(ROW(Personnel[Egtim durumu])-MIN(ROW(Personnel[Egtim durumu]))+1)/((Personnel[Egtim durumu]="Dil egitimi tamamlandi sinavdan gecti")),ROWS($K$7:K707)),"")</f>
        <v/>
      </c>
    </row>
    <row r="708" spans="1:11" x14ac:dyDescent="0.25">
      <c r="A708" s="40" t="str">
        <f>IFERROR(INDEX(Personnel[Sicil],$K708),"")</f>
        <v/>
      </c>
      <c r="B708" s="41" t="str">
        <f>IFERROR(INDEX(Personnel[Adi Soyadi],$K708),"")</f>
        <v/>
      </c>
      <c r="C708" s="40" t="str">
        <f>IFERROR(INDEX(Personnel[Vatandaslik],$K708),"")</f>
        <v/>
      </c>
      <c r="D708" s="40" t="str">
        <f>IFERROR(INDEX(Personnel[Santiye],$K708),"")</f>
        <v/>
      </c>
      <c r="E708" s="40" t="str">
        <f>IFERROR(INDEX(Personnel[Ogretmen],$K708),"")</f>
        <v/>
      </c>
      <c r="F708" s="41" t="str">
        <f>IFERROR(INDEX(Personnel[[Sinav ]],$K708),"")</f>
        <v/>
      </c>
      <c r="G708" s="41" t="str">
        <f>IFERROR(INDEX(Personnel[Egtim durumu],$K708),"")</f>
        <v/>
      </c>
      <c r="H708" s="41" t="str">
        <f>IFERROR(INDEX(Personnel[Shohruh Not],$K708),"")</f>
        <v/>
      </c>
      <c r="I708" s="40" t="str">
        <f>IFERROR(INDEX(Personnel[Дней в РФ],$K708),"")</f>
        <v/>
      </c>
      <c r="K708" s="23" t="str">
        <f t="array" ref="K708">IFERROR(_xlfn.AGGREGATE(15,6,(ROW(Personnel[Egtim durumu])-MIN(ROW(Personnel[Egtim durumu]))+1)/((Personnel[Egtim durumu]="Dil egitimi tamamlandi sinavdan gecti")),ROWS($K$7:K708)),"")</f>
        <v/>
      </c>
    </row>
    <row r="709" spans="1:11" x14ac:dyDescent="0.25">
      <c r="A709" s="18" t="str">
        <f>IFERROR(INDEX(Personnel[Sicil],$K709),"")</f>
        <v/>
      </c>
      <c r="B709" s="17" t="str">
        <f>IFERROR(INDEX(Personnel[Adi Soyadi],$K709),"")</f>
        <v/>
      </c>
      <c r="C709" s="18" t="str">
        <f>IFERROR(INDEX(Personnel[Vatandaslik],$K709),"")</f>
        <v/>
      </c>
      <c r="D709" s="18" t="str">
        <f>IFERROR(INDEX(Personnel[Santiye],$K709),"")</f>
        <v/>
      </c>
      <c r="E709" s="18" t="str">
        <f>IFERROR(INDEX(Personnel[Ogretmen],$K709),"")</f>
        <v/>
      </c>
      <c r="F709" s="17" t="str">
        <f>IFERROR(INDEX(Personnel[[Sinav ]],$K709),"")</f>
        <v/>
      </c>
      <c r="G709" s="17" t="str">
        <f>IFERROR(INDEX(Personnel[Egtim durumu],$K709),"")</f>
        <v/>
      </c>
      <c r="H709" s="17" t="str">
        <f>IFERROR(INDEX(Personnel[Shohruh Not],$K709),"")</f>
        <v/>
      </c>
      <c r="I709" s="18" t="str">
        <f>IFERROR(INDEX(Personnel[Дней в РФ],$K709),"")</f>
        <v/>
      </c>
      <c r="K709" s="23" t="str">
        <f t="array" ref="K709">IFERROR(_xlfn.AGGREGATE(15,6,(ROW(Personnel[Egtim durumu])-MIN(ROW(Personnel[Egtim durumu]))+1)/((Personnel[Egtim durumu]="Dil egitimi tamamlandi sinavdan gecti")),ROWS($K$7:K709)),"")</f>
        <v/>
      </c>
    </row>
    <row r="710" spans="1:11" x14ac:dyDescent="0.25">
      <c r="A710" s="40" t="str">
        <f>IFERROR(INDEX(Personnel[Sicil],$K710),"")</f>
        <v/>
      </c>
      <c r="B710" s="41" t="str">
        <f>IFERROR(INDEX(Personnel[Adi Soyadi],$K710),"")</f>
        <v/>
      </c>
      <c r="C710" s="40" t="str">
        <f>IFERROR(INDEX(Personnel[Vatandaslik],$K710),"")</f>
        <v/>
      </c>
      <c r="D710" s="40" t="str">
        <f>IFERROR(INDEX(Personnel[Santiye],$K710),"")</f>
        <v/>
      </c>
      <c r="E710" s="40" t="str">
        <f>IFERROR(INDEX(Personnel[Ogretmen],$K710),"")</f>
        <v/>
      </c>
      <c r="F710" s="41" t="str">
        <f>IFERROR(INDEX(Personnel[[Sinav ]],$K710),"")</f>
        <v/>
      </c>
      <c r="G710" s="41" t="str">
        <f>IFERROR(INDEX(Personnel[Egtim durumu],$K710),"")</f>
        <v/>
      </c>
      <c r="H710" s="41" t="str">
        <f>IFERROR(INDEX(Personnel[Shohruh Not],$K710),"")</f>
        <v/>
      </c>
      <c r="I710" s="40" t="str">
        <f>IFERROR(INDEX(Personnel[Дней в РФ],$K710),"")</f>
        <v/>
      </c>
      <c r="K710" s="23" t="str">
        <f t="array" ref="K710">IFERROR(_xlfn.AGGREGATE(15,6,(ROW(Personnel[Egtim durumu])-MIN(ROW(Personnel[Egtim durumu]))+1)/((Personnel[Egtim durumu]="Dil egitimi tamamlandi sinavdan gecti")),ROWS($K$7:K710)),"")</f>
        <v/>
      </c>
    </row>
    <row r="711" spans="1:11" x14ac:dyDescent="0.25">
      <c r="A711" s="18" t="str">
        <f>IFERROR(INDEX(Personnel[Sicil],$K711),"")</f>
        <v/>
      </c>
      <c r="B711" s="17" t="str">
        <f>IFERROR(INDEX(Personnel[Adi Soyadi],$K711),"")</f>
        <v/>
      </c>
      <c r="C711" s="18" t="str">
        <f>IFERROR(INDEX(Personnel[Vatandaslik],$K711),"")</f>
        <v/>
      </c>
      <c r="D711" s="18" t="str">
        <f>IFERROR(INDEX(Personnel[Santiye],$K711),"")</f>
        <v/>
      </c>
      <c r="E711" s="18" t="str">
        <f>IFERROR(INDEX(Personnel[Ogretmen],$K711),"")</f>
        <v/>
      </c>
      <c r="F711" s="17" t="str">
        <f>IFERROR(INDEX(Personnel[[Sinav ]],$K711),"")</f>
        <v/>
      </c>
      <c r="G711" s="17" t="str">
        <f>IFERROR(INDEX(Personnel[Egtim durumu],$K711),"")</f>
        <v/>
      </c>
      <c r="H711" s="17" t="str">
        <f>IFERROR(INDEX(Personnel[Shohruh Not],$K711),"")</f>
        <v/>
      </c>
      <c r="I711" s="18" t="str">
        <f>IFERROR(INDEX(Personnel[Дней в РФ],$K711),"")</f>
        <v/>
      </c>
      <c r="K711" s="23" t="str">
        <f t="array" ref="K711">IFERROR(_xlfn.AGGREGATE(15,6,(ROW(Personnel[Egtim durumu])-MIN(ROW(Personnel[Egtim durumu]))+1)/((Personnel[Egtim durumu]="Dil egitimi tamamlandi sinavdan gecti")),ROWS($K$7:K711)),"")</f>
        <v/>
      </c>
    </row>
    <row r="712" spans="1:11" x14ac:dyDescent="0.25">
      <c r="A712" s="40" t="str">
        <f>IFERROR(INDEX(Personnel[Sicil],$K712),"")</f>
        <v/>
      </c>
      <c r="B712" s="41" t="str">
        <f>IFERROR(INDEX(Personnel[Adi Soyadi],$K712),"")</f>
        <v/>
      </c>
      <c r="C712" s="40" t="str">
        <f>IFERROR(INDEX(Personnel[Vatandaslik],$K712),"")</f>
        <v/>
      </c>
      <c r="D712" s="40" t="str">
        <f>IFERROR(INDEX(Personnel[Santiye],$K712),"")</f>
        <v/>
      </c>
      <c r="E712" s="40" t="str">
        <f>IFERROR(INDEX(Personnel[Ogretmen],$K712),"")</f>
        <v/>
      </c>
      <c r="F712" s="41" t="str">
        <f>IFERROR(INDEX(Personnel[[Sinav ]],$K712),"")</f>
        <v/>
      </c>
      <c r="G712" s="41" t="str">
        <f>IFERROR(INDEX(Personnel[Egtim durumu],$K712),"")</f>
        <v/>
      </c>
      <c r="H712" s="41" t="str">
        <f>IFERROR(INDEX(Personnel[Shohruh Not],$K712),"")</f>
        <v/>
      </c>
      <c r="I712" s="40" t="str">
        <f>IFERROR(INDEX(Personnel[Дней в РФ],$K712),"")</f>
        <v/>
      </c>
      <c r="K712" s="23" t="str">
        <f t="array" ref="K712">IFERROR(_xlfn.AGGREGATE(15,6,(ROW(Personnel[Egtim durumu])-MIN(ROW(Personnel[Egtim durumu]))+1)/((Personnel[Egtim durumu]="Dil egitimi tamamlandi sinavdan gecti")),ROWS($K$7:K712)),"")</f>
        <v/>
      </c>
    </row>
    <row r="713" spans="1:11" x14ac:dyDescent="0.25">
      <c r="A713" s="18" t="str">
        <f>IFERROR(INDEX(Personnel[Sicil],$K713),"")</f>
        <v/>
      </c>
      <c r="B713" s="17" t="str">
        <f>IFERROR(INDEX(Personnel[Adi Soyadi],$K713),"")</f>
        <v/>
      </c>
      <c r="C713" s="18" t="str">
        <f>IFERROR(INDEX(Personnel[Vatandaslik],$K713),"")</f>
        <v/>
      </c>
      <c r="D713" s="18" t="str">
        <f>IFERROR(INDEX(Personnel[Santiye],$K713),"")</f>
        <v/>
      </c>
      <c r="E713" s="18" t="str">
        <f>IFERROR(INDEX(Personnel[Ogretmen],$K713),"")</f>
        <v/>
      </c>
      <c r="F713" s="17" t="str">
        <f>IFERROR(INDEX(Personnel[[Sinav ]],$K713),"")</f>
        <v/>
      </c>
      <c r="G713" s="17" t="str">
        <f>IFERROR(INDEX(Personnel[Egtim durumu],$K713),"")</f>
        <v/>
      </c>
      <c r="H713" s="17" t="str">
        <f>IFERROR(INDEX(Personnel[Shohruh Not],$K713),"")</f>
        <v/>
      </c>
      <c r="I713" s="18" t="str">
        <f>IFERROR(INDEX(Personnel[Дней в РФ],$K713),"")</f>
        <v/>
      </c>
      <c r="K713" s="23" t="str">
        <f t="array" ref="K713">IFERROR(_xlfn.AGGREGATE(15,6,(ROW(Personnel[Egtim durumu])-MIN(ROW(Personnel[Egtim durumu]))+1)/((Personnel[Egtim durumu]="Dil egitimi tamamlandi sinavdan gecti")),ROWS($K$7:K713)),"")</f>
        <v/>
      </c>
    </row>
    <row r="714" spans="1:11" x14ac:dyDescent="0.25">
      <c r="A714" s="40" t="str">
        <f>IFERROR(INDEX(Personnel[Sicil],$K714),"")</f>
        <v/>
      </c>
      <c r="B714" s="41" t="str">
        <f>IFERROR(INDEX(Personnel[Adi Soyadi],$K714),"")</f>
        <v/>
      </c>
      <c r="C714" s="40" t="str">
        <f>IFERROR(INDEX(Personnel[Vatandaslik],$K714),"")</f>
        <v/>
      </c>
      <c r="D714" s="40" t="str">
        <f>IFERROR(INDEX(Personnel[Santiye],$K714),"")</f>
        <v/>
      </c>
      <c r="E714" s="40" t="str">
        <f>IFERROR(INDEX(Personnel[Ogretmen],$K714),"")</f>
        <v/>
      </c>
      <c r="F714" s="41" t="str">
        <f>IFERROR(INDEX(Personnel[[Sinav ]],$K714),"")</f>
        <v/>
      </c>
      <c r="G714" s="41" t="str">
        <f>IFERROR(INDEX(Personnel[Egtim durumu],$K714),"")</f>
        <v/>
      </c>
      <c r="H714" s="41" t="str">
        <f>IFERROR(INDEX(Personnel[Shohruh Not],$K714),"")</f>
        <v/>
      </c>
      <c r="I714" s="40" t="str">
        <f>IFERROR(INDEX(Personnel[Дней в РФ],$K714),"")</f>
        <v/>
      </c>
      <c r="K714" s="23" t="str">
        <f t="array" ref="K714">IFERROR(_xlfn.AGGREGATE(15,6,(ROW(Personnel[Egtim durumu])-MIN(ROW(Personnel[Egtim durumu]))+1)/((Personnel[Egtim durumu]="Dil egitimi tamamlandi sinavdan gecti")),ROWS($K$7:K714)),"")</f>
        <v/>
      </c>
    </row>
    <row r="715" spans="1:11" x14ac:dyDescent="0.25">
      <c r="A715" s="18" t="str">
        <f>IFERROR(INDEX(Personnel[Sicil],$K715),"")</f>
        <v/>
      </c>
      <c r="B715" s="17" t="str">
        <f>IFERROR(INDEX(Personnel[Adi Soyadi],$K715),"")</f>
        <v/>
      </c>
      <c r="C715" s="18" t="str">
        <f>IFERROR(INDEX(Personnel[Vatandaslik],$K715),"")</f>
        <v/>
      </c>
      <c r="D715" s="18" t="str">
        <f>IFERROR(INDEX(Personnel[Santiye],$K715),"")</f>
        <v/>
      </c>
      <c r="E715" s="18" t="str">
        <f>IFERROR(INDEX(Personnel[Ogretmen],$K715),"")</f>
        <v/>
      </c>
      <c r="F715" s="17" t="str">
        <f>IFERROR(INDEX(Personnel[[Sinav ]],$K715),"")</f>
        <v/>
      </c>
      <c r="G715" s="17" t="str">
        <f>IFERROR(INDEX(Personnel[Egtim durumu],$K715),"")</f>
        <v/>
      </c>
      <c r="H715" s="17" t="str">
        <f>IFERROR(INDEX(Personnel[Shohruh Not],$K715),"")</f>
        <v/>
      </c>
      <c r="I715" s="18" t="str">
        <f>IFERROR(INDEX(Personnel[Дней в РФ],$K715),"")</f>
        <v/>
      </c>
      <c r="K715" s="23" t="str">
        <f t="array" ref="K715">IFERROR(_xlfn.AGGREGATE(15,6,(ROW(Personnel[Egtim durumu])-MIN(ROW(Personnel[Egtim durumu]))+1)/((Personnel[Egtim durumu]="Dil egitimi tamamlandi sinavdan gecti")),ROWS($K$7:K715)),"")</f>
        <v/>
      </c>
    </row>
    <row r="716" spans="1:11" x14ac:dyDescent="0.25">
      <c r="A716" s="40" t="str">
        <f>IFERROR(INDEX(Personnel[Sicil],$K716),"")</f>
        <v/>
      </c>
      <c r="B716" s="41" t="str">
        <f>IFERROR(INDEX(Personnel[Adi Soyadi],$K716),"")</f>
        <v/>
      </c>
      <c r="C716" s="40" t="str">
        <f>IFERROR(INDEX(Personnel[Vatandaslik],$K716),"")</f>
        <v/>
      </c>
      <c r="D716" s="40" t="str">
        <f>IFERROR(INDEX(Personnel[Santiye],$K716),"")</f>
        <v/>
      </c>
      <c r="E716" s="40" t="str">
        <f>IFERROR(INDEX(Personnel[Ogretmen],$K716),"")</f>
        <v/>
      </c>
      <c r="F716" s="41" t="str">
        <f>IFERROR(INDEX(Personnel[[Sinav ]],$K716),"")</f>
        <v/>
      </c>
      <c r="G716" s="41" t="str">
        <f>IFERROR(INDEX(Personnel[Egtim durumu],$K716),"")</f>
        <v/>
      </c>
      <c r="H716" s="41" t="str">
        <f>IFERROR(INDEX(Personnel[Shohruh Not],$K716),"")</f>
        <v/>
      </c>
      <c r="I716" s="40" t="str">
        <f>IFERROR(INDEX(Personnel[Дней в РФ],$K716),"")</f>
        <v/>
      </c>
      <c r="K716" s="23" t="str">
        <f t="array" ref="K716">IFERROR(_xlfn.AGGREGATE(15,6,(ROW(Personnel[Egtim durumu])-MIN(ROW(Personnel[Egtim durumu]))+1)/((Personnel[Egtim durumu]="Dil egitimi tamamlandi sinavdan gecti")),ROWS($K$7:K716)),"")</f>
        <v/>
      </c>
    </row>
    <row r="717" spans="1:11" x14ac:dyDescent="0.25">
      <c r="A717" s="18" t="str">
        <f>IFERROR(INDEX(Personnel[Sicil],$K717),"")</f>
        <v/>
      </c>
      <c r="B717" s="17" t="str">
        <f>IFERROR(INDEX(Personnel[Adi Soyadi],$K717),"")</f>
        <v/>
      </c>
      <c r="C717" s="18" t="str">
        <f>IFERROR(INDEX(Personnel[Vatandaslik],$K717),"")</f>
        <v/>
      </c>
      <c r="D717" s="18" t="str">
        <f>IFERROR(INDEX(Personnel[Santiye],$K717),"")</f>
        <v/>
      </c>
      <c r="E717" s="18" t="str">
        <f>IFERROR(INDEX(Personnel[Ogretmen],$K717),"")</f>
        <v/>
      </c>
      <c r="F717" s="17" t="str">
        <f>IFERROR(INDEX(Personnel[[Sinav ]],$K717),"")</f>
        <v/>
      </c>
      <c r="G717" s="17" t="str">
        <f>IFERROR(INDEX(Personnel[Egtim durumu],$K717),"")</f>
        <v/>
      </c>
      <c r="H717" s="17" t="str">
        <f>IFERROR(INDEX(Personnel[Shohruh Not],$K717),"")</f>
        <v/>
      </c>
      <c r="I717" s="18" t="str">
        <f>IFERROR(INDEX(Personnel[Дней в РФ],$K717),"")</f>
        <v/>
      </c>
      <c r="K717" s="23" t="str">
        <f t="array" ref="K717">IFERROR(_xlfn.AGGREGATE(15,6,(ROW(Personnel[Egtim durumu])-MIN(ROW(Personnel[Egtim durumu]))+1)/((Personnel[Egtim durumu]="Dil egitimi tamamlandi sinavdan gecti")),ROWS($K$7:K717)),"")</f>
        <v/>
      </c>
    </row>
    <row r="718" spans="1:11" x14ac:dyDescent="0.25">
      <c r="A718" s="40" t="str">
        <f>IFERROR(INDEX(Personnel[Sicil],$K718),"")</f>
        <v/>
      </c>
      <c r="B718" s="41" t="str">
        <f>IFERROR(INDEX(Personnel[Adi Soyadi],$K718),"")</f>
        <v/>
      </c>
      <c r="C718" s="40" t="str">
        <f>IFERROR(INDEX(Personnel[Vatandaslik],$K718),"")</f>
        <v/>
      </c>
      <c r="D718" s="40" t="str">
        <f>IFERROR(INDEX(Personnel[Santiye],$K718),"")</f>
        <v/>
      </c>
      <c r="E718" s="40" t="str">
        <f>IFERROR(INDEX(Personnel[Ogretmen],$K718),"")</f>
        <v/>
      </c>
      <c r="F718" s="41" t="str">
        <f>IFERROR(INDEX(Personnel[[Sinav ]],$K718),"")</f>
        <v/>
      </c>
      <c r="G718" s="41" t="str">
        <f>IFERROR(INDEX(Personnel[Egtim durumu],$K718),"")</f>
        <v/>
      </c>
      <c r="H718" s="41" t="str">
        <f>IFERROR(INDEX(Personnel[Shohruh Not],$K718),"")</f>
        <v/>
      </c>
      <c r="I718" s="40" t="str">
        <f>IFERROR(INDEX(Personnel[Дней в РФ],$K718),"")</f>
        <v/>
      </c>
      <c r="K718" s="23" t="str">
        <f t="array" ref="K718">IFERROR(_xlfn.AGGREGATE(15,6,(ROW(Personnel[Egtim durumu])-MIN(ROW(Personnel[Egtim durumu]))+1)/((Personnel[Egtim durumu]="Dil egitimi tamamlandi sinavdan gecti")),ROWS($K$7:K718)),"")</f>
        <v/>
      </c>
    </row>
    <row r="719" spans="1:11" x14ac:dyDescent="0.25">
      <c r="A719" s="18" t="str">
        <f>IFERROR(INDEX(Personnel[Sicil],$K719),"")</f>
        <v/>
      </c>
      <c r="B719" s="17" t="str">
        <f>IFERROR(INDEX(Personnel[Adi Soyadi],$K719),"")</f>
        <v/>
      </c>
      <c r="C719" s="18" t="str">
        <f>IFERROR(INDEX(Personnel[Vatandaslik],$K719),"")</f>
        <v/>
      </c>
      <c r="D719" s="18" t="str">
        <f>IFERROR(INDEX(Personnel[Santiye],$K719),"")</f>
        <v/>
      </c>
      <c r="E719" s="18" t="str">
        <f>IFERROR(INDEX(Personnel[Ogretmen],$K719),"")</f>
        <v/>
      </c>
      <c r="F719" s="17" t="str">
        <f>IFERROR(INDEX(Personnel[[Sinav ]],$K719),"")</f>
        <v/>
      </c>
      <c r="G719" s="17" t="str">
        <f>IFERROR(INDEX(Personnel[Egtim durumu],$K719),"")</f>
        <v/>
      </c>
      <c r="H719" s="17" t="str">
        <f>IFERROR(INDEX(Personnel[Shohruh Not],$K719),"")</f>
        <v/>
      </c>
      <c r="I719" s="18" t="str">
        <f>IFERROR(INDEX(Personnel[Дней в РФ],$K719),"")</f>
        <v/>
      </c>
      <c r="K719" s="23" t="str">
        <f t="array" ref="K719">IFERROR(_xlfn.AGGREGATE(15,6,(ROW(Personnel[Egtim durumu])-MIN(ROW(Personnel[Egtim durumu]))+1)/((Personnel[Egtim durumu]="Dil egitimi tamamlandi sinavdan gecti")),ROWS($K$7:K719)),"")</f>
        <v/>
      </c>
    </row>
    <row r="720" spans="1:11" x14ac:dyDescent="0.25">
      <c r="A720" s="40" t="str">
        <f>IFERROR(INDEX(Personnel[Sicil],$K720),"")</f>
        <v/>
      </c>
      <c r="B720" s="41" t="str">
        <f>IFERROR(INDEX(Personnel[Adi Soyadi],$K720),"")</f>
        <v/>
      </c>
      <c r="C720" s="40" t="str">
        <f>IFERROR(INDEX(Personnel[Vatandaslik],$K720),"")</f>
        <v/>
      </c>
      <c r="D720" s="40" t="str">
        <f>IFERROR(INDEX(Personnel[Santiye],$K720),"")</f>
        <v/>
      </c>
      <c r="E720" s="40" t="str">
        <f>IFERROR(INDEX(Personnel[Ogretmen],$K720),"")</f>
        <v/>
      </c>
      <c r="F720" s="41" t="str">
        <f>IFERROR(INDEX(Personnel[[Sinav ]],$K720),"")</f>
        <v/>
      </c>
      <c r="G720" s="41" t="str">
        <f>IFERROR(INDEX(Personnel[Egtim durumu],$K720),"")</f>
        <v/>
      </c>
      <c r="H720" s="41" t="str">
        <f>IFERROR(INDEX(Personnel[Shohruh Not],$K720),"")</f>
        <v/>
      </c>
      <c r="I720" s="40" t="str">
        <f>IFERROR(INDEX(Personnel[Дней в РФ],$K720),"")</f>
        <v/>
      </c>
      <c r="K720" s="23" t="str">
        <f t="array" ref="K720">IFERROR(_xlfn.AGGREGATE(15,6,(ROW(Personnel[Egtim durumu])-MIN(ROW(Personnel[Egtim durumu]))+1)/((Personnel[Egtim durumu]="Dil egitimi tamamlandi sinavdan gecti")),ROWS($K$7:K720)),"")</f>
        <v/>
      </c>
    </row>
    <row r="721" spans="1:11" x14ac:dyDescent="0.25">
      <c r="A721" s="18" t="str">
        <f>IFERROR(INDEX(Personnel[Sicil],$K721),"")</f>
        <v/>
      </c>
      <c r="B721" s="17" t="str">
        <f>IFERROR(INDEX(Personnel[Adi Soyadi],$K721),"")</f>
        <v/>
      </c>
      <c r="C721" s="18" t="str">
        <f>IFERROR(INDEX(Personnel[Vatandaslik],$K721),"")</f>
        <v/>
      </c>
      <c r="D721" s="18" t="str">
        <f>IFERROR(INDEX(Personnel[Santiye],$K721),"")</f>
        <v/>
      </c>
      <c r="E721" s="18" t="str">
        <f>IFERROR(INDEX(Personnel[Ogretmen],$K721),"")</f>
        <v/>
      </c>
      <c r="F721" s="17" t="str">
        <f>IFERROR(INDEX(Personnel[[Sinav ]],$K721),"")</f>
        <v/>
      </c>
      <c r="G721" s="17" t="str">
        <f>IFERROR(INDEX(Personnel[Egtim durumu],$K721),"")</f>
        <v/>
      </c>
      <c r="H721" s="17" t="str">
        <f>IFERROR(INDEX(Personnel[Shohruh Not],$K721),"")</f>
        <v/>
      </c>
      <c r="I721" s="18" t="str">
        <f>IFERROR(INDEX(Personnel[Дней в РФ],$K721),"")</f>
        <v/>
      </c>
      <c r="K721" s="23" t="str">
        <f t="array" ref="K721">IFERROR(_xlfn.AGGREGATE(15,6,(ROW(Personnel[Egtim durumu])-MIN(ROW(Personnel[Egtim durumu]))+1)/((Personnel[Egtim durumu]="Dil egitimi tamamlandi sinavdan gecti")),ROWS($K$7:K721)),"")</f>
        <v/>
      </c>
    </row>
    <row r="722" spans="1:11" x14ac:dyDescent="0.25">
      <c r="A722" s="40" t="str">
        <f>IFERROR(INDEX(Personnel[Sicil],$K722),"")</f>
        <v/>
      </c>
      <c r="B722" s="41" t="str">
        <f>IFERROR(INDEX(Personnel[Adi Soyadi],$K722),"")</f>
        <v/>
      </c>
      <c r="C722" s="40" t="str">
        <f>IFERROR(INDEX(Personnel[Vatandaslik],$K722),"")</f>
        <v/>
      </c>
      <c r="D722" s="40" t="str">
        <f>IFERROR(INDEX(Personnel[Santiye],$K722),"")</f>
        <v/>
      </c>
      <c r="E722" s="40" t="str">
        <f>IFERROR(INDEX(Personnel[Ogretmen],$K722),"")</f>
        <v/>
      </c>
      <c r="F722" s="41" t="str">
        <f>IFERROR(INDEX(Personnel[[Sinav ]],$K722),"")</f>
        <v/>
      </c>
      <c r="G722" s="41" t="str">
        <f>IFERROR(INDEX(Personnel[Egtim durumu],$K722),"")</f>
        <v/>
      </c>
      <c r="H722" s="41" t="str">
        <f>IFERROR(INDEX(Personnel[Shohruh Not],$K722),"")</f>
        <v/>
      </c>
      <c r="I722" s="40" t="str">
        <f>IFERROR(INDEX(Personnel[Дней в РФ],$K722),"")</f>
        <v/>
      </c>
      <c r="K722" s="23" t="str">
        <f t="array" ref="K722">IFERROR(_xlfn.AGGREGATE(15,6,(ROW(Personnel[Egtim durumu])-MIN(ROW(Personnel[Egtim durumu]))+1)/((Personnel[Egtim durumu]="Dil egitimi tamamlandi sinavdan gecti")),ROWS($K$7:K722)),"")</f>
        <v/>
      </c>
    </row>
    <row r="723" spans="1:11" x14ac:dyDescent="0.25">
      <c r="A723" s="18" t="str">
        <f>IFERROR(INDEX(Personnel[Sicil],$K723),"")</f>
        <v/>
      </c>
      <c r="B723" s="17" t="str">
        <f>IFERROR(INDEX(Personnel[Adi Soyadi],$K723),"")</f>
        <v/>
      </c>
      <c r="C723" s="18" t="str">
        <f>IFERROR(INDEX(Personnel[Vatandaslik],$K723),"")</f>
        <v/>
      </c>
      <c r="D723" s="18" t="str">
        <f>IFERROR(INDEX(Personnel[Santiye],$K723),"")</f>
        <v/>
      </c>
      <c r="E723" s="18" t="str">
        <f>IFERROR(INDEX(Personnel[Ogretmen],$K723),"")</f>
        <v/>
      </c>
      <c r="F723" s="17" t="str">
        <f>IFERROR(INDEX(Personnel[[Sinav ]],$K723),"")</f>
        <v/>
      </c>
      <c r="G723" s="17" t="str">
        <f>IFERROR(INDEX(Personnel[Egtim durumu],$K723),"")</f>
        <v/>
      </c>
      <c r="H723" s="17" t="str">
        <f>IFERROR(INDEX(Personnel[Shohruh Not],$K723),"")</f>
        <v/>
      </c>
      <c r="I723" s="18" t="str">
        <f>IFERROR(INDEX(Personnel[Дней в РФ],$K723),"")</f>
        <v/>
      </c>
      <c r="K723" s="23" t="str">
        <f t="array" ref="K723">IFERROR(_xlfn.AGGREGATE(15,6,(ROW(Personnel[Egtim durumu])-MIN(ROW(Personnel[Egtim durumu]))+1)/((Personnel[Egtim durumu]="Dil egitimi tamamlandi sinavdan gecti")),ROWS($K$7:K723)),"")</f>
        <v/>
      </c>
    </row>
    <row r="724" spans="1:11" x14ac:dyDescent="0.25">
      <c r="A724" s="40" t="str">
        <f>IFERROR(INDEX(Personnel[Sicil],$K724),"")</f>
        <v/>
      </c>
      <c r="B724" s="41" t="str">
        <f>IFERROR(INDEX(Personnel[Adi Soyadi],$K724),"")</f>
        <v/>
      </c>
      <c r="C724" s="40" t="str">
        <f>IFERROR(INDEX(Personnel[Vatandaslik],$K724),"")</f>
        <v/>
      </c>
      <c r="D724" s="40" t="str">
        <f>IFERROR(INDEX(Personnel[Santiye],$K724),"")</f>
        <v/>
      </c>
      <c r="E724" s="40" t="str">
        <f>IFERROR(INDEX(Personnel[Ogretmen],$K724),"")</f>
        <v/>
      </c>
      <c r="F724" s="41" t="str">
        <f>IFERROR(INDEX(Personnel[[Sinav ]],$K724),"")</f>
        <v/>
      </c>
      <c r="G724" s="41" t="str">
        <f>IFERROR(INDEX(Personnel[Egtim durumu],$K724),"")</f>
        <v/>
      </c>
      <c r="H724" s="41" t="str">
        <f>IFERROR(INDEX(Personnel[Shohruh Not],$K724),"")</f>
        <v/>
      </c>
      <c r="I724" s="40" t="str">
        <f>IFERROR(INDEX(Personnel[Дней в РФ],$K724),"")</f>
        <v/>
      </c>
      <c r="K724" s="23" t="str">
        <f t="array" ref="K724">IFERROR(_xlfn.AGGREGATE(15,6,(ROW(Personnel[Egtim durumu])-MIN(ROW(Personnel[Egtim durumu]))+1)/((Personnel[Egtim durumu]="Dil egitimi tamamlandi sinavdan gecti")),ROWS($K$7:K724)),"")</f>
        <v/>
      </c>
    </row>
    <row r="725" spans="1:11" x14ac:dyDescent="0.25">
      <c r="A725" s="18" t="str">
        <f>IFERROR(INDEX(Personnel[Sicil],$K725),"")</f>
        <v/>
      </c>
      <c r="B725" s="17" t="str">
        <f>IFERROR(INDEX(Personnel[Adi Soyadi],$K725),"")</f>
        <v/>
      </c>
      <c r="C725" s="18" t="str">
        <f>IFERROR(INDEX(Personnel[Vatandaslik],$K725),"")</f>
        <v/>
      </c>
      <c r="D725" s="18" t="str">
        <f>IFERROR(INDEX(Personnel[Santiye],$K725),"")</f>
        <v/>
      </c>
      <c r="E725" s="18" t="str">
        <f>IFERROR(INDEX(Personnel[Ogretmen],$K725),"")</f>
        <v/>
      </c>
      <c r="F725" s="17" t="str">
        <f>IFERROR(INDEX(Personnel[[Sinav ]],$K725),"")</f>
        <v/>
      </c>
      <c r="G725" s="17" t="str">
        <f>IFERROR(INDEX(Personnel[Egtim durumu],$K725),"")</f>
        <v/>
      </c>
      <c r="H725" s="17" t="str">
        <f>IFERROR(INDEX(Personnel[Shohruh Not],$K725),"")</f>
        <v/>
      </c>
      <c r="I725" s="18" t="str">
        <f>IFERROR(INDEX(Personnel[Дней в РФ],$K725),"")</f>
        <v/>
      </c>
      <c r="K725" s="23" t="str">
        <f t="array" ref="K725">IFERROR(_xlfn.AGGREGATE(15,6,(ROW(Personnel[Egtim durumu])-MIN(ROW(Personnel[Egtim durumu]))+1)/((Personnel[Egtim durumu]="Dil egitimi tamamlandi sinavdan gecti")),ROWS($K$7:K725)),"")</f>
        <v/>
      </c>
    </row>
    <row r="726" spans="1:11" x14ac:dyDescent="0.25">
      <c r="A726" s="40" t="str">
        <f>IFERROR(INDEX(Personnel[Sicil],$K726),"")</f>
        <v/>
      </c>
      <c r="B726" s="41" t="str">
        <f>IFERROR(INDEX(Personnel[Adi Soyadi],$K726),"")</f>
        <v/>
      </c>
      <c r="C726" s="40" t="str">
        <f>IFERROR(INDEX(Personnel[Vatandaslik],$K726),"")</f>
        <v/>
      </c>
      <c r="D726" s="40" t="str">
        <f>IFERROR(INDEX(Personnel[Santiye],$K726),"")</f>
        <v/>
      </c>
      <c r="E726" s="40" t="str">
        <f>IFERROR(INDEX(Personnel[Ogretmen],$K726),"")</f>
        <v/>
      </c>
      <c r="F726" s="41" t="str">
        <f>IFERROR(INDEX(Personnel[[Sinav ]],$K726),"")</f>
        <v/>
      </c>
      <c r="G726" s="41" t="str">
        <f>IFERROR(INDEX(Personnel[Egtim durumu],$K726),"")</f>
        <v/>
      </c>
      <c r="H726" s="41" t="str">
        <f>IFERROR(INDEX(Personnel[Shohruh Not],$K726),"")</f>
        <v/>
      </c>
      <c r="I726" s="40" t="str">
        <f>IFERROR(INDEX(Personnel[Дней в РФ],$K726),"")</f>
        <v/>
      </c>
      <c r="K726" s="23" t="str">
        <f t="array" ref="K726">IFERROR(_xlfn.AGGREGATE(15,6,(ROW(Personnel[Egtim durumu])-MIN(ROW(Personnel[Egtim durumu]))+1)/((Personnel[Egtim durumu]="Dil egitimi tamamlandi sinavdan gecti")),ROWS($K$7:K726)),"")</f>
        <v/>
      </c>
    </row>
    <row r="727" spans="1:11" x14ac:dyDescent="0.25">
      <c r="A727" s="18" t="str">
        <f>IFERROR(INDEX(Personnel[Sicil],$K727),"")</f>
        <v/>
      </c>
      <c r="B727" s="17" t="str">
        <f>IFERROR(INDEX(Personnel[Adi Soyadi],$K727),"")</f>
        <v/>
      </c>
      <c r="C727" s="18" t="str">
        <f>IFERROR(INDEX(Personnel[Vatandaslik],$K727),"")</f>
        <v/>
      </c>
      <c r="D727" s="18" t="str">
        <f>IFERROR(INDEX(Personnel[Santiye],$K727),"")</f>
        <v/>
      </c>
      <c r="E727" s="18" t="str">
        <f>IFERROR(INDEX(Personnel[Ogretmen],$K727),"")</f>
        <v/>
      </c>
      <c r="F727" s="17" t="str">
        <f>IFERROR(INDEX(Personnel[[Sinav ]],$K727),"")</f>
        <v/>
      </c>
      <c r="G727" s="17" t="str">
        <f>IFERROR(INDEX(Personnel[Egtim durumu],$K727),"")</f>
        <v/>
      </c>
      <c r="H727" s="17" t="str">
        <f>IFERROR(INDEX(Personnel[Shohruh Not],$K727),"")</f>
        <v/>
      </c>
      <c r="I727" s="18" t="str">
        <f>IFERROR(INDEX(Personnel[Дней в РФ],$K727),"")</f>
        <v/>
      </c>
      <c r="K727" s="23" t="str">
        <f t="array" ref="K727">IFERROR(_xlfn.AGGREGATE(15,6,(ROW(Personnel[Egtim durumu])-MIN(ROW(Personnel[Egtim durumu]))+1)/((Personnel[Egtim durumu]="Dil egitimi tamamlandi sinavdan gecti")),ROWS($K$7:K727)),"")</f>
        <v/>
      </c>
    </row>
    <row r="728" spans="1:11" x14ac:dyDescent="0.25">
      <c r="A728" s="40" t="str">
        <f>IFERROR(INDEX(Personnel[Sicil],$K728),"")</f>
        <v/>
      </c>
      <c r="B728" s="41" t="str">
        <f>IFERROR(INDEX(Personnel[Adi Soyadi],$K728),"")</f>
        <v/>
      </c>
      <c r="C728" s="40" t="str">
        <f>IFERROR(INDEX(Personnel[Vatandaslik],$K728),"")</f>
        <v/>
      </c>
      <c r="D728" s="40" t="str">
        <f>IFERROR(INDEX(Personnel[Santiye],$K728),"")</f>
        <v/>
      </c>
      <c r="E728" s="40" t="str">
        <f>IFERROR(INDEX(Personnel[Ogretmen],$K728),"")</f>
        <v/>
      </c>
      <c r="F728" s="41" t="str">
        <f>IFERROR(INDEX(Personnel[[Sinav ]],$K728),"")</f>
        <v/>
      </c>
      <c r="G728" s="41" t="str">
        <f>IFERROR(INDEX(Personnel[Egtim durumu],$K728),"")</f>
        <v/>
      </c>
      <c r="H728" s="41" t="str">
        <f>IFERROR(INDEX(Personnel[Shohruh Not],$K728),"")</f>
        <v/>
      </c>
      <c r="I728" s="40" t="str">
        <f>IFERROR(INDEX(Personnel[Дней в РФ],$K728),"")</f>
        <v/>
      </c>
      <c r="K728" s="23" t="str">
        <f t="array" ref="K728">IFERROR(_xlfn.AGGREGATE(15,6,(ROW(Personnel[Egtim durumu])-MIN(ROW(Personnel[Egtim durumu]))+1)/((Personnel[Egtim durumu]="Dil egitimi tamamlandi sinavdan gecti")),ROWS($K$7:K728)),"")</f>
        <v/>
      </c>
    </row>
    <row r="729" spans="1:11" x14ac:dyDescent="0.25">
      <c r="A729" s="18" t="str">
        <f>IFERROR(INDEX(Personnel[Sicil],$K729),"")</f>
        <v/>
      </c>
      <c r="B729" s="17" t="str">
        <f>IFERROR(INDEX(Personnel[Adi Soyadi],$K729),"")</f>
        <v/>
      </c>
      <c r="C729" s="18" t="str">
        <f>IFERROR(INDEX(Personnel[Vatandaslik],$K729),"")</f>
        <v/>
      </c>
      <c r="D729" s="18" t="str">
        <f>IFERROR(INDEX(Personnel[Santiye],$K729),"")</f>
        <v/>
      </c>
      <c r="E729" s="18" t="str">
        <f>IFERROR(INDEX(Personnel[Ogretmen],$K729),"")</f>
        <v/>
      </c>
      <c r="F729" s="17" t="str">
        <f>IFERROR(INDEX(Personnel[[Sinav ]],$K729),"")</f>
        <v/>
      </c>
      <c r="G729" s="17" t="str">
        <f>IFERROR(INDEX(Personnel[Egtim durumu],$K729),"")</f>
        <v/>
      </c>
      <c r="H729" s="17" t="str">
        <f>IFERROR(INDEX(Personnel[Shohruh Not],$K729),"")</f>
        <v/>
      </c>
      <c r="I729" s="18" t="str">
        <f>IFERROR(INDEX(Personnel[Дней в РФ],$K729),"")</f>
        <v/>
      </c>
      <c r="K729" s="23" t="str">
        <f t="array" ref="K729">IFERROR(_xlfn.AGGREGATE(15,6,(ROW(Personnel[Egtim durumu])-MIN(ROW(Personnel[Egtim durumu]))+1)/((Personnel[Egtim durumu]="Dil egitimi tamamlandi sinavdan gecti")),ROWS($K$7:K729)),"")</f>
        <v/>
      </c>
    </row>
    <row r="730" spans="1:11" x14ac:dyDescent="0.25">
      <c r="A730" s="40" t="str">
        <f>IFERROR(INDEX(Personnel[Sicil],$K730),"")</f>
        <v/>
      </c>
      <c r="B730" s="41" t="str">
        <f>IFERROR(INDEX(Personnel[Adi Soyadi],$K730),"")</f>
        <v/>
      </c>
      <c r="C730" s="40" t="str">
        <f>IFERROR(INDEX(Personnel[Vatandaslik],$K730),"")</f>
        <v/>
      </c>
      <c r="D730" s="40" t="str">
        <f>IFERROR(INDEX(Personnel[Santiye],$K730),"")</f>
        <v/>
      </c>
      <c r="E730" s="40" t="str">
        <f>IFERROR(INDEX(Personnel[Ogretmen],$K730),"")</f>
        <v/>
      </c>
      <c r="F730" s="41" t="str">
        <f>IFERROR(INDEX(Personnel[[Sinav ]],$K730),"")</f>
        <v/>
      </c>
      <c r="G730" s="41" t="str">
        <f>IFERROR(INDEX(Personnel[Egtim durumu],$K730),"")</f>
        <v/>
      </c>
      <c r="H730" s="41" t="str">
        <f>IFERROR(INDEX(Personnel[Shohruh Not],$K730),"")</f>
        <v/>
      </c>
      <c r="I730" s="40" t="str">
        <f>IFERROR(INDEX(Personnel[Дней в РФ],$K730),"")</f>
        <v/>
      </c>
      <c r="K730" s="23" t="str">
        <f t="array" ref="K730">IFERROR(_xlfn.AGGREGATE(15,6,(ROW(Personnel[Egtim durumu])-MIN(ROW(Personnel[Egtim durumu]))+1)/((Personnel[Egtim durumu]="Dil egitimi tamamlandi sinavdan gecti")),ROWS($K$7:K730)),"")</f>
        <v/>
      </c>
    </row>
    <row r="731" spans="1:11" x14ac:dyDescent="0.25">
      <c r="A731" s="18" t="str">
        <f>IFERROR(INDEX(Personnel[Sicil],$K731),"")</f>
        <v/>
      </c>
      <c r="B731" s="17" t="str">
        <f>IFERROR(INDEX(Personnel[Adi Soyadi],$K731),"")</f>
        <v/>
      </c>
      <c r="C731" s="18" t="str">
        <f>IFERROR(INDEX(Personnel[Vatandaslik],$K731),"")</f>
        <v/>
      </c>
      <c r="D731" s="18" t="str">
        <f>IFERROR(INDEX(Personnel[Santiye],$K731),"")</f>
        <v/>
      </c>
      <c r="E731" s="18" t="str">
        <f>IFERROR(INDEX(Personnel[Ogretmen],$K731),"")</f>
        <v/>
      </c>
      <c r="F731" s="17" t="str">
        <f>IFERROR(INDEX(Personnel[[Sinav ]],$K731),"")</f>
        <v/>
      </c>
      <c r="G731" s="17" t="str">
        <f>IFERROR(INDEX(Personnel[Egtim durumu],$K731),"")</f>
        <v/>
      </c>
      <c r="H731" s="17" t="str">
        <f>IFERROR(INDEX(Personnel[Shohruh Not],$K731),"")</f>
        <v/>
      </c>
      <c r="I731" s="18" t="str">
        <f>IFERROR(INDEX(Personnel[Дней в РФ],$K731),"")</f>
        <v/>
      </c>
      <c r="K731" s="23" t="str">
        <f t="array" ref="K731">IFERROR(_xlfn.AGGREGATE(15,6,(ROW(Personnel[Egtim durumu])-MIN(ROW(Personnel[Egtim durumu]))+1)/((Personnel[Egtim durumu]="Dil egitimi tamamlandi sinavdan gecti")),ROWS($K$7:K731)),"")</f>
        <v/>
      </c>
    </row>
    <row r="732" spans="1:11" x14ac:dyDescent="0.25">
      <c r="A732" s="40" t="str">
        <f>IFERROR(INDEX(Personnel[Sicil],$K732),"")</f>
        <v/>
      </c>
      <c r="B732" s="41" t="str">
        <f>IFERROR(INDEX(Personnel[Adi Soyadi],$K732),"")</f>
        <v/>
      </c>
      <c r="C732" s="40" t="str">
        <f>IFERROR(INDEX(Personnel[Vatandaslik],$K732),"")</f>
        <v/>
      </c>
      <c r="D732" s="40" t="str">
        <f>IFERROR(INDEX(Personnel[Santiye],$K732),"")</f>
        <v/>
      </c>
      <c r="E732" s="40" t="str">
        <f>IFERROR(INDEX(Personnel[Ogretmen],$K732),"")</f>
        <v/>
      </c>
      <c r="F732" s="41" t="str">
        <f>IFERROR(INDEX(Personnel[[Sinav ]],$K732),"")</f>
        <v/>
      </c>
      <c r="G732" s="41" t="str">
        <f>IFERROR(INDEX(Personnel[Egtim durumu],$K732),"")</f>
        <v/>
      </c>
      <c r="H732" s="41" t="str">
        <f>IFERROR(INDEX(Personnel[Shohruh Not],$K732),"")</f>
        <v/>
      </c>
      <c r="I732" s="40" t="str">
        <f>IFERROR(INDEX(Personnel[Дней в РФ],$K732),"")</f>
        <v/>
      </c>
      <c r="K732" s="23" t="str">
        <f t="array" ref="K732">IFERROR(_xlfn.AGGREGATE(15,6,(ROW(Personnel[Egtim durumu])-MIN(ROW(Personnel[Egtim durumu]))+1)/((Personnel[Egtim durumu]="Dil egitimi tamamlandi sinavdan gecti")),ROWS($K$7:K732)),"")</f>
        <v/>
      </c>
    </row>
    <row r="733" spans="1:11" x14ac:dyDescent="0.25">
      <c r="A733" s="18" t="str">
        <f>IFERROR(INDEX(Personnel[Sicil],$K733),"")</f>
        <v/>
      </c>
      <c r="B733" s="17" t="str">
        <f>IFERROR(INDEX(Personnel[Adi Soyadi],$K733),"")</f>
        <v/>
      </c>
      <c r="C733" s="18" t="str">
        <f>IFERROR(INDEX(Personnel[Vatandaslik],$K733),"")</f>
        <v/>
      </c>
      <c r="D733" s="18" t="str">
        <f>IFERROR(INDEX(Personnel[Santiye],$K733),"")</f>
        <v/>
      </c>
      <c r="E733" s="18" t="str">
        <f>IFERROR(INDEX(Personnel[Ogretmen],$K733),"")</f>
        <v/>
      </c>
      <c r="F733" s="17" t="str">
        <f>IFERROR(INDEX(Personnel[[Sinav ]],$K733),"")</f>
        <v/>
      </c>
      <c r="G733" s="17" t="str">
        <f>IFERROR(INDEX(Personnel[Egtim durumu],$K733),"")</f>
        <v/>
      </c>
      <c r="H733" s="17" t="str">
        <f>IFERROR(INDEX(Personnel[Shohruh Not],$K733),"")</f>
        <v/>
      </c>
      <c r="I733" s="18" t="str">
        <f>IFERROR(INDEX(Personnel[Дней в РФ],$K733),"")</f>
        <v/>
      </c>
      <c r="K733" s="23" t="str">
        <f t="array" ref="K733">IFERROR(_xlfn.AGGREGATE(15,6,(ROW(Personnel[Egtim durumu])-MIN(ROW(Personnel[Egtim durumu]))+1)/((Personnel[Egtim durumu]="Dil egitimi tamamlandi sinavdan gecti")),ROWS($K$7:K733)),"")</f>
        <v/>
      </c>
    </row>
    <row r="734" spans="1:11" x14ac:dyDescent="0.25">
      <c r="A734" s="40" t="str">
        <f>IFERROR(INDEX(Personnel[Sicil],$K734),"")</f>
        <v/>
      </c>
      <c r="B734" s="41" t="str">
        <f>IFERROR(INDEX(Personnel[Adi Soyadi],$K734),"")</f>
        <v/>
      </c>
      <c r="C734" s="40" t="str">
        <f>IFERROR(INDEX(Personnel[Vatandaslik],$K734),"")</f>
        <v/>
      </c>
      <c r="D734" s="40" t="str">
        <f>IFERROR(INDEX(Personnel[Santiye],$K734),"")</f>
        <v/>
      </c>
      <c r="E734" s="40" t="str">
        <f>IFERROR(INDEX(Personnel[Ogretmen],$K734),"")</f>
        <v/>
      </c>
      <c r="F734" s="41" t="str">
        <f>IFERROR(INDEX(Personnel[[Sinav ]],$K734),"")</f>
        <v/>
      </c>
      <c r="G734" s="41" t="str">
        <f>IFERROR(INDEX(Personnel[Egtim durumu],$K734),"")</f>
        <v/>
      </c>
      <c r="H734" s="41" t="str">
        <f>IFERROR(INDEX(Personnel[Shohruh Not],$K734),"")</f>
        <v/>
      </c>
      <c r="I734" s="40" t="str">
        <f>IFERROR(INDEX(Personnel[Дней в РФ],$K734),"")</f>
        <v/>
      </c>
      <c r="K734" s="23" t="str">
        <f t="array" ref="K734">IFERROR(_xlfn.AGGREGATE(15,6,(ROW(Personnel[Egtim durumu])-MIN(ROW(Personnel[Egtim durumu]))+1)/((Personnel[Egtim durumu]="Dil egitimi tamamlandi sinavdan gecti")),ROWS($K$7:K734)),"")</f>
        <v/>
      </c>
    </row>
    <row r="735" spans="1:11" x14ac:dyDescent="0.25">
      <c r="A735" s="18" t="str">
        <f>IFERROR(INDEX(Personnel[Sicil],$K735),"")</f>
        <v/>
      </c>
      <c r="B735" s="17" t="str">
        <f>IFERROR(INDEX(Personnel[Adi Soyadi],$K735),"")</f>
        <v/>
      </c>
      <c r="C735" s="18" t="str">
        <f>IFERROR(INDEX(Personnel[Vatandaslik],$K735),"")</f>
        <v/>
      </c>
      <c r="D735" s="18" t="str">
        <f>IFERROR(INDEX(Personnel[Santiye],$K735),"")</f>
        <v/>
      </c>
      <c r="E735" s="18" t="str">
        <f>IFERROR(INDEX(Personnel[Ogretmen],$K735),"")</f>
        <v/>
      </c>
      <c r="F735" s="17" t="str">
        <f>IFERROR(INDEX(Personnel[[Sinav ]],$K735),"")</f>
        <v/>
      </c>
      <c r="G735" s="17" t="str">
        <f>IFERROR(INDEX(Personnel[Egtim durumu],$K735),"")</f>
        <v/>
      </c>
      <c r="H735" s="17" t="str">
        <f>IFERROR(INDEX(Personnel[Shohruh Not],$K735),"")</f>
        <v/>
      </c>
      <c r="I735" s="18" t="str">
        <f>IFERROR(INDEX(Personnel[Дней в РФ],$K735),"")</f>
        <v/>
      </c>
      <c r="K735" s="23" t="str">
        <f t="array" ref="K735">IFERROR(_xlfn.AGGREGATE(15,6,(ROW(Personnel[Egtim durumu])-MIN(ROW(Personnel[Egtim durumu]))+1)/((Personnel[Egtim durumu]="Dil egitimi tamamlandi sinavdan gecti")),ROWS($K$7:K735)),"")</f>
        <v/>
      </c>
    </row>
    <row r="736" spans="1:11" x14ac:dyDescent="0.25">
      <c r="A736" s="40" t="str">
        <f>IFERROR(INDEX(Personnel[Sicil],$K736),"")</f>
        <v/>
      </c>
      <c r="B736" s="41" t="str">
        <f>IFERROR(INDEX(Personnel[Adi Soyadi],$K736),"")</f>
        <v/>
      </c>
      <c r="C736" s="40" t="str">
        <f>IFERROR(INDEX(Personnel[Vatandaslik],$K736),"")</f>
        <v/>
      </c>
      <c r="D736" s="40" t="str">
        <f>IFERROR(INDEX(Personnel[Santiye],$K736),"")</f>
        <v/>
      </c>
      <c r="E736" s="40" t="str">
        <f>IFERROR(INDEX(Personnel[Ogretmen],$K736),"")</f>
        <v/>
      </c>
      <c r="F736" s="41" t="str">
        <f>IFERROR(INDEX(Personnel[[Sinav ]],$K736),"")</f>
        <v/>
      </c>
      <c r="G736" s="41" t="str">
        <f>IFERROR(INDEX(Personnel[Egtim durumu],$K736),"")</f>
        <v/>
      </c>
      <c r="H736" s="41" t="str">
        <f>IFERROR(INDEX(Personnel[Shohruh Not],$K736),"")</f>
        <v/>
      </c>
      <c r="I736" s="40" t="str">
        <f>IFERROR(INDEX(Personnel[Дней в РФ],$K736),"")</f>
        <v/>
      </c>
      <c r="K736" s="23" t="str">
        <f t="array" ref="K736">IFERROR(_xlfn.AGGREGATE(15,6,(ROW(Personnel[Egtim durumu])-MIN(ROW(Personnel[Egtim durumu]))+1)/((Personnel[Egtim durumu]="Dil egitimi tamamlandi sinavdan gecti")),ROWS($K$7:K736)),"")</f>
        <v/>
      </c>
    </row>
    <row r="737" spans="1:11" x14ac:dyDescent="0.25">
      <c r="A737" s="18" t="str">
        <f>IFERROR(INDEX(Personnel[Sicil],$K737),"")</f>
        <v/>
      </c>
      <c r="B737" s="17" t="str">
        <f>IFERROR(INDEX(Personnel[Adi Soyadi],$K737),"")</f>
        <v/>
      </c>
      <c r="C737" s="18" t="str">
        <f>IFERROR(INDEX(Personnel[Vatandaslik],$K737),"")</f>
        <v/>
      </c>
      <c r="D737" s="18" t="str">
        <f>IFERROR(INDEX(Personnel[Santiye],$K737),"")</f>
        <v/>
      </c>
      <c r="E737" s="18" t="str">
        <f>IFERROR(INDEX(Personnel[Ogretmen],$K737),"")</f>
        <v/>
      </c>
      <c r="F737" s="17" t="str">
        <f>IFERROR(INDEX(Personnel[[Sinav ]],$K737),"")</f>
        <v/>
      </c>
      <c r="G737" s="17" t="str">
        <f>IFERROR(INDEX(Personnel[Egtim durumu],$K737),"")</f>
        <v/>
      </c>
      <c r="H737" s="17" t="str">
        <f>IFERROR(INDEX(Personnel[Shohruh Not],$K737),"")</f>
        <v/>
      </c>
      <c r="I737" s="18" t="str">
        <f>IFERROR(INDEX(Personnel[Дней в РФ],$K737),"")</f>
        <v/>
      </c>
      <c r="K737" s="23" t="str">
        <f t="array" ref="K737">IFERROR(_xlfn.AGGREGATE(15,6,(ROW(Personnel[Egtim durumu])-MIN(ROW(Personnel[Egtim durumu]))+1)/((Personnel[Egtim durumu]="Dil egitimi tamamlandi sinavdan gecti")),ROWS($K$7:K737)),"")</f>
        <v/>
      </c>
    </row>
    <row r="738" spans="1:11" x14ac:dyDescent="0.25">
      <c r="A738" s="40" t="str">
        <f>IFERROR(INDEX(Personnel[Sicil],$K738),"")</f>
        <v/>
      </c>
      <c r="B738" s="41" t="str">
        <f>IFERROR(INDEX(Personnel[Adi Soyadi],$K738),"")</f>
        <v/>
      </c>
      <c r="C738" s="40" t="str">
        <f>IFERROR(INDEX(Personnel[Vatandaslik],$K738),"")</f>
        <v/>
      </c>
      <c r="D738" s="40" t="str">
        <f>IFERROR(INDEX(Personnel[Santiye],$K738),"")</f>
        <v/>
      </c>
      <c r="E738" s="40" t="str">
        <f>IFERROR(INDEX(Personnel[Ogretmen],$K738),"")</f>
        <v/>
      </c>
      <c r="F738" s="41" t="str">
        <f>IFERROR(INDEX(Personnel[[Sinav ]],$K738),"")</f>
        <v/>
      </c>
      <c r="G738" s="41" t="str">
        <f>IFERROR(INDEX(Personnel[Egtim durumu],$K738),"")</f>
        <v/>
      </c>
      <c r="H738" s="41" t="str">
        <f>IFERROR(INDEX(Personnel[Shohruh Not],$K738),"")</f>
        <v/>
      </c>
      <c r="I738" s="40" t="str">
        <f>IFERROR(INDEX(Personnel[Дней в РФ],$K738),"")</f>
        <v/>
      </c>
      <c r="K738" s="23" t="str">
        <f t="array" ref="K738">IFERROR(_xlfn.AGGREGATE(15,6,(ROW(Personnel[Egtim durumu])-MIN(ROW(Personnel[Egtim durumu]))+1)/((Personnel[Egtim durumu]="Dil egitimi tamamlandi sinavdan gecti")),ROWS($K$7:K738)),"")</f>
        <v/>
      </c>
    </row>
    <row r="739" spans="1:11" x14ac:dyDescent="0.25">
      <c r="A739" s="18" t="str">
        <f>IFERROR(INDEX(Personnel[Sicil],$K739),"")</f>
        <v/>
      </c>
      <c r="B739" s="17" t="str">
        <f>IFERROR(INDEX(Personnel[Adi Soyadi],$K739),"")</f>
        <v/>
      </c>
      <c r="C739" s="18" t="str">
        <f>IFERROR(INDEX(Personnel[Vatandaslik],$K739),"")</f>
        <v/>
      </c>
      <c r="D739" s="18" t="str">
        <f>IFERROR(INDEX(Personnel[Santiye],$K739),"")</f>
        <v/>
      </c>
      <c r="E739" s="18" t="str">
        <f>IFERROR(INDEX(Personnel[Ogretmen],$K739),"")</f>
        <v/>
      </c>
      <c r="F739" s="17" t="str">
        <f>IFERROR(INDEX(Personnel[[Sinav ]],$K739),"")</f>
        <v/>
      </c>
      <c r="G739" s="17" t="str">
        <f>IFERROR(INDEX(Personnel[Egtim durumu],$K739),"")</f>
        <v/>
      </c>
      <c r="H739" s="17" t="str">
        <f>IFERROR(INDEX(Personnel[Shohruh Not],$K739),"")</f>
        <v/>
      </c>
      <c r="I739" s="18" t="str">
        <f>IFERROR(INDEX(Personnel[Дней в РФ],$K739),"")</f>
        <v/>
      </c>
      <c r="K739" s="23" t="str">
        <f t="array" ref="K739">IFERROR(_xlfn.AGGREGATE(15,6,(ROW(Personnel[Egtim durumu])-MIN(ROW(Personnel[Egtim durumu]))+1)/((Personnel[Egtim durumu]="Dil egitimi tamamlandi sinavdan gecti")),ROWS($K$7:K739)),"")</f>
        <v/>
      </c>
    </row>
    <row r="740" spans="1:11" x14ac:dyDescent="0.25">
      <c r="A740" s="40" t="str">
        <f>IFERROR(INDEX(Personnel[Sicil],$K740),"")</f>
        <v/>
      </c>
      <c r="B740" s="41" t="str">
        <f>IFERROR(INDEX(Personnel[Adi Soyadi],$K740),"")</f>
        <v/>
      </c>
      <c r="C740" s="40" t="str">
        <f>IFERROR(INDEX(Personnel[Vatandaslik],$K740),"")</f>
        <v/>
      </c>
      <c r="D740" s="40" t="str">
        <f>IFERROR(INDEX(Personnel[Santiye],$K740),"")</f>
        <v/>
      </c>
      <c r="E740" s="40" t="str">
        <f>IFERROR(INDEX(Personnel[Ogretmen],$K740),"")</f>
        <v/>
      </c>
      <c r="F740" s="41" t="str">
        <f>IFERROR(INDEX(Personnel[[Sinav ]],$K740),"")</f>
        <v/>
      </c>
      <c r="G740" s="41" t="str">
        <f>IFERROR(INDEX(Personnel[Egtim durumu],$K740),"")</f>
        <v/>
      </c>
      <c r="H740" s="41" t="str">
        <f>IFERROR(INDEX(Personnel[Shohruh Not],$K740),"")</f>
        <v/>
      </c>
      <c r="I740" s="40" t="str">
        <f>IFERROR(INDEX(Personnel[Дней в РФ],$K740),"")</f>
        <v/>
      </c>
      <c r="K740" s="23" t="str">
        <f t="array" ref="K740">IFERROR(_xlfn.AGGREGATE(15,6,(ROW(Personnel[Egtim durumu])-MIN(ROW(Personnel[Egtim durumu]))+1)/((Personnel[Egtim durumu]="Dil egitimi tamamlandi sinavdan gecti")),ROWS($K$7:K740)),"")</f>
        <v/>
      </c>
    </row>
    <row r="741" spans="1:11" x14ac:dyDescent="0.25">
      <c r="A741" s="18" t="str">
        <f>IFERROR(INDEX(Personnel[Sicil],$K741),"")</f>
        <v/>
      </c>
      <c r="B741" s="17" t="str">
        <f>IFERROR(INDEX(Personnel[Adi Soyadi],$K741),"")</f>
        <v/>
      </c>
      <c r="C741" s="18" t="str">
        <f>IFERROR(INDEX(Personnel[Vatandaslik],$K741),"")</f>
        <v/>
      </c>
      <c r="D741" s="18" t="str">
        <f>IFERROR(INDEX(Personnel[Santiye],$K741),"")</f>
        <v/>
      </c>
      <c r="E741" s="18" t="str">
        <f>IFERROR(INDEX(Personnel[Ogretmen],$K741),"")</f>
        <v/>
      </c>
      <c r="F741" s="17" t="str">
        <f>IFERROR(INDEX(Personnel[[Sinav ]],$K741),"")</f>
        <v/>
      </c>
      <c r="G741" s="17" t="str">
        <f>IFERROR(INDEX(Personnel[Egtim durumu],$K741),"")</f>
        <v/>
      </c>
      <c r="H741" s="17" t="str">
        <f>IFERROR(INDEX(Personnel[Shohruh Not],$K741),"")</f>
        <v/>
      </c>
      <c r="I741" s="18" t="str">
        <f>IFERROR(INDEX(Personnel[Дней в РФ],$K741),"")</f>
        <v/>
      </c>
      <c r="K741" s="23" t="str">
        <f t="array" ref="K741">IFERROR(_xlfn.AGGREGATE(15,6,(ROW(Personnel[Egtim durumu])-MIN(ROW(Personnel[Egtim durumu]))+1)/((Personnel[Egtim durumu]="Dil egitimi tamamlandi sinavdan gecti")),ROWS($K$7:K741)),"")</f>
        <v/>
      </c>
    </row>
    <row r="742" spans="1:11" x14ac:dyDescent="0.25">
      <c r="A742" s="40" t="str">
        <f>IFERROR(INDEX(Personnel[Sicil],$K742),"")</f>
        <v/>
      </c>
      <c r="B742" s="41" t="str">
        <f>IFERROR(INDEX(Personnel[Adi Soyadi],$K742),"")</f>
        <v/>
      </c>
      <c r="C742" s="40" t="str">
        <f>IFERROR(INDEX(Personnel[Vatandaslik],$K742),"")</f>
        <v/>
      </c>
      <c r="D742" s="40" t="str">
        <f>IFERROR(INDEX(Personnel[Santiye],$K742),"")</f>
        <v/>
      </c>
      <c r="E742" s="40" t="str">
        <f>IFERROR(INDEX(Personnel[Ogretmen],$K742),"")</f>
        <v/>
      </c>
      <c r="F742" s="41" t="str">
        <f>IFERROR(INDEX(Personnel[[Sinav ]],$K742),"")</f>
        <v/>
      </c>
      <c r="G742" s="41" t="str">
        <f>IFERROR(INDEX(Personnel[Egtim durumu],$K742),"")</f>
        <v/>
      </c>
      <c r="H742" s="41" t="str">
        <f>IFERROR(INDEX(Personnel[Shohruh Not],$K742),"")</f>
        <v/>
      </c>
      <c r="I742" s="40" t="str">
        <f>IFERROR(INDEX(Personnel[Дней в РФ],$K742),"")</f>
        <v/>
      </c>
      <c r="K742" s="23" t="str">
        <f t="array" ref="K742">IFERROR(_xlfn.AGGREGATE(15,6,(ROW(Personnel[Egtim durumu])-MIN(ROW(Personnel[Egtim durumu]))+1)/((Personnel[Egtim durumu]="Dil egitimi tamamlandi sinavdan gecti")),ROWS($K$7:K742)),"")</f>
        <v/>
      </c>
    </row>
    <row r="743" spans="1:11" x14ac:dyDescent="0.25">
      <c r="A743" s="18" t="str">
        <f>IFERROR(INDEX(Personnel[Sicil],$K743),"")</f>
        <v/>
      </c>
      <c r="B743" s="17" t="str">
        <f>IFERROR(INDEX(Personnel[Adi Soyadi],$K743),"")</f>
        <v/>
      </c>
      <c r="C743" s="18" t="str">
        <f>IFERROR(INDEX(Personnel[Vatandaslik],$K743),"")</f>
        <v/>
      </c>
      <c r="D743" s="18" t="str">
        <f>IFERROR(INDEX(Personnel[Santiye],$K743),"")</f>
        <v/>
      </c>
      <c r="E743" s="18" t="str">
        <f>IFERROR(INDEX(Personnel[Ogretmen],$K743),"")</f>
        <v/>
      </c>
      <c r="F743" s="17" t="str">
        <f>IFERROR(INDEX(Personnel[[Sinav ]],$K743),"")</f>
        <v/>
      </c>
      <c r="G743" s="17" t="str">
        <f>IFERROR(INDEX(Personnel[Egtim durumu],$K743),"")</f>
        <v/>
      </c>
      <c r="H743" s="17" t="str">
        <f>IFERROR(INDEX(Personnel[Shohruh Not],$K743),"")</f>
        <v/>
      </c>
      <c r="I743" s="18" t="str">
        <f>IFERROR(INDEX(Personnel[Дней в РФ],$K743),"")</f>
        <v/>
      </c>
      <c r="K743" s="23" t="str">
        <f t="array" ref="K743">IFERROR(_xlfn.AGGREGATE(15,6,(ROW(Personnel[Egtim durumu])-MIN(ROW(Personnel[Egtim durumu]))+1)/((Personnel[Egtim durumu]="Dil egitimi tamamlandi sinavdan gecti")),ROWS($K$7:K743)),"")</f>
        <v/>
      </c>
    </row>
    <row r="744" spans="1:11" x14ac:dyDescent="0.25">
      <c r="A744" s="40" t="str">
        <f>IFERROR(INDEX(Personnel[Sicil],$K744),"")</f>
        <v/>
      </c>
      <c r="B744" s="41" t="str">
        <f>IFERROR(INDEX(Personnel[Adi Soyadi],$K744),"")</f>
        <v/>
      </c>
      <c r="C744" s="40" t="str">
        <f>IFERROR(INDEX(Personnel[Vatandaslik],$K744),"")</f>
        <v/>
      </c>
      <c r="D744" s="40" t="str">
        <f>IFERROR(INDEX(Personnel[Santiye],$K744),"")</f>
        <v/>
      </c>
      <c r="E744" s="40" t="str">
        <f>IFERROR(INDEX(Personnel[Ogretmen],$K744),"")</f>
        <v/>
      </c>
      <c r="F744" s="41" t="str">
        <f>IFERROR(INDEX(Personnel[[Sinav ]],$K744),"")</f>
        <v/>
      </c>
      <c r="G744" s="41" t="str">
        <f>IFERROR(INDEX(Personnel[Egtim durumu],$K744),"")</f>
        <v/>
      </c>
      <c r="H744" s="41" t="str">
        <f>IFERROR(INDEX(Personnel[Shohruh Not],$K744),"")</f>
        <v/>
      </c>
      <c r="I744" s="40" t="str">
        <f>IFERROR(INDEX(Personnel[Дней в РФ],$K744),"")</f>
        <v/>
      </c>
      <c r="K744" s="23" t="str">
        <f t="array" ref="K744">IFERROR(_xlfn.AGGREGATE(15,6,(ROW(Personnel[Egtim durumu])-MIN(ROW(Personnel[Egtim durumu]))+1)/((Personnel[Egtim durumu]="Dil egitimi tamamlandi sinavdan gecti")),ROWS($K$7:K744)),"")</f>
        <v/>
      </c>
    </row>
    <row r="745" spans="1:11" x14ac:dyDescent="0.25">
      <c r="A745" s="18" t="str">
        <f>IFERROR(INDEX(Personnel[Sicil],$K745),"")</f>
        <v/>
      </c>
      <c r="B745" s="17" t="str">
        <f>IFERROR(INDEX(Personnel[Adi Soyadi],$K745),"")</f>
        <v/>
      </c>
      <c r="C745" s="18" t="str">
        <f>IFERROR(INDEX(Personnel[Vatandaslik],$K745),"")</f>
        <v/>
      </c>
      <c r="D745" s="18" t="str">
        <f>IFERROR(INDEX(Personnel[Santiye],$K745),"")</f>
        <v/>
      </c>
      <c r="E745" s="18" t="str">
        <f>IFERROR(INDEX(Personnel[Ogretmen],$K745),"")</f>
        <v/>
      </c>
      <c r="F745" s="17" t="str">
        <f>IFERROR(INDEX(Personnel[[Sinav ]],$K745),"")</f>
        <v/>
      </c>
      <c r="G745" s="17" t="str">
        <f>IFERROR(INDEX(Personnel[Egtim durumu],$K745),"")</f>
        <v/>
      </c>
      <c r="H745" s="17" t="str">
        <f>IFERROR(INDEX(Personnel[Shohruh Not],$K745),"")</f>
        <v/>
      </c>
      <c r="I745" s="18" t="str">
        <f>IFERROR(INDEX(Personnel[Дней в РФ],$K745),"")</f>
        <v/>
      </c>
      <c r="K745" s="23" t="str">
        <f t="array" ref="K745">IFERROR(_xlfn.AGGREGATE(15,6,(ROW(Personnel[Egtim durumu])-MIN(ROW(Personnel[Egtim durumu]))+1)/((Personnel[Egtim durumu]="Dil egitimi tamamlandi sinavdan gecti")),ROWS($K$7:K745)),"")</f>
        <v/>
      </c>
    </row>
    <row r="746" spans="1:11" x14ac:dyDescent="0.25">
      <c r="A746" s="40" t="str">
        <f>IFERROR(INDEX(Personnel[Sicil],$K746),"")</f>
        <v/>
      </c>
      <c r="B746" s="41" t="str">
        <f>IFERROR(INDEX(Personnel[Adi Soyadi],$K746),"")</f>
        <v/>
      </c>
      <c r="C746" s="40" t="str">
        <f>IFERROR(INDEX(Personnel[Vatandaslik],$K746),"")</f>
        <v/>
      </c>
      <c r="D746" s="40" t="str">
        <f>IFERROR(INDEX(Personnel[Santiye],$K746),"")</f>
        <v/>
      </c>
      <c r="E746" s="40" t="str">
        <f>IFERROR(INDEX(Personnel[Ogretmen],$K746),"")</f>
        <v/>
      </c>
      <c r="F746" s="41" t="str">
        <f>IFERROR(INDEX(Personnel[[Sinav ]],$K746),"")</f>
        <v/>
      </c>
      <c r="G746" s="41" t="str">
        <f>IFERROR(INDEX(Personnel[Egtim durumu],$K746),"")</f>
        <v/>
      </c>
      <c r="H746" s="41" t="str">
        <f>IFERROR(INDEX(Personnel[Shohruh Not],$K746),"")</f>
        <v/>
      </c>
      <c r="I746" s="40" t="str">
        <f>IFERROR(INDEX(Personnel[Дней в РФ],$K746),"")</f>
        <v/>
      </c>
      <c r="K746" s="23" t="str">
        <f t="array" ref="K746">IFERROR(_xlfn.AGGREGATE(15,6,(ROW(Personnel[Egtim durumu])-MIN(ROW(Personnel[Egtim durumu]))+1)/((Personnel[Egtim durumu]="Dil egitimi tamamlandi sinavdan gecti")),ROWS($K$7:K746)),"")</f>
        <v/>
      </c>
    </row>
    <row r="747" spans="1:11" x14ac:dyDescent="0.25">
      <c r="A747" s="18" t="str">
        <f>IFERROR(INDEX(Personnel[Sicil],$K747),"")</f>
        <v/>
      </c>
      <c r="B747" s="17" t="str">
        <f>IFERROR(INDEX(Personnel[Adi Soyadi],$K747),"")</f>
        <v/>
      </c>
      <c r="C747" s="18" t="str">
        <f>IFERROR(INDEX(Personnel[Vatandaslik],$K747),"")</f>
        <v/>
      </c>
      <c r="D747" s="18" t="str">
        <f>IFERROR(INDEX(Personnel[Santiye],$K747),"")</f>
        <v/>
      </c>
      <c r="E747" s="18" t="str">
        <f>IFERROR(INDEX(Personnel[Ogretmen],$K747),"")</f>
        <v/>
      </c>
      <c r="F747" s="17" t="str">
        <f>IFERROR(INDEX(Personnel[[Sinav ]],$K747),"")</f>
        <v/>
      </c>
      <c r="G747" s="17" t="str">
        <f>IFERROR(INDEX(Personnel[Egtim durumu],$K747),"")</f>
        <v/>
      </c>
      <c r="H747" s="17" t="str">
        <f>IFERROR(INDEX(Personnel[Shohruh Not],$K747),"")</f>
        <v/>
      </c>
      <c r="I747" s="18" t="str">
        <f>IFERROR(INDEX(Personnel[Дней в РФ],$K747),"")</f>
        <v/>
      </c>
      <c r="K747" s="23" t="str">
        <f t="array" ref="K747">IFERROR(_xlfn.AGGREGATE(15,6,(ROW(Personnel[Egtim durumu])-MIN(ROW(Personnel[Egtim durumu]))+1)/((Personnel[Egtim durumu]="Dil egitimi tamamlandi sinavdan gecti")),ROWS($K$7:K747)),"")</f>
        <v/>
      </c>
    </row>
    <row r="748" spans="1:11" x14ac:dyDescent="0.25">
      <c r="A748" s="40" t="str">
        <f>IFERROR(INDEX(Personnel[Sicil],$K748),"")</f>
        <v/>
      </c>
      <c r="B748" s="41" t="str">
        <f>IFERROR(INDEX(Personnel[Adi Soyadi],$K748),"")</f>
        <v/>
      </c>
      <c r="C748" s="40" t="str">
        <f>IFERROR(INDEX(Personnel[Vatandaslik],$K748),"")</f>
        <v/>
      </c>
      <c r="D748" s="40" t="str">
        <f>IFERROR(INDEX(Personnel[Santiye],$K748),"")</f>
        <v/>
      </c>
      <c r="E748" s="40" t="str">
        <f>IFERROR(INDEX(Personnel[Ogretmen],$K748),"")</f>
        <v/>
      </c>
      <c r="F748" s="41" t="str">
        <f>IFERROR(INDEX(Personnel[[Sinav ]],$K748),"")</f>
        <v/>
      </c>
      <c r="G748" s="41" t="str">
        <f>IFERROR(INDEX(Personnel[Egtim durumu],$K748),"")</f>
        <v/>
      </c>
      <c r="H748" s="41" t="str">
        <f>IFERROR(INDEX(Personnel[Shohruh Not],$K748),"")</f>
        <v/>
      </c>
      <c r="I748" s="40" t="str">
        <f>IFERROR(INDEX(Personnel[Дней в РФ],$K748),"")</f>
        <v/>
      </c>
      <c r="K748" s="23" t="str">
        <f t="array" ref="K748">IFERROR(_xlfn.AGGREGATE(15,6,(ROW(Personnel[Egtim durumu])-MIN(ROW(Personnel[Egtim durumu]))+1)/((Personnel[Egtim durumu]="Dil egitimi tamamlandi sinavdan gecti")),ROWS($K$7:K748)),"")</f>
        <v/>
      </c>
    </row>
    <row r="749" spans="1:11" x14ac:dyDescent="0.25">
      <c r="A749" s="18" t="str">
        <f>IFERROR(INDEX(Personnel[Sicil],$K749),"")</f>
        <v/>
      </c>
      <c r="B749" s="17" t="str">
        <f>IFERROR(INDEX(Personnel[Adi Soyadi],$K749),"")</f>
        <v/>
      </c>
      <c r="C749" s="18" t="str">
        <f>IFERROR(INDEX(Personnel[Vatandaslik],$K749),"")</f>
        <v/>
      </c>
      <c r="D749" s="18" t="str">
        <f>IFERROR(INDEX(Personnel[Santiye],$K749),"")</f>
        <v/>
      </c>
      <c r="E749" s="18" t="str">
        <f>IFERROR(INDEX(Personnel[Ogretmen],$K749),"")</f>
        <v/>
      </c>
      <c r="F749" s="17" t="str">
        <f>IFERROR(INDEX(Personnel[[Sinav ]],$K749),"")</f>
        <v/>
      </c>
      <c r="G749" s="17" t="str">
        <f>IFERROR(INDEX(Personnel[Egtim durumu],$K749),"")</f>
        <v/>
      </c>
      <c r="H749" s="17" t="str">
        <f>IFERROR(INDEX(Personnel[Shohruh Not],$K749),"")</f>
        <v/>
      </c>
      <c r="I749" s="18" t="str">
        <f>IFERROR(INDEX(Personnel[Дней в РФ],$K749),"")</f>
        <v/>
      </c>
      <c r="K749" s="23" t="str">
        <f t="array" ref="K749">IFERROR(_xlfn.AGGREGATE(15,6,(ROW(Personnel[Egtim durumu])-MIN(ROW(Personnel[Egtim durumu]))+1)/((Personnel[Egtim durumu]="Dil egitimi tamamlandi sinavdan gecti")),ROWS($K$7:K749)),"")</f>
        <v/>
      </c>
    </row>
    <row r="750" spans="1:11" x14ac:dyDescent="0.25">
      <c r="A750" s="40" t="str">
        <f>IFERROR(INDEX(Personnel[Sicil],$K750),"")</f>
        <v/>
      </c>
      <c r="B750" s="41" t="str">
        <f>IFERROR(INDEX(Personnel[Adi Soyadi],$K750),"")</f>
        <v/>
      </c>
      <c r="C750" s="40" t="str">
        <f>IFERROR(INDEX(Personnel[Vatandaslik],$K750),"")</f>
        <v/>
      </c>
      <c r="D750" s="40" t="str">
        <f>IFERROR(INDEX(Personnel[Santiye],$K750),"")</f>
        <v/>
      </c>
      <c r="E750" s="40" t="str">
        <f>IFERROR(INDEX(Personnel[Ogretmen],$K750),"")</f>
        <v/>
      </c>
      <c r="F750" s="41" t="str">
        <f>IFERROR(INDEX(Personnel[[Sinav ]],$K750),"")</f>
        <v/>
      </c>
      <c r="G750" s="41" t="str">
        <f>IFERROR(INDEX(Personnel[Egtim durumu],$K750),"")</f>
        <v/>
      </c>
      <c r="H750" s="41" t="str">
        <f>IFERROR(INDEX(Personnel[Shohruh Not],$K750),"")</f>
        <v/>
      </c>
      <c r="I750" s="40" t="str">
        <f>IFERROR(INDEX(Personnel[Дней в РФ],$K750),"")</f>
        <v/>
      </c>
      <c r="K750" s="23" t="str">
        <f t="array" ref="K750">IFERROR(_xlfn.AGGREGATE(15,6,(ROW(Personnel[Egtim durumu])-MIN(ROW(Personnel[Egtim durumu]))+1)/((Personnel[Egtim durumu]="Dil egitimi tamamlandi sinavdan gecti")),ROWS($K$7:K750)),"")</f>
        <v/>
      </c>
    </row>
    <row r="751" spans="1:11" x14ac:dyDescent="0.25">
      <c r="A751" s="18" t="str">
        <f>IFERROR(INDEX(Personnel[Sicil],$K751),"")</f>
        <v/>
      </c>
      <c r="B751" s="17" t="str">
        <f>IFERROR(INDEX(Personnel[Adi Soyadi],$K751),"")</f>
        <v/>
      </c>
      <c r="C751" s="18" t="str">
        <f>IFERROR(INDEX(Personnel[Vatandaslik],$K751),"")</f>
        <v/>
      </c>
      <c r="D751" s="18" t="str">
        <f>IFERROR(INDEX(Personnel[Santiye],$K751),"")</f>
        <v/>
      </c>
      <c r="E751" s="18" t="str">
        <f>IFERROR(INDEX(Personnel[Ogretmen],$K751),"")</f>
        <v/>
      </c>
      <c r="F751" s="17" t="str">
        <f>IFERROR(INDEX(Personnel[[Sinav ]],$K751),"")</f>
        <v/>
      </c>
      <c r="G751" s="17" t="str">
        <f>IFERROR(INDEX(Personnel[Egtim durumu],$K751),"")</f>
        <v/>
      </c>
      <c r="H751" s="17" t="str">
        <f>IFERROR(INDEX(Personnel[Shohruh Not],$K751),"")</f>
        <v/>
      </c>
      <c r="I751" s="18" t="str">
        <f>IFERROR(INDEX(Personnel[Дней в РФ],$K751),"")</f>
        <v/>
      </c>
      <c r="K751" s="23" t="str">
        <f t="array" ref="K751">IFERROR(_xlfn.AGGREGATE(15,6,(ROW(Personnel[Egtim durumu])-MIN(ROW(Personnel[Egtim durumu]))+1)/((Personnel[Egtim durumu]="Dil egitimi tamamlandi sinavdan gecti")),ROWS($K$7:K751)),"")</f>
        <v/>
      </c>
    </row>
    <row r="752" spans="1:11" x14ac:dyDescent="0.25">
      <c r="A752" s="40" t="str">
        <f>IFERROR(INDEX(Personnel[Sicil],$K752),"")</f>
        <v/>
      </c>
      <c r="B752" s="41" t="str">
        <f>IFERROR(INDEX(Personnel[Adi Soyadi],$K752),"")</f>
        <v/>
      </c>
      <c r="C752" s="40" t="str">
        <f>IFERROR(INDEX(Personnel[Vatandaslik],$K752),"")</f>
        <v/>
      </c>
      <c r="D752" s="40" t="str">
        <f>IFERROR(INDEX(Personnel[Santiye],$K752),"")</f>
        <v/>
      </c>
      <c r="E752" s="40" t="str">
        <f>IFERROR(INDEX(Personnel[Ogretmen],$K752),"")</f>
        <v/>
      </c>
      <c r="F752" s="41" t="str">
        <f>IFERROR(INDEX(Personnel[[Sinav ]],$K752),"")</f>
        <v/>
      </c>
      <c r="G752" s="41" t="str">
        <f>IFERROR(INDEX(Personnel[Egtim durumu],$K752),"")</f>
        <v/>
      </c>
      <c r="H752" s="41" t="str">
        <f>IFERROR(INDEX(Personnel[Shohruh Not],$K752),"")</f>
        <v/>
      </c>
      <c r="I752" s="40" t="str">
        <f>IFERROR(INDEX(Personnel[Дней в РФ],$K752),"")</f>
        <v/>
      </c>
      <c r="K752" s="23" t="str">
        <f t="array" ref="K752">IFERROR(_xlfn.AGGREGATE(15,6,(ROW(Personnel[Egtim durumu])-MIN(ROW(Personnel[Egtim durumu]))+1)/((Personnel[Egtim durumu]="Dil egitimi tamamlandi sinavdan gecti")),ROWS($K$7:K752)),"")</f>
        <v/>
      </c>
    </row>
    <row r="753" spans="1:11" x14ac:dyDescent="0.25">
      <c r="A753" s="18" t="str">
        <f>IFERROR(INDEX(Personnel[Sicil],$K753),"")</f>
        <v/>
      </c>
      <c r="B753" s="17" t="str">
        <f>IFERROR(INDEX(Personnel[Adi Soyadi],$K753),"")</f>
        <v/>
      </c>
      <c r="C753" s="18" t="str">
        <f>IFERROR(INDEX(Personnel[Vatandaslik],$K753),"")</f>
        <v/>
      </c>
      <c r="D753" s="18" t="str">
        <f>IFERROR(INDEX(Personnel[Santiye],$K753),"")</f>
        <v/>
      </c>
      <c r="E753" s="18" t="str">
        <f>IFERROR(INDEX(Personnel[Ogretmen],$K753),"")</f>
        <v/>
      </c>
      <c r="F753" s="17" t="str">
        <f>IFERROR(INDEX(Personnel[[Sinav ]],$K753),"")</f>
        <v/>
      </c>
      <c r="G753" s="17" t="str">
        <f>IFERROR(INDEX(Personnel[Egtim durumu],$K753),"")</f>
        <v/>
      </c>
      <c r="H753" s="17" t="str">
        <f>IFERROR(INDEX(Personnel[Shohruh Not],$K753),"")</f>
        <v/>
      </c>
      <c r="I753" s="18" t="str">
        <f>IFERROR(INDEX(Personnel[Дней в РФ],$K753),"")</f>
        <v/>
      </c>
      <c r="K753" s="23" t="str">
        <f t="array" ref="K753">IFERROR(_xlfn.AGGREGATE(15,6,(ROW(Personnel[Egtim durumu])-MIN(ROW(Personnel[Egtim durumu]))+1)/((Personnel[Egtim durumu]="Dil egitimi tamamlandi sinavdan gecti")),ROWS($K$7:K753)),"")</f>
        <v/>
      </c>
    </row>
    <row r="754" spans="1:11" x14ac:dyDescent="0.25">
      <c r="A754" s="40" t="str">
        <f>IFERROR(INDEX(Personnel[Sicil],$K754),"")</f>
        <v/>
      </c>
      <c r="B754" s="41" t="str">
        <f>IFERROR(INDEX(Personnel[Adi Soyadi],$K754),"")</f>
        <v/>
      </c>
      <c r="C754" s="40" t="str">
        <f>IFERROR(INDEX(Personnel[Vatandaslik],$K754),"")</f>
        <v/>
      </c>
      <c r="D754" s="40" t="str">
        <f>IFERROR(INDEX(Personnel[Santiye],$K754),"")</f>
        <v/>
      </c>
      <c r="E754" s="40" t="str">
        <f>IFERROR(INDEX(Personnel[Ogretmen],$K754),"")</f>
        <v/>
      </c>
      <c r="F754" s="41" t="str">
        <f>IFERROR(INDEX(Personnel[[Sinav ]],$K754),"")</f>
        <v/>
      </c>
      <c r="G754" s="41" t="str">
        <f>IFERROR(INDEX(Personnel[Egtim durumu],$K754),"")</f>
        <v/>
      </c>
      <c r="H754" s="41" t="str">
        <f>IFERROR(INDEX(Personnel[Shohruh Not],$K754),"")</f>
        <v/>
      </c>
      <c r="I754" s="40" t="str">
        <f>IFERROR(INDEX(Personnel[Дней в РФ],$K754),"")</f>
        <v/>
      </c>
      <c r="K754" s="23" t="str">
        <f t="array" ref="K754">IFERROR(_xlfn.AGGREGATE(15,6,(ROW(Personnel[Egtim durumu])-MIN(ROW(Personnel[Egtim durumu]))+1)/((Personnel[Egtim durumu]="Dil egitimi tamamlandi sinavdan gecti")),ROWS($K$7:K754)),"")</f>
        <v/>
      </c>
    </row>
    <row r="755" spans="1:11" x14ac:dyDescent="0.25">
      <c r="A755" s="18" t="str">
        <f>IFERROR(INDEX(Personnel[Sicil],$K755),"")</f>
        <v/>
      </c>
      <c r="B755" s="17" t="str">
        <f>IFERROR(INDEX(Personnel[Adi Soyadi],$K755),"")</f>
        <v/>
      </c>
      <c r="C755" s="18" t="str">
        <f>IFERROR(INDEX(Personnel[Vatandaslik],$K755),"")</f>
        <v/>
      </c>
      <c r="D755" s="18" t="str">
        <f>IFERROR(INDEX(Personnel[Santiye],$K755),"")</f>
        <v/>
      </c>
      <c r="E755" s="18" t="str">
        <f>IFERROR(INDEX(Personnel[Ogretmen],$K755),"")</f>
        <v/>
      </c>
      <c r="F755" s="17" t="str">
        <f>IFERROR(INDEX(Personnel[[Sinav ]],$K755),"")</f>
        <v/>
      </c>
      <c r="G755" s="17" t="str">
        <f>IFERROR(INDEX(Personnel[Egtim durumu],$K755),"")</f>
        <v/>
      </c>
      <c r="H755" s="17" t="str">
        <f>IFERROR(INDEX(Personnel[Shohruh Not],$K755),"")</f>
        <v/>
      </c>
      <c r="I755" s="18" t="str">
        <f>IFERROR(INDEX(Personnel[Дней в РФ],$K755),"")</f>
        <v/>
      </c>
      <c r="K755" s="23" t="str">
        <f t="array" ref="K755">IFERROR(_xlfn.AGGREGATE(15,6,(ROW(Personnel[Egtim durumu])-MIN(ROW(Personnel[Egtim durumu]))+1)/((Personnel[Egtim durumu]="Dil egitimi tamamlandi sinavdan gecti")),ROWS($K$7:K755)),"")</f>
        <v/>
      </c>
    </row>
    <row r="756" spans="1:11" x14ac:dyDescent="0.25">
      <c r="A756" s="40" t="str">
        <f>IFERROR(INDEX(Personnel[Sicil],$K756),"")</f>
        <v/>
      </c>
      <c r="B756" s="41" t="str">
        <f>IFERROR(INDEX(Personnel[Adi Soyadi],$K756),"")</f>
        <v/>
      </c>
      <c r="C756" s="40" t="str">
        <f>IFERROR(INDEX(Personnel[Vatandaslik],$K756),"")</f>
        <v/>
      </c>
      <c r="D756" s="40" t="str">
        <f>IFERROR(INDEX(Personnel[Santiye],$K756),"")</f>
        <v/>
      </c>
      <c r="E756" s="40" t="str">
        <f>IFERROR(INDEX(Personnel[Ogretmen],$K756),"")</f>
        <v/>
      </c>
      <c r="F756" s="41" t="str">
        <f>IFERROR(INDEX(Personnel[[Sinav ]],$K756),"")</f>
        <v/>
      </c>
      <c r="G756" s="41" t="str">
        <f>IFERROR(INDEX(Personnel[Egtim durumu],$K756),"")</f>
        <v/>
      </c>
      <c r="H756" s="41" t="str">
        <f>IFERROR(INDEX(Personnel[Shohruh Not],$K756),"")</f>
        <v/>
      </c>
      <c r="I756" s="40" t="str">
        <f>IFERROR(INDEX(Personnel[Дней в РФ],$K756),"")</f>
        <v/>
      </c>
      <c r="K756" s="23" t="str">
        <f t="array" ref="K756">IFERROR(_xlfn.AGGREGATE(15,6,(ROW(Personnel[Egtim durumu])-MIN(ROW(Personnel[Egtim durumu]))+1)/((Personnel[Egtim durumu]="Dil egitimi tamamlandi sinavdan gecti")),ROWS($K$7:K756)),"")</f>
        <v/>
      </c>
    </row>
    <row r="757" spans="1:11" x14ac:dyDescent="0.25">
      <c r="A757" s="18" t="str">
        <f>IFERROR(INDEX(Personnel[Sicil],$K757),"")</f>
        <v/>
      </c>
      <c r="B757" s="17" t="str">
        <f>IFERROR(INDEX(Personnel[Adi Soyadi],$K757),"")</f>
        <v/>
      </c>
      <c r="C757" s="18" t="str">
        <f>IFERROR(INDEX(Personnel[Vatandaslik],$K757),"")</f>
        <v/>
      </c>
      <c r="D757" s="18" t="str">
        <f>IFERROR(INDEX(Personnel[Santiye],$K757),"")</f>
        <v/>
      </c>
      <c r="E757" s="18" t="str">
        <f>IFERROR(INDEX(Personnel[Ogretmen],$K757),"")</f>
        <v/>
      </c>
      <c r="F757" s="17" t="str">
        <f>IFERROR(INDEX(Personnel[[Sinav ]],$K757),"")</f>
        <v/>
      </c>
      <c r="G757" s="17" t="str">
        <f>IFERROR(INDEX(Personnel[Egtim durumu],$K757),"")</f>
        <v/>
      </c>
      <c r="H757" s="17" t="str">
        <f>IFERROR(INDEX(Personnel[Shohruh Not],$K757),"")</f>
        <v/>
      </c>
      <c r="I757" s="18" t="str">
        <f>IFERROR(INDEX(Personnel[Дней в РФ],$K757),"")</f>
        <v/>
      </c>
      <c r="K757" s="23" t="str">
        <f t="array" ref="K757">IFERROR(_xlfn.AGGREGATE(15,6,(ROW(Personnel[Egtim durumu])-MIN(ROW(Personnel[Egtim durumu]))+1)/((Personnel[Egtim durumu]="Dil egitimi tamamlandi sinavdan gecti")),ROWS($K$7:K757)),"")</f>
        <v/>
      </c>
    </row>
    <row r="758" spans="1:11" x14ac:dyDescent="0.25">
      <c r="A758" s="40" t="str">
        <f>IFERROR(INDEX(Personnel[Sicil],$K758),"")</f>
        <v/>
      </c>
      <c r="B758" s="41" t="str">
        <f>IFERROR(INDEX(Personnel[Adi Soyadi],$K758),"")</f>
        <v/>
      </c>
      <c r="C758" s="40" t="str">
        <f>IFERROR(INDEX(Personnel[Vatandaslik],$K758),"")</f>
        <v/>
      </c>
      <c r="D758" s="40" t="str">
        <f>IFERROR(INDEX(Personnel[Santiye],$K758),"")</f>
        <v/>
      </c>
      <c r="E758" s="40" t="str">
        <f>IFERROR(INDEX(Personnel[Ogretmen],$K758),"")</f>
        <v/>
      </c>
      <c r="F758" s="41" t="str">
        <f>IFERROR(INDEX(Personnel[[Sinav ]],$K758),"")</f>
        <v/>
      </c>
      <c r="G758" s="41" t="str">
        <f>IFERROR(INDEX(Personnel[Egtim durumu],$K758),"")</f>
        <v/>
      </c>
      <c r="H758" s="41" t="str">
        <f>IFERROR(INDEX(Personnel[Shohruh Not],$K758),"")</f>
        <v/>
      </c>
      <c r="I758" s="40" t="str">
        <f>IFERROR(INDEX(Personnel[Дней в РФ],$K758),"")</f>
        <v/>
      </c>
      <c r="K758" s="23" t="str">
        <f t="array" ref="K758">IFERROR(_xlfn.AGGREGATE(15,6,(ROW(Personnel[Egtim durumu])-MIN(ROW(Personnel[Egtim durumu]))+1)/((Personnel[Egtim durumu]="Dil egitimi tamamlandi sinavdan gecti")),ROWS($K$7:K758)),"")</f>
        <v/>
      </c>
    </row>
    <row r="759" spans="1:11" x14ac:dyDescent="0.25">
      <c r="A759" s="18" t="str">
        <f>IFERROR(INDEX(Personnel[Sicil],$K759),"")</f>
        <v/>
      </c>
      <c r="B759" s="17" t="str">
        <f>IFERROR(INDEX(Personnel[Adi Soyadi],$K759),"")</f>
        <v/>
      </c>
      <c r="C759" s="18" t="str">
        <f>IFERROR(INDEX(Personnel[Vatandaslik],$K759),"")</f>
        <v/>
      </c>
      <c r="D759" s="18" t="str">
        <f>IFERROR(INDEX(Personnel[Santiye],$K759),"")</f>
        <v/>
      </c>
      <c r="E759" s="18" t="str">
        <f>IFERROR(INDEX(Personnel[Ogretmen],$K759),"")</f>
        <v/>
      </c>
      <c r="F759" s="17" t="str">
        <f>IFERROR(INDEX(Personnel[[Sinav ]],$K759),"")</f>
        <v/>
      </c>
      <c r="G759" s="17" t="str">
        <f>IFERROR(INDEX(Personnel[Egtim durumu],$K759),"")</f>
        <v/>
      </c>
      <c r="H759" s="17" t="str">
        <f>IFERROR(INDEX(Personnel[Shohruh Not],$K759),"")</f>
        <v/>
      </c>
      <c r="I759" s="18" t="str">
        <f>IFERROR(INDEX(Personnel[Дней в РФ],$K759),"")</f>
        <v/>
      </c>
      <c r="K759" s="23" t="str">
        <f t="array" ref="K759">IFERROR(_xlfn.AGGREGATE(15,6,(ROW(Personnel[Egtim durumu])-MIN(ROW(Personnel[Egtim durumu]))+1)/((Personnel[Egtim durumu]="Dil egitimi tamamlandi sinavdan gecti")),ROWS($K$7:K759)),"")</f>
        <v/>
      </c>
    </row>
    <row r="760" spans="1:11" x14ac:dyDescent="0.25">
      <c r="A760" s="40" t="str">
        <f>IFERROR(INDEX(Personnel[Sicil],$K760),"")</f>
        <v/>
      </c>
      <c r="B760" s="41" t="str">
        <f>IFERROR(INDEX(Personnel[Adi Soyadi],$K760),"")</f>
        <v/>
      </c>
      <c r="C760" s="40" t="str">
        <f>IFERROR(INDEX(Personnel[Vatandaslik],$K760),"")</f>
        <v/>
      </c>
      <c r="D760" s="40" t="str">
        <f>IFERROR(INDEX(Personnel[Santiye],$K760),"")</f>
        <v/>
      </c>
      <c r="E760" s="40" t="str">
        <f>IFERROR(INDEX(Personnel[Ogretmen],$K760),"")</f>
        <v/>
      </c>
      <c r="F760" s="41" t="str">
        <f>IFERROR(INDEX(Personnel[[Sinav ]],$K760),"")</f>
        <v/>
      </c>
      <c r="G760" s="41" t="str">
        <f>IFERROR(INDEX(Personnel[Egtim durumu],$K760),"")</f>
        <v/>
      </c>
      <c r="H760" s="41" t="str">
        <f>IFERROR(INDEX(Personnel[Shohruh Not],$K760),"")</f>
        <v/>
      </c>
      <c r="I760" s="40" t="str">
        <f>IFERROR(INDEX(Personnel[Дней в РФ],$K760),"")</f>
        <v/>
      </c>
      <c r="K760" s="23" t="str">
        <f t="array" ref="K760">IFERROR(_xlfn.AGGREGATE(15,6,(ROW(Personnel[Egtim durumu])-MIN(ROW(Personnel[Egtim durumu]))+1)/((Personnel[Egtim durumu]="Dil egitimi tamamlandi sinavdan gecti")),ROWS($K$7:K760)),"")</f>
        <v/>
      </c>
    </row>
    <row r="761" spans="1:11" x14ac:dyDescent="0.25">
      <c r="A761" s="18" t="str">
        <f>IFERROR(INDEX(Personnel[Sicil],$K761),"")</f>
        <v/>
      </c>
      <c r="B761" s="17" t="str">
        <f>IFERROR(INDEX(Personnel[Adi Soyadi],$K761),"")</f>
        <v/>
      </c>
      <c r="C761" s="18" t="str">
        <f>IFERROR(INDEX(Personnel[Vatandaslik],$K761),"")</f>
        <v/>
      </c>
      <c r="D761" s="18" t="str">
        <f>IFERROR(INDEX(Personnel[Santiye],$K761),"")</f>
        <v/>
      </c>
      <c r="E761" s="18" t="str">
        <f>IFERROR(INDEX(Personnel[Ogretmen],$K761),"")</f>
        <v/>
      </c>
      <c r="F761" s="17" t="str">
        <f>IFERROR(INDEX(Personnel[[Sinav ]],$K761),"")</f>
        <v/>
      </c>
      <c r="G761" s="17" t="str">
        <f>IFERROR(INDEX(Personnel[Egtim durumu],$K761),"")</f>
        <v/>
      </c>
      <c r="H761" s="17" t="str">
        <f>IFERROR(INDEX(Personnel[Shohruh Not],$K761),"")</f>
        <v/>
      </c>
      <c r="I761" s="18" t="str">
        <f>IFERROR(INDEX(Personnel[Дней в РФ],$K761),"")</f>
        <v/>
      </c>
      <c r="K761" s="23" t="str">
        <f t="array" ref="K761">IFERROR(_xlfn.AGGREGATE(15,6,(ROW(Personnel[Egtim durumu])-MIN(ROW(Personnel[Egtim durumu]))+1)/((Personnel[Egtim durumu]="Dil egitimi tamamlandi sinavdan gecti")),ROWS($K$7:K761)),"")</f>
        <v/>
      </c>
    </row>
    <row r="762" spans="1:11" x14ac:dyDescent="0.25">
      <c r="A762" s="40" t="str">
        <f>IFERROR(INDEX(Personnel[Sicil],$K762),"")</f>
        <v/>
      </c>
      <c r="B762" s="41" t="str">
        <f>IFERROR(INDEX(Personnel[Adi Soyadi],$K762),"")</f>
        <v/>
      </c>
      <c r="C762" s="40" t="str">
        <f>IFERROR(INDEX(Personnel[Vatandaslik],$K762),"")</f>
        <v/>
      </c>
      <c r="D762" s="40" t="str">
        <f>IFERROR(INDEX(Personnel[Santiye],$K762),"")</f>
        <v/>
      </c>
      <c r="E762" s="40" t="str">
        <f>IFERROR(INDEX(Personnel[Ogretmen],$K762),"")</f>
        <v/>
      </c>
      <c r="F762" s="41" t="str">
        <f>IFERROR(INDEX(Personnel[[Sinav ]],$K762),"")</f>
        <v/>
      </c>
      <c r="G762" s="41" t="str">
        <f>IFERROR(INDEX(Personnel[Egtim durumu],$K762),"")</f>
        <v/>
      </c>
      <c r="H762" s="41" t="str">
        <f>IFERROR(INDEX(Personnel[Shohruh Not],$K762),"")</f>
        <v/>
      </c>
      <c r="I762" s="40" t="str">
        <f>IFERROR(INDEX(Personnel[Дней в РФ],$K762),"")</f>
        <v/>
      </c>
      <c r="K762" s="23" t="str">
        <f t="array" ref="K762">IFERROR(_xlfn.AGGREGATE(15,6,(ROW(Personnel[Egtim durumu])-MIN(ROW(Personnel[Egtim durumu]))+1)/((Personnel[Egtim durumu]="Dil egitimi tamamlandi sinavdan gecti")),ROWS($K$7:K762)),"")</f>
        <v/>
      </c>
    </row>
    <row r="763" spans="1:11" x14ac:dyDescent="0.25">
      <c r="A763" s="18" t="str">
        <f>IFERROR(INDEX(Personnel[Sicil],$K763),"")</f>
        <v/>
      </c>
      <c r="B763" s="17" t="str">
        <f>IFERROR(INDEX(Personnel[Adi Soyadi],$K763),"")</f>
        <v/>
      </c>
      <c r="C763" s="18" t="str">
        <f>IFERROR(INDEX(Personnel[Vatandaslik],$K763),"")</f>
        <v/>
      </c>
      <c r="D763" s="18" t="str">
        <f>IFERROR(INDEX(Personnel[Santiye],$K763),"")</f>
        <v/>
      </c>
      <c r="E763" s="18" t="str">
        <f>IFERROR(INDEX(Personnel[Ogretmen],$K763),"")</f>
        <v/>
      </c>
      <c r="F763" s="17" t="str">
        <f>IFERROR(INDEX(Personnel[[Sinav ]],$K763),"")</f>
        <v/>
      </c>
      <c r="G763" s="17" t="str">
        <f>IFERROR(INDEX(Personnel[Egtim durumu],$K763),"")</f>
        <v/>
      </c>
      <c r="H763" s="17" t="str">
        <f>IFERROR(INDEX(Personnel[Shohruh Not],$K763),"")</f>
        <v/>
      </c>
      <c r="I763" s="18" t="str">
        <f>IFERROR(INDEX(Personnel[Дней в РФ],$K763),"")</f>
        <v/>
      </c>
      <c r="K763" s="23" t="str">
        <f t="array" ref="K763">IFERROR(_xlfn.AGGREGATE(15,6,(ROW(Personnel[Egtim durumu])-MIN(ROW(Personnel[Egtim durumu]))+1)/((Personnel[Egtim durumu]="Dil egitimi tamamlandi sinavdan gecti")),ROWS($K$7:K763)),"")</f>
        <v/>
      </c>
    </row>
    <row r="764" spans="1:11" x14ac:dyDescent="0.25">
      <c r="A764" s="40" t="str">
        <f>IFERROR(INDEX(Personnel[Sicil],$K764),"")</f>
        <v/>
      </c>
      <c r="B764" s="41" t="str">
        <f>IFERROR(INDEX(Personnel[Adi Soyadi],$K764),"")</f>
        <v/>
      </c>
      <c r="C764" s="40" t="str">
        <f>IFERROR(INDEX(Personnel[Vatandaslik],$K764),"")</f>
        <v/>
      </c>
      <c r="D764" s="40" t="str">
        <f>IFERROR(INDEX(Personnel[Santiye],$K764),"")</f>
        <v/>
      </c>
      <c r="E764" s="40" t="str">
        <f>IFERROR(INDEX(Personnel[Ogretmen],$K764),"")</f>
        <v/>
      </c>
      <c r="F764" s="41" t="str">
        <f>IFERROR(INDEX(Personnel[[Sinav ]],$K764),"")</f>
        <v/>
      </c>
      <c r="G764" s="41" t="str">
        <f>IFERROR(INDEX(Personnel[Egtim durumu],$K764),"")</f>
        <v/>
      </c>
      <c r="H764" s="41" t="str">
        <f>IFERROR(INDEX(Personnel[Shohruh Not],$K764),"")</f>
        <v/>
      </c>
      <c r="I764" s="40" t="str">
        <f>IFERROR(INDEX(Personnel[Дней в РФ],$K764),"")</f>
        <v/>
      </c>
      <c r="K764" s="23" t="str">
        <f t="array" ref="K764">IFERROR(_xlfn.AGGREGATE(15,6,(ROW(Personnel[Egtim durumu])-MIN(ROW(Personnel[Egtim durumu]))+1)/((Personnel[Egtim durumu]="Dil egitimi tamamlandi sinavdan gecti")),ROWS($K$7:K764)),"")</f>
        <v/>
      </c>
    </row>
    <row r="765" spans="1:11" x14ac:dyDescent="0.25">
      <c r="A765" s="18" t="str">
        <f>IFERROR(INDEX(Personnel[Sicil],$K765),"")</f>
        <v/>
      </c>
      <c r="B765" s="17" t="str">
        <f>IFERROR(INDEX(Personnel[Adi Soyadi],$K765),"")</f>
        <v/>
      </c>
      <c r="C765" s="18" t="str">
        <f>IFERROR(INDEX(Personnel[Vatandaslik],$K765),"")</f>
        <v/>
      </c>
      <c r="D765" s="18" t="str">
        <f>IFERROR(INDEX(Personnel[Santiye],$K765),"")</f>
        <v/>
      </c>
      <c r="E765" s="18" t="str">
        <f>IFERROR(INDEX(Personnel[Ogretmen],$K765),"")</f>
        <v/>
      </c>
      <c r="F765" s="17" t="str">
        <f>IFERROR(INDEX(Personnel[[Sinav ]],$K765),"")</f>
        <v/>
      </c>
      <c r="G765" s="17" t="str">
        <f>IFERROR(INDEX(Personnel[Egtim durumu],$K765),"")</f>
        <v/>
      </c>
      <c r="H765" s="17" t="str">
        <f>IFERROR(INDEX(Personnel[Shohruh Not],$K765),"")</f>
        <v/>
      </c>
      <c r="I765" s="18" t="str">
        <f>IFERROR(INDEX(Personnel[Дней в РФ],$K765),"")</f>
        <v/>
      </c>
      <c r="K765" s="23" t="str">
        <f t="array" ref="K765">IFERROR(_xlfn.AGGREGATE(15,6,(ROW(Personnel[Egtim durumu])-MIN(ROW(Personnel[Egtim durumu]))+1)/((Personnel[Egtim durumu]="Dil egitimi tamamlandi sinavdan gecti")),ROWS($K$7:K765)),"")</f>
        <v/>
      </c>
    </row>
    <row r="766" spans="1:11" x14ac:dyDescent="0.25">
      <c r="A766" s="40" t="str">
        <f>IFERROR(INDEX(Personnel[Sicil],$K766),"")</f>
        <v/>
      </c>
      <c r="B766" s="41" t="str">
        <f>IFERROR(INDEX(Personnel[Adi Soyadi],$K766),"")</f>
        <v/>
      </c>
      <c r="C766" s="40" t="str">
        <f>IFERROR(INDEX(Personnel[Vatandaslik],$K766),"")</f>
        <v/>
      </c>
      <c r="D766" s="40" t="str">
        <f>IFERROR(INDEX(Personnel[Santiye],$K766),"")</f>
        <v/>
      </c>
      <c r="E766" s="40" t="str">
        <f>IFERROR(INDEX(Personnel[Ogretmen],$K766),"")</f>
        <v/>
      </c>
      <c r="F766" s="41" t="str">
        <f>IFERROR(INDEX(Personnel[[Sinav ]],$K766),"")</f>
        <v/>
      </c>
      <c r="G766" s="41" t="str">
        <f>IFERROR(INDEX(Personnel[Egtim durumu],$K766),"")</f>
        <v/>
      </c>
      <c r="H766" s="41" t="str">
        <f>IFERROR(INDEX(Personnel[Shohruh Not],$K766),"")</f>
        <v/>
      </c>
      <c r="I766" s="40" t="str">
        <f>IFERROR(INDEX(Personnel[Дней в РФ],$K766),"")</f>
        <v/>
      </c>
      <c r="K766" s="23" t="str">
        <f t="array" ref="K766">IFERROR(_xlfn.AGGREGATE(15,6,(ROW(Personnel[Egtim durumu])-MIN(ROW(Personnel[Egtim durumu]))+1)/((Personnel[Egtim durumu]="Dil egitimi tamamlandi sinavdan gecti")),ROWS($K$7:K766)),"")</f>
        <v/>
      </c>
    </row>
    <row r="767" spans="1:11" x14ac:dyDescent="0.25">
      <c r="A767" s="18" t="str">
        <f>IFERROR(INDEX(Personnel[Sicil],$K767),"")</f>
        <v/>
      </c>
      <c r="B767" s="17" t="str">
        <f>IFERROR(INDEX(Personnel[Adi Soyadi],$K767),"")</f>
        <v/>
      </c>
      <c r="C767" s="18" t="str">
        <f>IFERROR(INDEX(Personnel[Vatandaslik],$K767),"")</f>
        <v/>
      </c>
      <c r="D767" s="18" t="str">
        <f>IFERROR(INDEX(Personnel[Santiye],$K767),"")</f>
        <v/>
      </c>
      <c r="E767" s="18" t="str">
        <f>IFERROR(INDEX(Personnel[Ogretmen],$K767),"")</f>
        <v/>
      </c>
      <c r="F767" s="17" t="str">
        <f>IFERROR(INDEX(Personnel[[Sinav ]],$K767),"")</f>
        <v/>
      </c>
      <c r="G767" s="17" t="str">
        <f>IFERROR(INDEX(Personnel[Egtim durumu],$K767),"")</f>
        <v/>
      </c>
      <c r="H767" s="17" t="str">
        <f>IFERROR(INDEX(Personnel[Shohruh Not],$K767),"")</f>
        <v/>
      </c>
      <c r="I767" s="18" t="str">
        <f>IFERROR(INDEX(Personnel[Дней в РФ],$K767),"")</f>
        <v/>
      </c>
      <c r="K767" s="23" t="str">
        <f t="array" ref="K767">IFERROR(_xlfn.AGGREGATE(15,6,(ROW(Personnel[Egtim durumu])-MIN(ROW(Personnel[Egtim durumu]))+1)/((Personnel[Egtim durumu]="Dil egitimi tamamlandi sinavdan gecti")),ROWS($K$7:K767)),"")</f>
        <v/>
      </c>
    </row>
    <row r="768" spans="1:11" x14ac:dyDescent="0.25">
      <c r="A768" s="40" t="str">
        <f>IFERROR(INDEX(Personnel[Sicil],$K768),"")</f>
        <v/>
      </c>
      <c r="B768" s="41" t="str">
        <f>IFERROR(INDEX(Personnel[Adi Soyadi],$K768),"")</f>
        <v/>
      </c>
      <c r="C768" s="40" t="str">
        <f>IFERROR(INDEX(Personnel[Vatandaslik],$K768),"")</f>
        <v/>
      </c>
      <c r="D768" s="40" t="str">
        <f>IFERROR(INDEX(Personnel[Santiye],$K768),"")</f>
        <v/>
      </c>
      <c r="E768" s="40" t="str">
        <f>IFERROR(INDEX(Personnel[Ogretmen],$K768),"")</f>
        <v/>
      </c>
      <c r="F768" s="41" t="str">
        <f>IFERROR(INDEX(Personnel[[Sinav ]],$K768),"")</f>
        <v/>
      </c>
      <c r="G768" s="41" t="str">
        <f>IFERROR(INDEX(Personnel[Egtim durumu],$K768),"")</f>
        <v/>
      </c>
      <c r="H768" s="41" t="str">
        <f>IFERROR(INDEX(Personnel[Shohruh Not],$K768),"")</f>
        <v/>
      </c>
      <c r="I768" s="40" t="str">
        <f>IFERROR(INDEX(Personnel[Дней в РФ],$K768),"")</f>
        <v/>
      </c>
      <c r="K768" s="23" t="str">
        <f t="array" ref="K768">IFERROR(_xlfn.AGGREGATE(15,6,(ROW(Personnel[Egtim durumu])-MIN(ROW(Personnel[Egtim durumu]))+1)/((Personnel[Egtim durumu]="Dil egitimi tamamlandi sinavdan gecti")),ROWS($K$7:K768)),"")</f>
        <v/>
      </c>
    </row>
    <row r="769" spans="1:11" x14ac:dyDescent="0.25">
      <c r="A769" s="18" t="str">
        <f>IFERROR(INDEX(Personnel[Sicil],$K769),"")</f>
        <v/>
      </c>
      <c r="B769" s="17" t="str">
        <f>IFERROR(INDEX(Personnel[Adi Soyadi],$K769),"")</f>
        <v/>
      </c>
      <c r="C769" s="18" t="str">
        <f>IFERROR(INDEX(Personnel[Vatandaslik],$K769),"")</f>
        <v/>
      </c>
      <c r="D769" s="18" t="str">
        <f>IFERROR(INDEX(Personnel[Santiye],$K769),"")</f>
        <v/>
      </c>
      <c r="E769" s="18" t="str">
        <f>IFERROR(INDEX(Personnel[Ogretmen],$K769),"")</f>
        <v/>
      </c>
      <c r="F769" s="17" t="str">
        <f>IFERROR(INDEX(Personnel[[Sinav ]],$K769),"")</f>
        <v/>
      </c>
      <c r="G769" s="17" t="str">
        <f>IFERROR(INDEX(Personnel[Egtim durumu],$K769),"")</f>
        <v/>
      </c>
      <c r="H769" s="17" t="str">
        <f>IFERROR(INDEX(Personnel[Shohruh Not],$K769),"")</f>
        <v/>
      </c>
      <c r="I769" s="18" t="str">
        <f>IFERROR(INDEX(Personnel[Дней в РФ],$K769),"")</f>
        <v/>
      </c>
      <c r="K769" s="23" t="str">
        <f t="array" ref="K769">IFERROR(_xlfn.AGGREGATE(15,6,(ROW(Personnel[Egtim durumu])-MIN(ROW(Personnel[Egtim durumu]))+1)/((Personnel[Egtim durumu]="Dil egitimi tamamlandi sinavdan gecti")),ROWS($K$7:K769)),"")</f>
        <v/>
      </c>
    </row>
    <row r="770" spans="1:11" x14ac:dyDescent="0.25">
      <c r="A770" s="40" t="str">
        <f>IFERROR(INDEX(Personnel[Sicil],$K770),"")</f>
        <v/>
      </c>
      <c r="B770" s="41" t="str">
        <f>IFERROR(INDEX(Personnel[Adi Soyadi],$K770),"")</f>
        <v/>
      </c>
      <c r="C770" s="40" t="str">
        <f>IFERROR(INDEX(Personnel[Vatandaslik],$K770),"")</f>
        <v/>
      </c>
      <c r="D770" s="40" t="str">
        <f>IFERROR(INDEX(Personnel[Santiye],$K770),"")</f>
        <v/>
      </c>
      <c r="E770" s="40" t="str">
        <f>IFERROR(INDEX(Personnel[Ogretmen],$K770),"")</f>
        <v/>
      </c>
      <c r="F770" s="41" t="str">
        <f>IFERROR(INDEX(Personnel[[Sinav ]],$K770),"")</f>
        <v/>
      </c>
      <c r="G770" s="41" t="str">
        <f>IFERROR(INDEX(Personnel[Egtim durumu],$K770),"")</f>
        <v/>
      </c>
      <c r="H770" s="41" t="str">
        <f>IFERROR(INDEX(Personnel[Shohruh Not],$K770),"")</f>
        <v/>
      </c>
      <c r="I770" s="40" t="str">
        <f>IFERROR(INDEX(Personnel[Дней в РФ],$K770),"")</f>
        <v/>
      </c>
      <c r="K770" s="23" t="str">
        <f t="array" ref="K770">IFERROR(_xlfn.AGGREGATE(15,6,(ROW(Personnel[Egtim durumu])-MIN(ROW(Personnel[Egtim durumu]))+1)/((Personnel[Egtim durumu]="Dil egitimi tamamlandi sinavdan gecti")),ROWS($K$7:K770)),"")</f>
        <v/>
      </c>
    </row>
    <row r="771" spans="1:11" x14ac:dyDescent="0.25">
      <c r="A771" s="18" t="str">
        <f>IFERROR(INDEX(Personnel[Sicil],$K771),"")</f>
        <v/>
      </c>
      <c r="B771" s="17" t="str">
        <f>IFERROR(INDEX(Personnel[Adi Soyadi],$K771),"")</f>
        <v/>
      </c>
      <c r="C771" s="18" t="str">
        <f>IFERROR(INDEX(Personnel[Vatandaslik],$K771),"")</f>
        <v/>
      </c>
      <c r="D771" s="18" t="str">
        <f>IFERROR(INDEX(Personnel[Santiye],$K771),"")</f>
        <v/>
      </c>
      <c r="E771" s="18" t="str">
        <f>IFERROR(INDEX(Personnel[Ogretmen],$K771),"")</f>
        <v/>
      </c>
      <c r="F771" s="17" t="str">
        <f>IFERROR(INDEX(Personnel[[Sinav ]],$K771),"")</f>
        <v/>
      </c>
      <c r="G771" s="17" t="str">
        <f>IFERROR(INDEX(Personnel[Egtim durumu],$K771),"")</f>
        <v/>
      </c>
      <c r="H771" s="17" t="str">
        <f>IFERROR(INDEX(Personnel[Shohruh Not],$K771),"")</f>
        <v/>
      </c>
      <c r="I771" s="18" t="str">
        <f>IFERROR(INDEX(Personnel[Дней в РФ],$K771),"")</f>
        <v/>
      </c>
      <c r="K771" s="23" t="str">
        <f t="array" ref="K771">IFERROR(_xlfn.AGGREGATE(15,6,(ROW(Personnel[Egtim durumu])-MIN(ROW(Personnel[Egtim durumu]))+1)/((Personnel[Egtim durumu]="Dil egitimi tamamlandi sinavdan gecti")),ROWS($K$7:K771)),"")</f>
        <v/>
      </c>
    </row>
    <row r="772" spans="1:11" x14ac:dyDescent="0.25">
      <c r="A772" s="40" t="str">
        <f>IFERROR(INDEX(Personnel[Sicil],$K772),"")</f>
        <v/>
      </c>
      <c r="B772" s="41" t="str">
        <f>IFERROR(INDEX(Personnel[Adi Soyadi],$K772),"")</f>
        <v/>
      </c>
      <c r="C772" s="40" t="str">
        <f>IFERROR(INDEX(Personnel[Vatandaslik],$K772),"")</f>
        <v/>
      </c>
      <c r="D772" s="40" t="str">
        <f>IFERROR(INDEX(Personnel[Santiye],$K772),"")</f>
        <v/>
      </c>
      <c r="E772" s="40" t="str">
        <f>IFERROR(INDEX(Personnel[Ogretmen],$K772),"")</f>
        <v/>
      </c>
      <c r="F772" s="41" t="str">
        <f>IFERROR(INDEX(Personnel[[Sinav ]],$K772),"")</f>
        <v/>
      </c>
      <c r="G772" s="41" t="str">
        <f>IFERROR(INDEX(Personnel[Egtim durumu],$K772),"")</f>
        <v/>
      </c>
      <c r="H772" s="41" t="str">
        <f>IFERROR(INDEX(Personnel[Shohruh Not],$K772),"")</f>
        <v/>
      </c>
      <c r="I772" s="40" t="str">
        <f>IFERROR(INDEX(Personnel[Дней в РФ],$K772),"")</f>
        <v/>
      </c>
      <c r="K772" s="23" t="str">
        <f t="array" ref="K772">IFERROR(_xlfn.AGGREGATE(15,6,(ROW(Personnel[Egtim durumu])-MIN(ROW(Personnel[Egtim durumu]))+1)/((Personnel[Egtim durumu]="Dil egitimi tamamlandi sinavdan gecti")),ROWS($K$7:K772)),"")</f>
        <v/>
      </c>
    </row>
    <row r="773" spans="1:11" x14ac:dyDescent="0.25">
      <c r="A773" s="18" t="str">
        <f>IFERROR(INDEX(Personnel[Sicil],$K773),"")</f>
        <v/>
      </c>
      <c r="B773" s="17" t="str">
        <f>IFERROR(INDEX(Personnel[Adi Soyadi],$K773),"")</f>
        <v/>
      </c>
      <c r="C773" s="18" t="str">
        <f>IFERROR(INDEX(Personnel[Vatandaslik],$K773),"")</f>
        <v/>
      </c>
      <c r="D773" s="18" t="str">
        <f>IFERROR(INDEX(Personnel[Santiye],$K773),"")</f>
        <v/>
      </c>
      <c r="E773" s="18" t="str">
        <f>IFERROR(INDEX(Personnel[Ogretmen],$K773),"")</f>
        <v/>
      </c>
      <c r="F773" s="17" t="str">
        <f>IFERROR(INDEX(Personnel[[Sinav ]],$K773),"")</f>
        <v/>
      </c>
      <c r="G773" s="17" t="str">
        <f>IFERROR(INDEX(Personnel[Egtim durumu],$K773),"")</f>
        <v/>
      </c>
      <c r="H773" s="17" t="str">
        <f>IFERROR(INDEX(Personnel[Shohruh Not],$K773),"")</f>
        <v/>
      </c>
      <c r="I773" s="18" t="str">
        <f>IFERROR(INDEX(Personnel[Дней в РФ],$K773),"")</f>
        <v/>
      </c>
      <c r="K773" s="23" t="str">
        <f t="array" ref="K773">IFERROR(_xlfn.AGGREGATE(15,6,(ROW(Personnel[Egtim durumu])-MIN(ROW(Personnel[Egtim durumu]))+1)/((Personnel[Egtim durumu]="Dil egitimi tamamlandi sinavdan gecti")),ROWS($K$7:K773)),"")</f>
        <v/>
      </c>
    </row>
    <row r="774" spans="1:11" x14ac:dyDescent="0.25">
      <c r="A774" s="40" t="str">
        <f>IFERROR(INDEX(Personnel[Sicil],$K774),"")</f>
        <v/>
      </c>
      <c r="B774" s="41" t="str">
        <f>IFERROR(INDEX(Personnel[Adi Soyadi],$K774),"")</f>
        <v/>
      </c>
      <c r="C774" s="40" t="str">
        <f>IFERROR(INDEX(Personnel[Vatandaslik],$K774),"")</f>
        <v/>
      </c>
      <c r="D774" s="40" t="str">
        <f>IFERROR(INDEX(Personnel[Santiye],$K774),"")</f>
        <v/>
      </c>
      <c r="E774" s="40" t="str">
        <f>IFERROR(INDEX(Personnel[Ogretmen],$K774),"")</f>
        <v/>
      </c>
      <c r="F774" s="41" t="str">
        <f>IFERROR(INDEX(Personnel[[Sinav ]],$K774),"")</f>
        <v/>
      </c>
      <c r="G774" s="41" t="str">
        <f>IFERROR(INDEX(Personnel[Egtim durumu],$K774),"")</f>
        <v/>
      </c>
      <c r="H774" s="41" t="str">
        <f>IFERROR(INDEX(Personnel[Shohruh Not],$K774),"")</f>
        <v/>
      </c>
      <c r="I774" s="40" t="str">
        <f>IFERROR(INDEX(Personnel[Дней в РФ],$K774),"")</f>
        <v/>
      </c>
      <c r="K774" s="23" t="str">
        <f t="array" ref="K774">IFERROR(_xlfn.AGGREGATE(15,6,(ROW(Personnel[Egtim durumu])-MIN(ROW(Personnel[Egtim durumu]))+1)/((Personnel[Egtim durumu]="Dil egitimi tamamlandi sinavdan gecti")),ROWS($K$7:K774)),"")</f>
        <v/>
      </c>
    </row>
    <row r="775" spans="1:11" x14ac:dyDescent="0.25">
      <c r="A775" s="18" t="str">
        <f>IFERROR(INDEX(Personnel[Sicil],$K775),"")</f>
        <v/>
      </c>
      <c r="B775" s="17" t="str">
        <f>IFERROR(INDEX(Personnel[Adi Soyadi],$K775),"")</f>
        <v/>
      </c>
      <c r="C775" s="18" t="str">
        <f>IFERROR(INDEX(Personnel[Vatandaslik],$K775),"")</f>
        <v/>
      </c>
      <c r="D775" s="18" t="str">
        <f>IFERROR(INDEX(Personnel[Santiye],$K775),"")</f>
        <v/>
      </c>
      <c r="E775" s="18" t="str">
        <f>IFERROR(INDEX(Personnel[Ogretmen],$K775),"")</f>
        <v/>
      </c>
      <c r="F775" s="17" t="str">
        <f>IFERROR(INDEX(Personnel[[Sinav ]],$K775),"")</f>
        <v/>
      </c>
      <c r="G775" s="17" t="str">
        <f>IFERROR(INDEX(Personnel[Egtim durumu],$K775),"")</f>
        <v/>
      </c>
      <c r="H775" s="17" t="str">
        <f>IFERROR(INDEX(Personnel[Shohruh Not],$K775),"")</f>
        <v/>
      </c>
      <c r="I775" s="18" t="str">
        <f>IFERROR(INDEX(Personnel[Дней в РФ],$K775),"")</f>
        <v/>
      </c>
      <c r="K775" s="23" t="str">
        <f t="array" ref="K775">IFERROR(_xlfn.AGGREGATE(15,6,(ROW(Personnel[Egtim durumu])-MIN(ROW(Personnel[Egtim durumu]))+1)/((Personnel[Egtim durumu]="Dil egitimi tamamlandi sinavdan gecti")),ROWS($K$7:K775)),"")</f>
        <v/>
      </c>
    </row>
    <row r="776" spans="1:11" x14ac:dyDescent="0.25">
      <c r="A776" s="40" t="str">
        <f>IFERROR(INDEX(Personnel[Sicil],$K776),"")</f>
        <v/>
      </c>
      <c r="B776" s="41" t="str">
        <f>IFERROR(INDEX(Personnel[Adi Soyadi],$K776),"")</f>
        <v/>
      </c>
      <c r="C776" s="40" t="str">
        <f>IFERROR(INDEX(Personnel[Vatandaslik],$K776),"")</f>
        <v/>
      </c>
      <c r="D776" s="40" t="str">
        <f>IFERROR(INDEX(Personnel[Santiye],$K776),"")</f>
        <v/>
      </c>
      <c r="E776" s="40" t="str">
        <f>IFERROR(INDEX(Personnel[Ogretmen],$K776),"")</f>
        <v/>
      </c>
      <c r="F776" s="41" t="str">
        <f>IFERROR(INDEX(Personnel[[Sinav ]],$K776),"")</f>
        <v/>
      </c>
      <c r="G776" s="41" t="str">
        <f>IFERROR(INDEX(Personnel[Egtim durumu],$K776),"")</f>
        <v/>
      </c>
      <c r="H776" s="41" t="str">
        <f>IFERROR(INDEX(Personnel[Shohruh Not],$K776),"")</f>
        <v/>
      </c>
      <c r="I776" s="40" t="str">
        <f>IFERROR(INDEX(Personnel[Дней в РФ],$K776),"")</f>
        <v/>
      </c>
      <c r="K776" s="23" t="str">
        <f t="array" ref="K776">IFERROR(_xlfn.AGGREGATE(15,6,(ROW(Personnel[Egtim durumu])-MIN(ROW(Personnel[Egtim durumu]))+1)/((Personnel[Egtim durumu]="Dil egitimi tamamlandi sinavdan gecti")),ROWS($K$7:K776)),"")</f>
        <v/>
      </c>
    </row>
    <row r="777" spans="1:11" x14ac:dyDescent="0.25">
      <c r="A777" s="18" t="str">
        <f>IFERROR(INDEX(Personnel[Sicil],$K777),"")</f>
        <v/>
      </c>
      <c r="B777" s="17" t="str">
        <f>IFERROR(INDEX(Personnel[Adi Soyadi],$K777),"")</f>
        <v/>
      </c>
      <c r="C777" s="18" t="str">
        <f>IFERROR(INDEX(Personnel[Vatandaslik],$K777),"")</f>
        <v/>
      </c>
      <c r="D777" s="18" t="str">
        <f>IFERROR(INDEX(Personnel[Santiye],$K777),"")</f>
        <v/>
      </c>
      <c r="E777" s="18" t="str">
        <f>IFERROR(INDEX(Personnel[Ogretmen],$K777),"")</f>
        <v/>
      </c>
      <c r="F777" s="17" t="str">
        <f>IFERROR(INDEX(Personnel[[Sinav ]],$K777),"")</f>
        <v/>
      </c>
      <c r="G777" s="17" t="str">
        <f>IFERROR(INDEX(Personnel[Egtim durumu],$K777),"")</f>
        <v/>
      </c>
      <c r="H777" s="17" t="str">
        <f>IFERROR(INDEX(Personnel[Shohruh Not],$K777),"")</f>
        <v/>
      </c>
      <c r="I777" s="18" t="str">
        <f>IFERROR(INDEX(Personnel[Дней в РФ],$K777),"")</f>
        <v/>
      </c>
      <c r="K777" s="23" t="str">
        <f t="array" ref="K777">IFERROR(_xlfn.AGGREGATE(15,6,(ROW(Personnel[Egtim durumu])-MIN(ROW(Personnel[Egtim durumu]))+1)/((Personnel[Egtim durumu]="Dil egitimi tamamlandi sinavdan gecti")),ROWS($K$7:K777)),"")</f>
        <v/>
      </c>
    </row>
    <row r="778" spans="1:11" x14ac:dyDescent="0.25">
      <c r="A778" s="40" t="str">
        <f>IFERROR(INDEX(Personnel[Sicil],$K778),"")</f>
        <v/>
      </c>
      <c r="B778" s="41" t="str">
        <f>IFERROR(INDEX(Personnel[Adi Soyadi],$K778),"")</f>
        <v/>
      </c>
      <c r="C778" s="40" t="str">
        <f>IFERROR(INDEX(Personnel[Vatandaslik],$K778),"")</f>
        <v/>
      </c>
      <c r="D778" s="40" t="str">
        <f>IFERROR(INDEX(Personnel[Santiye],$K778),"")</f>
        <v/>
      </c>
      <c r="E778" s="40" t="str">
        <f>IFERROR(INDEX(Personnel[Ogretmen],$K778),"")</f>
        <v/>
      </c>
      <c r="F778" s="41" t="str">
        <f>IFERROR(INDEX(Personnel[[Sinav ]],$K778),"")</f>
        <v/>
      </c>
      <c r="G778" s="41" t="str">
        <f>IFERROR(INDEX(Personnel[Egtim durumu],$K778),"")</f>
        <v/>
      </c>
      <c r="H778" s="41" t="str">
        <f>IFERROR(INDEX(Personnel[Shohruh Not],$K778),"")</f>
        <v/>
      </c>
      <c r="I778" s="40" t="str">
        <f>IFERROR(INDEX(Personnel[Дней в РФ],$K778),"")</f>
        <v/>
      </c>
      <c r="K778" s="23" t="str">
        <f t="array" ref="K778">IFERROR(_xlfn.AGGREGATE(15,6,(ROW(Personnel[Egtim durumu])-MIN(ROW(Personnel[Egtim durumu]))+1)/((Personnel[Egtim durumu]="Dil egitimi tamamlandi sinavdan gecti")),ROWS($K$7:K778)),"")</f>
        <v/>
      </c>
    </row>
    <row r="779" spans="1:11" x14ac:dyDescent="0.25">
      <c r="A779" s="18" t="str">
        <f>IFERROR(INDEX(Personnel[Sicil],$K779),"")</f>
        <v/>
      </c>
      <c r="B779" s="17" t="str">
        <f>IFERROR(INDEX(Personnel[Adi Soyadi],$K779),"")</f>
        <v/>
      </c>
      <c r="C779" s="18" t="str">
        <f>IFERROR(INDEX(Personnel[Vatandaslik],$K779),"")</f>
        <v/>
      </c>
      <c r="D779" s="18" t="str">
        <f>IFERROR(INDEX(Personnel[Santiye],$K779),"")</f>
        <v/>
      </c>
      <c r="E779" s="18" t="str">
        <f>IFERROR(INDEX(Personnel[Ogretmen],$K779),"")</f>
        <v/>
      </c>
      <c r="F779" s="17" t="str">
        <f>IFERROR(INDEX(Personnel[[Sinav ]],$K779),"")</f>
        <v/>
      </c>
      <c r="G779" s="17" t="str">
        <f>IFERROR(INDEX(Personnel[Egtim durumu],$K779),"")</f>
        <v/>
      </c>
      <c r="H779" s="17" t="str">
        <f>IFERROR(INDEX(Personnel[Shohruh Not],$K779),"")</f>
        <v/>
      </c>
      <c r="I779" s="18" t="str">
        <f>IFERROR(INDEX(Personnel[Дней в РФ],$K779),"")</f>
        <v/>
      </c>
      <c r="K779" s="23" t="str">
        <f t="array" ref="K779">IFERROR(_xlfn.AGGREGATE(15,6,(ROW(Personnel[Egtim durumu])-MIN(ROW(Personnel[Egtim durumu]))+1)/((Personnel[Egtim durumu]="Dil egitimi tamamlandi sinavdan gecti")),ROWS($K$7:K779)),"")</f>
        <v/>
      </c>
    </row>
    <row r="780" spans="1:11" x14ac:dyDescent="0.25">
      <c r="A780" s="40" t="str">
        <f>IFERROR(INDEX(Personnel[Sicil],$K780),"")</f>
        <v/>
      </c>
      <c r="B780" s="41" t="str">
        <f>IFERROR(INDEX(Personnel[Adi Soyadi],$K780),"")</f>
        <v/>
      </c>
      <c r="C780" s="40" t="str">
        <f>IFERROR(INDEX(Personnel[Vatandaslik],$K780),"")</f>
        <v/>
      </c>
      <c r="D780" s="40" t="str">
        <f>IFERROR(INDEX(Personnel[Santiye],$K780),"")</f>
        <v/>
      </c>
      <c r="E780" s="40" t="str">
        <f>IFERROR(INDEX(Personnel[Ogretmen],$K780),"")</f>
        <v/>
      </c>
      <c r="F780" s="41" t="str">
        <f>IFERROR(INDEX(Personnel[[Sinav ]],$K780),"")</f>
        <v/>
      </c>
      <c r="G780" s="41" t="str">
        <f>IFERROR(INDEX(Personnel[Egtim durumu],$K780),"")</f>
        <v/>
      </c>
      <c r="H780" s="41" t="str">
        <f>IFERROR(INDEX(Personnel[Shohruh Not],$K780),"")</f>
        <v/>
      </c>
      <c r="I780" s="40" t="str">
        <f>IFERROR(INDEX(Personnel[Дней в РФ],$K780),"")</f>
        <v/>
      </c>
      <c r="K780" s="23" t="str">
        <f t="array" ref="K780">IFERROR(_xlfn.AGGREGATE(15,6,(ROW(Personnel[Egtim durumu])-MIN(ROW(Personnel[Egtim durumu]))+1)/((Personnel[Egtim durumu]="Dil egitimi tamamlandi sinavdan gecti")),ROWS($K$7:K780)),"")</f>
        <v/>
      </c>
    </row>
    <row r="781" spans="1:11" x14ac:dyDescent="0.25">
      <c r="A781" s="18" t="str">
        <f>IFERROR(INDEX(Personnel[Sicil],$K781),"")</f>
        <v/>
      </c>
      <c r="B781" s="17" t="str">
        <f>IFERROR(INDEX(Personnel[Adi Soyadi],$K781),"")</f>
        <v/>
      </c>
      <c r="C781" s="18" t="str">
        <f>IFERROR(INDEX(Personnel[Vatandaslik],$K781),"")</f>
        <v/>
      </c>
      <c r="D781" s="18" t="str">
        <f>IFERROR(INDEX(Personnel[Santiye],$K781),"")</f>
        <v/>
      </c>
      <c r="E781" s="18" t="str">
        <f>IFERROR(INDEX(Personnel[Ogretmen],$K781),"")</f>
        <v/>
      </c>
      <c r="F781" s="17" t="str">
        <f>IFERROR(INDEX(Personnel[[Sinav ]],$K781),"")</f>
        <v/>
      </c>
      <c r="G781" s="17" t="str">
        <f>IFERROR(INDEX(Personnel[Egtim durumu],$K781),"")</f>
        <v/>
      </c>
      <c r="H781" s="17" t="str">
        <f>IFERROR(INDEX(Personnel[Shohruh Not],$K781),"")</f>
        <v/>
      </c>
      <c r="I781" s="18" t="str">
        <f>IFERROR(INDEX(Personnel[Дней в РФ],$K781),"")</f>
        <v/>
      </c>
      <c r="K781" s="23" t="str">
        <f t="array" ref="K781">IFERROR(_xlfn.AGGREGATE(15,6,(ROW(Personnel[Egtim durumu])-MIN(ROW(Personnel[Egtim durumu]))+1)/((Personnel[Egtim durumu]="Dil egitimi tamamlandi sinavdan gecti")),ROWS($K$7:K781)),"")</f>
        <v/>
      </c>
    </row>
    <row r="782" spans="1:11" x14ac:dyDescent="0.25">
      <c r="A782" s="40" t="str">
        <f>IFERROR(INDEX(Personnel[Sicil],$K782),"")</f>
        <v/>
      </c>
      <c r="B782" s="41" t="str">
        <f>IFERROR(INDEX(Personnel[Adi Soyadi],$K782),"")</f>
        <v/>
      </c>
      <c r="C782" s="40" t="str">
        <f>IFERROR(INDEX(Personnel[Vatandaslik],$K782),"")</f>
        <v/>
      </c>
      <c r="D782" s="40" t="str">
        <f>IFERROR(INDEX(Personnel[Santiye],$K782),"")</f>
        <v/>
      </c>
      <c r="E782" s="40" t="str">
        <f>IFERROR(INDEX(Personnel[Ogretmen],$K782),"")</f>
        <v/>
      </c>
      <c r="F782" s="41" t="str">
        <f>IFERROR(INDEX(Personnel[[Sinav ]],$K782),"")</f>
        <v/>
      </c>
      <c r="G782" s="41" t="str">
        <f>IFERROR(INDEX(Personnel[Egtim durumu],$K782),"")</f>
        <v/>
      </c>
      <c r="H782" s="41" t="str">
        <f>IFERROR(INDEX(Personnel[Shohruh Not],$K782),"")</f>
        <v/>
      </c>
      <c r="I782" s="40" t="str">
        <f>IFERROR(INDEX(Personnel[Дней в РФ],$K782),"")</f>
        <v/>
      </c>
      <c r="K782" s="23" t="str">
        <f t="array" ref="K782">IFERROR(_xlfn.AGGREGATE(15,6,(ROW(Personnel[Egtim durumu])-MIN(ROW(Personnel[Egtim durumu]))+1)/((Personnel[Egtim durumu]="Dil egitimi tamamlandi sinavdan gecti")),ROWS($K$7:K782)),"")</f>
        <v/>
      </c>
    </row>
    <row r="783" spans="1:11" x14ac:dyDescent="0.25">
      <c r="A783" s="18" t="str">
        <f>IFERROR(INDEX(Personnel[Sicil],$K783),"")</f>
        <v/>
      </c>
      <c r="B783" s="17" t="str">
        <f>IFERROR(INDEX(Personnel[Adi Soyadi],$K783),"")</f>
        <v/>
      </c>
      <c r="C783" s="18" t="str">
        <f>IFERROR(INDEX(Personnel[Vatandaslik],$K783),"")</f>
        <v/>
      </c>
      <c r="D783" s="18" t="str">
        <f>IFERROR(INDEX(Personnel[Santiye],$K783),"")</f>
        <v/>
      </c>
      <c r="E783" s="18" t="str">
        <f>IFERROR(INDEX(Personnel[Ogretmen],$K783),"")</f>
        <v/>
      </c>
      <c r="F783" s="17" t="str">
        <f>IFERROR(INDEX(Personnel[[Sinav ]],$K783),"")</f>
        <v/>
      </c>
      <c r="G783" s="17" t="str">
        <f>IFERROR(INDEX(Personnel[Egtim durumu],$K783),"")</f>
        <v/>
      </c>
      <c r="H783" s="17" t="str">
        <f>IFERROR(INDEX(Personnel[Shohruh Not],$K783),"")</f>
        <v/>
      </c>
      <c r="I783" s="18" t="str">
        <f>IFERROR(INDEX(Personnel[Дней в РФ],$K783),"")</f>
        <v/>
      </c>
      <c r="K783" s="23" t="str">
        <f t="array" ref="K783">IFERROR(_xlfn.AGGREGATE(15,6,(ROW(Personnel[Egtim durumu])-MIN(ROW(Personnel[Egtim durumu]))+1)/((Personnel[Egtim durumu]="Dil egitimi tamamlandi sinavdan gecti")),ROWS($K$7:K783)),"")</f>
        <v/>
      </c>
    </row>
    <row r="784" spans="1:11" x14ac:dyDescent="0.25">
      <c r="A784" s="40" t="str">
        <f>IFERROR(INDEX(Personnel[Sicil],$K784),"")</f>
        <v/>
      </c>
      <c r="B784" s="41" t="str">
        <f>IFERROR(INDEX(Personnel[Adi Soyadi],$K784),"")</f>
        <v/>
      </c>
      <c r="C784" s="40" t="str">
        <f>IFERROR(INDEX(Personnel[Vatandaslik],$K784),"")</f>
        <v/>
      </c>
      <c r="D784" s="40" t="str">
        <f>IFERROR(INDEX(Personnel[Santiye],$K784),"")</f>
        <v/>
      </c>
      <c r="E784" s="40" t="str">
        <f>IFERROR(INDEX(Personnel[Ogretmen],$K784),"")</f>
        <v/>
      </c>
      <c r="F784" s="41" t="str">
        <f>IFERROR(INDEX(Personnel[[Sinav ]],$K784),"")</f>
        <v/>
      </c>
      <c r="G784" s="41" t="str">
        <f>IFERROR(INDEX(Personnel[Egtim durumu],$K784),"")</f>
        <v/>
      </c>
      <c r="H784" s="41" t="str">
        <f>IFERROR(INDEX(Personnel[Shohruh Not],$K784),"")</f>
        <v/>
      </c>
      <c r="I784" s="40" t="str">
        <f>IFERROR(INDEX(Personnel[Дней в РФ],$K784),"")</f>
        <v/>
      </c>
      <c r="K784" s="23" t="str">
        <f t="array" ref="K784">IFERROR(_xlfn.AGGREGATE(15,6,(ROW(Personnel[Egtim durumu])-MIN(ROW(Personnel[Egtim durumu]))+1)/((Personnel[Egtim durumu]="Dil egitimi tamamlandi sinavdan gecti")),ROWS($K$7:K784)),"")</f>
        <v/>
      </c>
    </row>
    <row r="785" spans="1:11" x14ac:dyDescent="0.25">
      <c r="A785" s="18" t="str">
        <f>IFERROR(INDEX(Personnel[Sicil],$K785),"")</f>
        <v/>
      </c>
      <c r="B785" s="17" t="str">
        <f>IFERROR(INDEX(Personnel[Adi Soyadi],$K785),"")</f>
        <v/>
      </c>
      <c r="C785" s="18" t="str">
        <f>IFERROR(INDEX(Personnel[Vatandaslik],$K785),"")</f>
        <v/>
      </c>
      <c r="D785" s="18" t="str">
        <f>IFERROR(INDEX(Personnel[Santiye],$K785),"")</f>
        <v/>
      </c>
      <c r="E785" s="18" t="str">
        <f>IFERROR(INDEX(Personnel[Ogretmen],$K785),"")</f>
        <v/>
      </c>
      <c r="F785" s="17" t="str">
        <f>IFERROR(INDEX(Personnel[[Sinav ]],$K785),"")</f>
        <v/>
      </c>
      <c r="G785" s="17" t="str">
        <f>IFERROR(INDEX(Personnel[Egtim durumu],$K785),"")</f>
        <v/>
      </c>
      <c r="H785" s="17" t="str">
        <f>IFERROR(INDEX(Personnel[Shohruh Not],$K785),"")</f>
        <v/>
      </c>
      <c r="I785" s="18" t="str">
        <f>IFERROR(INDEX(Personnel[Дней в РФ],$K785),"")</f>
        <v/>
      </c>
      <c r="K785" s="23" t="str">
        <f t="array" ref="K785">IFERROR(_xlfn.AGGREGATE(15,6,(ROW(Personnel[Egtim durumu])-MIN(ROW(Personnel[Egtim durumu]))+1)/((Personnel[Egtim durumu]="Dil egitimi tamamlandi sinavdan gecti")),ROWS($K$7:K785)),"")</f>
        <v/>
      </c>
    </row>
    <row r="786" spans="1:11" x14ac:dyDescent="0.25">
      <c r="A786" s="40" t="str">
        <f>IFERROR(INDEX(Personnel[Sicil],$K786),"")</f>
        <v/>
      </c>
      <c r="B786" s="41" t="str">
        <f>IFERROR(INDEX(Personnel[Adi Soyadi],$K786),"")</f>
        <v/>
      </c>
      <c r="C786" s="40" t="str">
        <f>IFERROR(INDEX(Personnel[Vatandaslik],$K786),"")</f>
        <v/>
      </c>
      <c r="D786" s="40" t="str">
        <f>IFERROR(INDEX(Personnel[Santiye],$K786),"")</f>
        <v/>
      </c>
      <c r="E786" s="40" t="str">
        <f>IFERROR(INDEX(Personnel[Ogretmen],$K786),"")</f>
        <v/>
      </c>
      <c r="F786" s="41" t="str">
        <f>IFERROR(INDEX(Personnel[[Sinav ]],$K786),"")</f>
        <v/>
      </c>
      <c r="G786" s="41" t="str">
        <f>IFERROR(INDEX(Personnel[Egtim durumu],$K786),"")</f>
        <v/>
      </c>
      <c r="H786" s="41" t="str">
        <f>IFERROR(INDEX(Personnel[Shohruh Not],$K786),"")</f>
        <v/>
      </c>
      <c r="I786" s="40" t="str">
        <f>IFERROR(INDEX(Personnel[Дней в РФ],$K786),"")</f>
        <v/>
      </c>
      <c r="K786" s="23" t="str">
        <f t="array" ref="K786">IFERROR(_xlfn.AGGREGATE(15,6,(ROW(Personnel[Egtim durumu])-MIN(ROW(Personnel[Egtim durumu]))+1)/((Personnel[Egtim durumu]="Dil egitimi tamamlandi sinavdan gecti")),ROWS($K$7:K786)),"")</f>
        <v/>
      </c>
    </row>
    <row r="787" spans="1:11" x14ac:dyDescent="0.25">
      <c r="A787" s="18" t="str">
        <f>IFERROR(INDEX(Personnel[Sicil],$K787),"")</f>
        <v/>
      </c>
      <c r="B787" s="17" t="str">
        <f>IFERROR(INDEX(Personnel[Adi Soyadi],$K787),"")</f>
        <v/>
      </c>
      <c r="C787" s="18" t="str">
        <f>IFERROR(INDEX(Personnel[Vatandaslik],$K787),"")</f>
        <v/>
      </c>
      <c r="D787" s="18" t="str">
        <f>IFERROR(INDEX(Personnel[Santiye],$K787),"")</f>
        <v/>
      </c>
      <c r="E787" s="18" t="str">
        <f>IFERROR(INDEX(Personnel[Ogretmen],$K787),"")</f>
        <v/>
      </c>
      <c r="F787" s="17" t="str">
        <f>IFERROR(INDEX(Personnel[[Sinav ]],$K787),"")</f>
        <v/>
      </c>
      <c r="G787" s="17" t="str">
        <f>IFERROR(INDEX(Personnel[Egtim durumu],$K787),"")</f>
        <v/>
      </c>
      <c r="H787" s="17" t="str">
        <f>IFERROR(INDEX(Personnel[Shohruh Not],$K787),"")</f>
        <v/>
      </c>
      <c r="I787" s="18" t="str">
        <f>IFERROR(INDEX(Personnel[Дней в РФ],$K787),"")</f>
        <v/>
      </c>
      <c r="K787" s="23" t="str">
        <f t="array" ref="K787">IFERROR(_xlfn.AGGREGATE(15,6,(ROW(Personnel[Egtim durumu])-MIN(ROW(Personnel[Egtim durumu]))+1)/((Personnel[Egtim durumu]="Dil egitimi tamamlandi sinavdan gecti")),ROWS($K$7:K787)),"")</f>
        <v/>
      </c>
    </row>
    <row r="788" spans="1:11" x14ac:dyDescent="0.25">
      <c r="A788" s="40" t="str">
        <f>IFERROR(INDEX(Personnel[Sicil],$K788),"")</f>
        <v/>
      </c>
      <c r="B788" s="41" t="str">
        <f>IFERROR(INDEX(Personnel[Adi Soyadi],$K788),"")</f>
        <v/>
      </c>
      <c r="C788" s="40" t="str">
        <f>IFERROR(INDEX(Personnel[Vatandaslik],$K788),"")</f>
        <v/>
      </c>
      <c r="D788" s="40" t="str">
        <f>IFERROR(INDEX(Personnel[Santiye],$K788),"")</f>
        <v/>
      </c>
      <c r="E788" s="40" t="str">
        <f>IFERROR(INDEX(Personnel[Ogretmen],$K788),"")</f>
        <v/>
      </c>
      <c r="F788" s="41" t="str">
        <f>IFERROR(INDEX(Personnel[[Sinav ]],$K788),"")</f>
        <v/>
      </c>
      <c r="G788" s="41" t="str">
        <f>IFERROR(INDEX(Personnel[Egtim durumu],$K788),"")</f>
        <v/>
      </c>
      <c r="H788" s="41" t="str">
        <f>IFERROR(INDEX(Personnel[Shohruh Not],$K788),"")</f>
        <v/>
      </c>
      <c r="I788" s="40" t="str">
        <f>IFERROR(INDEX(Personnel[Дней в РФ],$K788),"")</f>
        <v/>
      </c>
      <c r="K788" s="23" t="str">
        <f t="array" ref="K788">IFERROR(_xlfn.AGGREGATE(15,6,(ROW(Personnel[Egtim durumu])-MIN(ROW(Personnel[Egtim durumu]))+1)/((Personnel[Egtim durumu]="Dil egitimi tamamlandi sinavdan gecti")),ROWS($K$7:K788)),"")</f>
        <v/>
      </c>
    </row>
    <row r="789" spans="1:11" x14ac:dyDescent="0.25">
      <c r="A789" s="18" t="str">
        <f>IFERROR(INDEX(Personnel[Sicil],$K789),"")</f>
        <v/>
      </c>
      <c r="B789" s="17" t="str">
        <f>IFERROR(INDEX(Personnel[Adi Soyadi],$K789),"")</f>
        <v/>
      </c>
      <c r="C789" s="18" t="str">
        <f>IFERROR(INDEX(Personnel[Vatandaslik],$K789),"")</f>
        <v/>
      </c>
      <c r="D789" s="18" t="str">
        <f>IFERROR(INDEX(Personnel[Santiye],$K789),"")</f>
        <v/>
      </c>
      <c r="E789" s="18" t="str">
        <f>IFERROR(INDEX(Personnel[Ogretmen],$K789),"")</f>
        <v/>
      </c>
      <c r="F789" s="17" t="str">
        <f>IFERROR(INDEX(Personnel[[Sinav ]],$K789),"")</f>
        <v/>
      </c>
      <c r="G789" s="17" t="str">
        <f>IFERROR(INDEX(Personnel[Egtim durumu],$K789),"")</f>
        <v/>
      </c>
      <c r="H789" s="17" t="str">
        <f>IFERROR(INDEX(Personnel[Shohruh Not],$K789),"")</f>
        <v/>
      </c>
      <c r="I789" s="18" t="str">
        <f>IFERROR(INDEX(Personnel[Дней в РФ],$K789),"")</f>
        <v/>
      </c>
      <c r="K789" s="23" t="str">
        <f t="array" ref="K789">IFERROR(_xlfn.AGGREGATE(15,6,(ROW(Personnel[Egtim durumu])-MIN(ROW(Personnel[Egtim durumu]))+1)/((Personnel[Egtim durumu]="Dil egitimi tamamlandi sinavdan gecti")),ROWS($K$7:K789)),"")</f>
        <v/>
      </c>
    </row>
    <row r="790" spans="1:11" x14ac:dyDescent="0.25">
      <c r="A790" s="40" t="str">
        <f>IFERROR(INDEX(Personnel[Sicil],$K790),"")</f>
        <v/>
      </c>
      <c r="B790" s="41" t="str">
        <f>IFERROR(INDEX(Personnel[Adi Soyadi],$K790),"")</f>
        <v/>
      </c>
      <c r="C790" s="40" t="str">
        <f>IFERROR(INDEX(Personnel[Vatandaslik],$K790),"")</f>
        <v/>
      </c>
      <c r="D790" s="40" t="str">
        <f>IFERROR(INDEX(Personnel[Santiye],$K790),"")</f>
        <v/>
      </c>
      <c r="E790" s="40" t="str">
        <f>IFERROR(INDEX(Personnel[Ogretmen],$K790),"")</f>
        <v/>
      </c>
      <c r="F790" s="41" t="str">
        <f>IFERROR(INDEX(Personnel[[Sinav ]],$K790),"")</f>
        <v/>
      </c>
      <c r="G790" s="41" t="str">
        <f>IFERROR(INDEX(Personnel[Egtim durumu],$K790),"")</f>
        <v/>
      </c>
      <c r="H790" s="41" t="str">
        <f>IFERROR(INDEX(Personnel[Shohruh Not],$K790),"")</f>
        <v/>
      </c>
      <c r="I790" s="40" t="str">
        <f>IFERROR(INDEX(Personnel[Дней в РФ],$K790),"")</f>
        <v/>
      </c>
      <c r="K790" s="23" t="str">
        <f t="array" ref="K790">IFERROR(_xlfn.AGGREGATE(15,6,(ROW(Personnel[Egtim durumu])-MIN(ROW(Personnel[Egtim durumu]))+1)/((Personnel[Egtim durumu]="Dil egitimi tamamlandi sinavdan gecti")),ROWS($K$7:K790)),"")</f>
        <v/>
      </c>
    </row>
    <row r="791" spans="1:11" x14ac:dyDescent="0.25">
      <c r="A791" s="18" t="str">
        <f>IFERROR(INDEX(Personnel[Sicil],$K791),"")</f>
        <v/>
      </c>
      <c r="B791" s="17" t="str">
        <f>IFERROR(INDEX(Personnel[Adi Soyadi],$K791),"")</f>
        <v/>
      </c>
      <c r="C791" s="18" t="str">
        <f>IFERROR(INDEX(Personnel[Vatandaslik],$K791),"")</f>
        <v/>
      </c>
      <c r="D791" s="18" t="str">
        <f>IFERROR(INDEX(Personnel[Santiye],$K791),"")</f>
        <v/>
      </c>
      <c r="E791" s="18" t="str">
        <f>IFERROR(INDEX(Personnel[Ogretmen],$K791),"")</f>
        <v/>
      </c>
      <c r="F791" s="17" t="str">
        <f>IFERROR(INDEX(Personnel[[Sinav ]],$K791),"")</f>
        <v/>
      </c>
      <c r="G791" s="17" t="str">
        <f>IFERROR(INDEX(Personnel[Egtim durumu],$K791),"")</f>
        <v/>
      </c>
      <c r="H791" s="17" t="str">
        <f>IFERROR(INDEX(Personnel[Shohruh Not],$K791),"")</f>
        <v/>
      </c>
      <c r="I791" s="18" t="str">
        <f>IFERROR(INDEX(Personnel[Дней в РФ],$K791),"")</f>
        <v/>
      </c>
      <c r="K791" s="23" t="str">
        <f t="array" ref="K791">IFERROR(_xlfn.AGGREGATE(15,6,(ROW(Personnel[Egtim durumu])-MIN(ROW(Personnel[Egtim durumu]))+1)/((Personnel[Egtim durumu]="Dil egitimi tamamlandi sinavdan gecti")),ROWS($K$7:K791)),"")</f>
        <v/>
      </c>
    </row>
    <row r="792" spans="1:11" x14ac:dyDescent="0.25">
      <c r="A792" s="40" t="str">
        <f>IFERROR(INDEX(Personnel[Sicil],$K792),"")</f>
        <v/>
      </c>
      <c r="B792" s="41" t="str">
        <f>IFERROR(INDEX(Personnel[Adi Soyadi],$K792),"")</f>
        <v/>
      </c>
      <c r="C792" s="40" t="str">
        <f>IFERROR(INDEX(Personnel[Vatandaslik],$K792),"")</f>
        <v/>
      </c>
      <c r="D792" s="40" t="str">
        <f>IFERROR(INDEX(Personnel[Santiye],$K792),"")</f>
        <v/>
      </c>
      <c r="E792" s="40" t="str">
        <f>IFERROR(INDEX(Personnel[Ogretmen],$K792),"")</f>
        <v/>
      </c>
      <c r="F792" s="41" t="str">
        <f>IFERROR(INDEX(Personnel[[Sinav ]],$K792),"")</f>
        <v/>
      </c>
      <c r="G792" s="41" t="str">
        <f>IFERROR(INDEX(Personnel[Egtim durumu],$K792),"")</f>
        <v/>
      </c>
      <c r="H792" s="41" t="str">
        <f>IFERROR(INDEX(Personnel[Shohruh Not],$K792),"")</f>
        <v/>
      </c>
      <c r="I792" s="40" t="str">
        <f>IFERROR(INDEX(Personnel[Дней в РФ],$K792),"")</f>
        <v/>
      </c>
      <c r="K792" s="23" t="str">
        <f t="array" ref="K792">IFERROR(_xlfn.AGGREGATE(15,6,(ROW(Personnel[Egtim durumu])-MIN(ROW(Personnel[Egtim durumu]))+1)/((Personnel[Egtim durumu]="Dil egitimi tamamlandi sinavdan gecti")),ROWS($K$7:K792)),"")</f>
        <v/>
      </c>
    </row>
    <row r="793" spans="1:11" x14ac:dyDescent="0.25">
      <c r="A793" s="18" t="str">
        <f>IFERROR(INDEX(Personnel[Sicil],$K793),"")</f>
        <v/>
      </c>
      <c r="B793" s="17" t="str">
        <f>IFERROR(INDEX(Personnel[Adi Soyadi],$K793),"")</f>
        <v/>
      </c>
      <c r="C793" s="18" t="str">
        <f>IFERROR(INDEX(Personnel[Vatandaslik],$K793),"")</f>
        <v/>
      </c>
      <c r="D793" s="18" t="str">
        <f>IFERROR(INDEX(Personnel[Santiye],$K793),"")</f>
        <v/>
      </c>
      <c r="E793" s="18" t="str">
        <f>IFERROR(INDEX(Personnel[Ogretmen],$K793),"")</f>
        <v/>
      </c>
      <c r="F793" s="17" t="str">
        <f>IFERROR(INDEX(Personnel[[Sinav ]],$K793),"")</f>
        <v/>
      </c>
      <c r="G793" s="17" t="str">
        <f>IFERROR(INDEX(Personnel[Egtim durumu],$K793),"")</f>
        <v/>
      </c>
      <c r="H793" s="17" t="str">
        <f>IFERROR(INDEX(Personnel[Shohruh Not],$K793),"")</f>
        <v/>
      </c>
      <c r="I793" s="18" t="str">
        <f>IFERROR(INDEX(Personnel[Дней в РФ],$K793),"")</f>
        <v/>
      </c>
      <c r="K793" s="23" t="str">
        <f t="array" ref="K793">IFERROR(_xlfn.AGGREGATE(15,6,(ROW(Personnel[Egtim durumu])-MIN(ROW(Personnel[Egtim durumu]))+1)/((Personnel[Egtim durumu]="Dil egitimi tamamlandi sinavdan gecti")),ROWS($K$7:K793)),"")</f>
        <v/>
      </c>
    </row>
    <row r="794" spans="1:11" x14ac:dyDescent="0.25">
      <c r="A794" s="40" t="str">
        <f>IFERROR(INDEX(Personnel[Sicil],$K794),"")</f>
        <v/>
      </c>
      <c r="B794" s="41" t="str">
        <f>IFERROR(INDEX(Personnel[Adi Soyadi],$K794),"")</f>
        <v/>
      </c>
      <c r="C794" s="40" t="str">
        <f>IFERROR(INDEX(Personnel[Vatandaslik],$K794),"")</f>
        <v/>
      </c>
      <c r="D794" s="40" t="str">
        <f>IFERROR(INDEX(Personnel[Santiye],$K794),"")</f>
        <v/>
      </c>
      <c r="E794" s="40" t="str">
        <f>IFERROR(INDEX(Personnel[Ogretmen],$K794),"")</f>
        <v/>
      </c>
      <c r="F794" s="41" t="str">
        <f>IFERROR(INDEX(Personnel[[Sinav ]],$K794),"")</f>
        <v/>
      </c>
      <c r="G794" s="41" t="str">
        <f>IFERROR(INDEX(Personnel[Egtim durumu],$K794),"")</f>
        <v/>
      </c>
      <c r="H794" s="41" t="str">
        <f>IFERROR(INDEX(Personnel[Shohruh Not],$K794),"")</f>
        <v/>
      </c>
      <c r="I794" s="40" t="str">
        <f>IFERROR(INDEX(Personnel[Дней в РФ],$K794),"")</f>
        <v/>
      </c>
      <c r="K794" s="23" t="str">
        <f t="array" ref="K794">IFERROR(_xlfn.AGGREGATE(15,6,(ROW(Personnel[Egtim durumu])-MIN(ROW(Personnel[Egtim durumu]))+1)/((Personnel[Egtim durumu]="Dil egitimi tamamlandi sinavdan gecti")),ROWS($K$7:K794)),"")</f>
        <v/>
      </c>
    </row>
    <row r="795" spans="1:11" x14ac:dyDescent="0.25">
      <c r="A795" s="18" t="str">
        <f>IFERROR(INDEX(Personnel[Sicil],$K795),"")</f>
        <v/>
      </c>
      <c r="B795" s="17" t="str">
        <f>IFERROR(INDEX(Personnel[Adi Soyadi],$K795),"")</f>
        <v/>
      </c>
      <c r="C795" s="18" t="str">
        <f>IFERROR(INDEX(Personnel[Vatandaslik],$K795),"")</f>
        <v/>
      </c>
      <c r="D795" s="18" t="str">
        <f>IFERROR(INDEX(Personnel[Santiye],$K795),"")</f>
        <v/>
      </c>
      <c r="E795" s="18" t="str">
        <f>IFERROR(INDEX(Personnel[Ogretmen],$K795),"")</f>
        <v/>
      </c>
      <c r="F795" s="17" t="str">
        <f>IFERROR(INDEX(Personnel[[Sinav ]],$K795),"")</f>
        <v/>
      </c>
      <c r="G795" s="17" t="str">
        <f>IFERROR(INDEX(Personnel[Egtim durumu],$K795),"")</f>
        <v/>
      </c>
      <c r="H795" s="17" t="str">
        <f>IFERROR(INDEX(Personnel[Shohruh Not],$K795),"")</f>
        <v/>
      </c>
      <c r="I795" s="18" t="str">
        <f>IFERROR(INDEX(Personnel[Дней в РФ],$K795),"")</f>
        <v/>
      </c>
      <c r="K795" s="23" t="str">
        <f t="array" ref="K795">IFERROR(_xlfn.AGGREGATE(15,6,(ROW(Personnel[Egtim durumu])-MIN(ROW(Personnel[Egtim durumu]))+1)/((Personnel[Egtim durumu]="Dil egitimi tamamlandi sinavdan gecti")),ROWS($K$7:K795)),"")</f>
        <v/>
      </c>
    </row>
    <row r="796" spans="1:11" x14ac:dyDescent="0.25">
      <c r="A796" s="40" t="str">
        <f>IFERROR(INDEX(Personnel[Sicil],$K796),"")</f>
        <v/>
      </c>
      <c r="B796" s="41" t="str">
        <f>IFERROR(INDEX(Personnel[Adi Soyadi],$K796),"")</f>
        <v/>
      </c>
      <c r="C796" s="40" t="str">
        <f>IFERROR(INDEX(Personnel[Vatandaslik],$K796),"")</f>
        <v/>
      </c>
      <c r="D796" s="40" t="str">
        <f>IFERROR(INDEX(Personnel[Santiye],$K796),"")</f>
        <v/>
      </c>
      <c r="E796" s="40" t="str">
        <f>IFERROR(INDEX(Personnel[Ogretmen],$K796),"")</f>
        <v/>
      </c>
      <c r="F796" s="41" t="str">
        <f>IFERROR(INDEX(Personnel[[Sinav ]],$K796),"")</f>
        <v/>
      </c>
      <c r="G796" s="41" t="str">
        <f>IFERROR(INDEX(Personnel[Egtim durumu],$K796),"")</f>
        <v/>
      </c>
      <c r="H796" s="41" t="str">
        <f>IFERROR(INDEX(Personnel[Shohruh Not],$K796),"")</f>
        <v/>
      </c>
      <c r="I796" s="40" t="str">
        <f>IFERROR(INDEX(Personnel[Дней в РФ],$K796),"")</f>
        <v/>
      </c>
      <c r="K796" s="23" t="str">
        <f t="array" ref="K796">IFERROR(_xlfn.AGGREGATE(15,6,(ROW(Personnel[Egtim durumu])-MIN(ROW(Personnel[Egtim durumu]))+1)/((Personnel[Egtim durumu]="Dil egitimi tamamlandi sinavdan gecti")),ROWS($K$7:K796)),"")</f>
        <v/>
      </c>
    </row>
    <row r="797" spans="1:11" x14ac:dyDescent="0.25">
      <c r="A797" s="18" t="str">
        <f>IFERROR(INDEX(Personnel[Sicil],$K797),"")</f>
        <v/>
      </c>
      <c r="B797" s="17" t="str">
        <f>IFERROR(INDEX(Personnel[Adi Soyadi],$K797),"")</f>
        <v/>
      </c>
      <c r="C797" s="18" t="str">
        <f>IFERROR(INDEX(Personnel[Vatandaslik],$K797),"")</f>
        <v/>
      </c>
      <c r="D797" s="18" t="str">
        <f>IFERROR(INDEX(Personnel[Santiye],$K797),"")</f>
        <v/>
      </c>
      <c r="E797" s="18" t="str">
        <f>IFERROR(INDEX(Personnel[Ogretmen],$K797),"")</f>
        <v/>
      </c>
      <c r="F797" s="17" t="str">
        <f>IFERROR(INDEX(Personnel[[Sinav ]],$K797),"")</f>
        <v/>
      </c>
      <c r="G797" s="17" t="str">
        <f>IFERROR(INDEX(Personnel[Egtim durumu],$K797),"")</f>
        <v/>
      </c>
      <c r="H797" s="17" t="str">
        <f>IFERROR(INDEX(Personnel[Shohruh Not],$K797),"")</f>
        <v/>
      </c>
      <c r="I797" s="18" t="str">
        <f>IFERROR(INDEX(Personnel[Дней в РФ],$K797),"")</f>
        <v/>
      </c>
      <c r="K797" s="23" t="str">
        <f t="array" ref="K797">IFERROR(_xlfn.AGGREGATE(15,6,(ROW(Personnel[Egtim durumu])-MIN(ROW(Personnel[Egtim durumu]))+1)/((Personnel[Egtim durumu]="Dil egitimi tamamlandi sinavdan gecti")),ROWS($K$7:K797)),"")</f>
        <v/>
      </c>
    </row>
    <row r="798" spans="1:11" x14ac:dyDescent="0.25">
      <c r="A798" s="40" t="str">
        <f>IFERROR(INDEX(Personnel[Sicil],$K798),"")</f>
        <v/>
      </c>
      <c r="B798" s="41" t="str">
        <f>IFERROR(INDEX(Personnel[Adi Soyadi],$K798),"")</f>
        <v/>
      </c>
      <c r="C798" s="40" t="str">
        <f>IFERROR(INDEX(Personnel[Vatandaslik],$K798),"")</f>
        <v/>
      </c>
      <c r="D798" s="40" t="str">
        <f>IFERROR(INDEX(Personnel[Santiye],$K798),"")</f>
        <v/>
      </c>
      <c r="E798" s="40" t="str">
        <f>IFERROR(INDEX(Personnel[Ogretmen],$K798),"")</f>
        <v/>
      </c>
      <c r="F798" s="41" t="str">
        <f>IFERROR(INDEX(Personnel[[Sinav ]],$K798),"")</f>
        <v/>
      </c>
      <c r="G798" s="41" t="str">
        <f>IFERROR(INDEX(Personnel[Egtim durumu],$K798),"")</f>
        <v/>
      </c>
      <c r="H798" s="41" t="str">
        <f>IFERROR(INDEX(Personnel[Shohruh Not],$K798),"")</f>
        <v/>
      </c>
      <c r="I798" s="40" t="str">
        <f>IFERROR(INDEX(Personnel[Дней в РФ],$K798),"")</f>
        <v/>
      </c>
      <c r="K798" s="23" t="str">
        <f t="array" ref="K798">IFERROR(_xlfn.AGGREGATE(15,6,(ROW(Personnel[Egtim durumu])-MIN(ROW(Personnel[Egtim durumu]))+1)/((Personnel[Egtim durumu]="Dil egitimi tamamlandi sinavdan gecti")),ROWS($K$7:K798)),"")</f>
        <v/>
      </c>
    </row>
    <row r="799" spans="1:11" x14ac:dyDescent="0.25">
      <c r="A799" s="18" t="str">
        <f>IFERROR(INDEX(Personnel[Sicil],$K799),"")</f>
        <v/>
      </c>
      <c r="B799" s="17" t="str">
        <f>IFERROR(INDEX(Personnel[Adi Soyadi],$K799),"")</f>
        <v/>
      </c>
      <c r="C799" s="18" t="str">
        <f>IFERROR(INDEX(Personnel[Vatandaslik],$K799),"")</f>
        <v/>
      </c>
      <c r="D799" s="18" t="str">
        <f>IFERROR(INDEX(Personnel[Santiye],$K799),"")</f>
        <v/>
      </c>
      <c r="E799" s="18" t="str">
        <f>IFERROR(INDEX(Personnel[Ogretmen],$K799),"")</f>
        <v/>
      </c>
      <c r="F799" s="17" t="str">
        <f>IFERROR(INDEX(Personnel[[Sinav ]],$K799),"")</f>
        <v/>
      </c>
      <c r="G799" s="17" t="str">
        <f>IFERROR(INDEX(Personnel[Egtim durumu],$K799),"")</f>
        <v/>
      </c>
      <c r="H799" s="17" t="str">
        <f>IFERROR(INDEX(Personnel[Shohruh Not],$K799),"")</f>
        <v/>
      </c>
      <c r="I799" s="18" t="str">
        <f>IFERROR(INDEX(Personnel[Дней в РФ],$K799),"")</f>
        <v/>
      </c>
      <c r="K799" s="23" t="str">
        <f t="array" ref="K799">IFERROR(_xlfn.AGGREGATE(15,6,(ROW(Personnel[Egtim durumu])-MIN(ROW(Personnel[Egtim durumu]))+1)/((Personnel[Egtim durumu]="Dil egitimi tamamlandi sinavdan gecti")),ROWS($K$7:K799)),"")</f>
        <v/>
      </c>
    </row>
    <row r="800" spans="1:11" x14ac:dyDescent="0.25">
      <c r="A800" s="40" t="str">
        <f>IFERROR(INDEX(Personnel[Sicil],$K800),"")</f>
        <v/>
      </c>
      <c r="B800" s="41" t="str">
        <f>IFERROR(INDEX(Personnel[Adi Soyadi],$K800),"")</f>
        <v/>
      </c>
      <c r="C800" s="40" t="str">
        <f>IFERROR(INDEX(Personnel[Vatandaslik],$K800),"")</f>
        <v/>
      </c>
      <c r="D800" s="40" t="str">
        <f>IFERROR(INDEX(Personnel[Santiye],$K800),"")</f>
        <v/>
      </c>
      <c r="E800" s="40" t="str">
        <f>IFERROR(INDEX(Personnel[Ogretmen],$K800),"")</f>
        <v/>
      </c>
      <c r="F800" s="41" t="str">
        <f>IFERROR(INDEX(Personnel[[Sinav ]],$K800),"")</f>
        <v/>
      </c>
      <c r="G800" s="41" t="str">
        <f>IFERROR(INDEX(Personnel[Egtim durumu],$K800),"")</f>
        <v/>
      </c>
      <c r="H800" s="41" t="str">
        <f>IFERROR(INDEX(Personnel[Shohruh Not],$K800),"")</f>
        <v/>
      </c>
      <c r="I800" s="40" t="str">
        <f>IFERROR(INDEX(Personnel[Дней в РФ],$K800),"")</f>
        <v/>
      </c>
      <c r="K800" s="23" t="str">
        <f t="array" ref="K800">IFERROR(_xlfn.AGGREGATE(15,6,(ROW(Personnel[Egtim durumu])-MIN(ROW(Personnel[Egtim durumu]))+1)/((Personnel[Egtim durumu]="Dil egitimi tamamlandi sinavdan gecti")),ROWS($K$7:K800)),"")</f>
        <v/>
      </c>
    </row>
    <row r="801" spans="1:11" x14ac:dyDescent="0.25">
      <c r="A801" s="18" t="str">
        <f>IFERROR(INDEX(Personnel[Sicil],$K801),"")</f>
        <v/>
      </c>
      <c r="B801" s="17" t="str">
        <f>IFERROR(INDEX(Personnel[Adi Soyadi],$K801),"")</f>
        <v/>
      </c>
      <c r="C801" s="18" t="str">
        <f>IFERROR(INDEX(Personnel[Vatandaslik],$K801),"")</f>
        <v/>
      </c>
      <c r="D801" s="18" t="str">
        <f>IFERROR(INDEX(Personnel[Santiye],$K801),"")</f>
        <v/>
      </c>
      <c r="E801" s="18" t="str">
        <f>IFERROR(INDEX(Personnel[Ogretmen],$K801),"")</f>
        <v/>
      </c>
      <c r="F801" s="17" t="str">
        <f>IFERROR(INDEX(Personnel[[Sinav ]],$K801),"")</f>
        <v/>
      </c>
      <c r="G801" s="17" t="str">
        <f>IFERROR(INDEX(Personnel[Egtim durumu],$K801),"")</f>
        <v/>
      </c>
      <c r="H801" s="17" t="str">
        <f>IFERROR(INDEX(Personnel[Shohruh Not],$K801),"")</f>
        <v/>
      </c>
      <c r="I801" s="18" t="str">
        <f>IFERROR(INDEX(Personnel[Дней в РФ],$K801),"")</f>
        <v/>
      </c>
      <c r="K801" s="23" t="str">
        <f t="array" ref="K801">IFERROR(_xlfn.AGGREGATE(15,6,(ROW(Personnel[Egtim durumu])-MIN(ROW(Personnel[Egtim durumu]))+1)/((Personnel[Egtim durumu]="Dil egitimi tamamlandi sinavdan gecti")),ROWS($K$7:K801)),"")</f>
        <v/>
      </c>
    </row>
    <row r="802" spans="1:11" x14ac:dyDescent="0.25">
      <c r="A802" s="40" t="str">
        <f>IFERROR(INDEX(Personnel[Sicil],$K802),"")</f>
        <v/>
      </c>
      <c r="B802" s="41" t="str">
        <f>IFERROR(INDEX(Personnel[Adi Soyadi],$K802),"")</f>
        <v/>
      </c>
      <c r="C802" s="40" t="str">
        <f>IFERROR(INDEX(Personnel[Vatandaslik],$K802),"")</f>
        <v/>
      </c>
      <c r="D802" s="40" t="str">
        <f>IFERROR(INDEX(Personnel[Santiye],$K802),"")</f>
        <v/>
      </c>
      <c r="E802" s="40" t="str">
        <f>IFERROR(INDEX(Personnel[Ogretmen],$K802),"")</f>
        <v/>
      </c>
      <c r="F802" s="41" t="str">
        <f>IFERROR(INDEX(Personnel[[Sinav ]],$K802),"")</f>
        <v/>
      </c>
      <c r="G802" s="41" t="str">
        <f>IFERROR(INDEX(Personnel[Egtim durumu],$K802),"")</f>
        <v/>
      </c>
      <c r="H802" s="41" t="str">
        <f>IFERROR(INDEX(Personnel[Shohruh Not],$K802),"")</f>
        <v/>
      </c>
      <c r="I802" s="40" t="str">
        <f>IFERROR(INDEX(Personnel[Дней в РФ],$K802),"")</f>
        <v/>
      </c>
      <c r="K802" s="23" t="str">
        <f t="array" ref="K802">IFERROR(_xlfn.AGGREGATE(15,6,(ROW(Personnel[Egtim durumu])-MIN(ROW(Personnel[Egtim durumu]))+1)/((Personnel[Egtim durumu]="Dil egitimi tamamlandi sinavdan gecti")),ROWS($K$7:K802)),"")</f>
        <v/>
      </c>
    </row>
    <row r="803" spans="1:11" x14ac:dyDescent="0.25">
      <c r="A803" s="18" t="str">
        <f>IFERROR(INDEX(Personnel[Sicil],$K803),"")</f>
        <v/>
      </c>
      <c r="B803" s="17" t="str">
        <f>IFERROR(INDEX(Personnel[Adi Soyadi],$K803),"")</f>
        <v/>
      </c>
      <c r="C803" s="18" t="str">
        <f>IFERROR(INDEX(Personnel[Vatandaslik],$K803),"")</f>
        <v/>
      </c>
      <c r="D803" s="18" t="str">
        <f>IFERROR(INDEX(Personnel[Santiye],$K803),"")</f>
        <v/>
      </c>
      <c r="E803" s="18" t="str">
        <f>IFERROR(INDEX(Personnel[Ogretmen],$K803),"")</f>
        <v/>
      </c>
      <c r="F803" s="17" t="str">
        <f>IFERROR(INDEX(Personnel[[Sinav ]],$K803),"")</f>
        <v/>
      </c>
      <c r="G803" s="17" t="str">
        <f>IFERROR(INDEX(Personnel[Egtim durumu],$K803),"")</f>
        <v/>
      </c>
      <c r="H803" s="17" t="str">
        <f>IFERROR(INDEX(Personnel[Shohruh Not],$K803),"")</f>
        <v/>
      </c>
      <c r="I803" s="18" t="str">
        <f>IFERROR(INDEX(Personnel[Дней в РФ],$K803),"")</f>
        <v/>
      </c>
      <c r="K803" s="23" t="str">
        <f t="array" ref="K803">IFERROR(_xlfn.AGGREGATE(15,6,(ROW(Personnel[Egtim durumu])-MIN(ROW(Personnel[Egtim durumu]))+1)/((Personnel[Egtim durumu]="Dil egitimi tamamlandi sinavdan gecti")),ROWS($K$7:K803)),"")</f>
        <v/>
      </c>
    </row>
    <row r="804" spans="1:11" x14ac:dyDescent="0.25">
      <c r="A804" s="40" t="str">
        <f>IFERROR(INDEX(Personnel[Sicil],$K804),"")</f>
        <v/>
      </c>
      <c r="B804" s="41" t="str">
        <f>IFERROR(INDEX(Personnel[Adi Soyadi],$K804),"")</f>
        <v/>
      </c>
      <c r="C804" s="40" t="str">
        <f>IFERROR(INDEX(Personnel[Vatandaslik],$K804),"")</f>
        <v/>
      </c>
      <c r="D804" s="40" t="str">
        <f>IFERROR(INDEX(Personnel[Santiye],$K804),"")</f>
        <v/>
      </c>
      <c r="E804" s="40" t="str">
        <f>IFERROR(INDEX(Personnel[Ogretmen],$K804),"")</f>
        <v/>
      </c>
      <c r="F804" s="41" t="str">
        <f>IFERROR(INDEX(Personnel[[Sinav ]],$K804),"")</f>
        <v/>
      </c>
      <c r="G804" s="41" t="str">
        <f>IFERROR(INDEX(Personnel[Egtim durumu],$K804),"")</f>
        <v/>
      </c>
      <c r="H804" s="41" t="str">
        <f>IFERROR(INDEX(Personnel[Shohruh Not],$K804),"")</f>
        <v/>
      </c>
      <c r="I804" s="40" t="str">
        <f>IFERROR(INDEX(Personnel[Дней в РФ],$K804),"")</f>
        <v/>
      </c>
      <c r="K804" s="23" t="str">
        <f t="array" ref="K804">IFERROR(_xlfn.AGGREGATE(15,6,(ROW(Personnel[Egtim durumu])-MIN(ROW(Personnel[Egtim durumu]))+1)/((Personnel[Egtim durumu]="Dil egitimi tamamlandi sinavdan gecti")),ROWS($K$7:K804)),"")</f>
        <v/>
      </c>
    </row>
    <row r="805" spans="1:11" x14ac:dyDescent="0.25">
      <c r="A805" s="18" t="str">
        <f>IFERROR(INDEX(Personnel[Sicil],$K805),"")</f>
        <v/>
      </c>
      <c r="B805" s="17" t="str">
        <f>IFERROR(INDEX(Personnel[Adi Soyadi],$K805),"")</f>
        <v/>
      </c>
      <c r="C805" s="18" t="str">
        <f>IFERROR(INDEX(Personnel[Vatandaslik],$K805),"")</f>
        <v/>
      </c>
      <c r="D805" s="18" t="str">
        <f>IFERROR(INDEX(Personnel[Santiye],$K805),"")</f>
        <v/>
      </c>
      <c r="E805" s="18" t="str">
        <f>IFERROR(INDEX(Personnel[Ogretmen],$K805),"")</f>
        <v/>
      </c>
      <c r="F805" s="17" t="str">
        <f>IFERROR(INDEX(Personnel[[Sinav ]],$K805),"")</f>
        <v/>
      </c>
      <c r="G805" s="17" t="str">
        <f>IFERROR(INDEX(Personnel[Egtim durumu],$K805),"")</f>
        <v/>
      </c>
      <c r="H805" s="17" t="str">
        <f>IFERROR(INDEX(Personnel[Shohruh Not],$K805),"")</f>
        <v/>
      </c>
      <c r="I805" s="18" t="str">
        <f>IFERROR(INDEX(Personnel[Дней в РФ],$K805),"")</f>
        <v/>
      </c>
      <c r="K805" s="23" t="str">
        <f t="array" ref="K805">IFERROR(_xlfn.AGGREGATE(15,6,(ROW(Personnel[Egtim durumu])-MIN(ROW(Personnel[Egtim durumu]))+1)/((Personnel[Egtim durumu]="Dil egitimi tamamlandi sinavdan gecti")),ROWS($K$7:K805)),"")</f>
        <v/>
      </c>
    </row>
    <row r="806" spans="1:11" x14ac:dyDescent="0.25">
      <c r="A806" s="40" t="str">
        <f>IFERROR(INDEX(Personnel[Sicil],$K806),"")</f>
        <v/>
      </c>
      <c r="B806" s="41" t="str">
        <f>IFERROR(INDEX(Personnel[Adi Soyadi],$K806),"")</f>
        <v/>
      </c>
      <c r="C806" s="40" t="str">
        <f>IFERROR(INDEX(Personnel[Vatandaslik],$K806),"")</f>
        <v/>
      </c>
      <c r="D806" s="40" t="str">
        <f>IFERROR(INDEX(Personnel[Santiye],$K806),"")</f>
        <v/>
      </c>
      <c r="E806" s="40" t="str">
        <f>IFERROR(INDEX(Personnel[Ogretmen],$K806),"")</f>
        <v/>
      </c>
      <c r="F806" s="41" t="str">
        <f>IFERROR(INDEX(Personnel[[Sinav ]],$K806),"")</f>
        <v/>
      </c>
      <c r="G806" s="41" t="str">
        <f>IFERROR(INDEX(Personnel[Egtim durumu],$K806),"")</f>
        <v/>
      </c>
      <c r="H806" s="41" t="str">
        <f>IFERROR(INDEX(Personnel[Shohruh Not],$K806),"")</f>
        <v/>
      </c>
      <c r="I806" s="40" t="str">
        <f>IFERROR(INDEX(Personnel[Дней в РФ],$K806),"")</f>
        <v/>
      </c>
      <c r="K806" s="23" t="str">
        <f t="array" ref="K806">IFERROR(_xlfn.AGGREGATE(15,6,(ROW(Personnel[Egtim durumu])-MIN(ROW(Personnel[Egtim durumu]))+1)/((Personnel[Egtim durumu]="Dil egitimi tamamlandi sinavdan gecti")),ROWS($K$7:K806)),"")</f>
        <v/>
      </c>
    </row>
    <row r="807" spans="1:11" x14ac:dyDescent="0.25">
      <c r="A807" s="18" t="str">
        <f>IFERROR(INDEX(Personnel[Sicil],$K807),"")</f>
        <v/>
      </c>
      <c r="B807" s="17" t="str">
        <f>IFERROR(INDEX(Personnel[Adi Soyadi],$K807),"")</f>
        <v/>
      </c>
      <c r="C807" s="18" t="str">
        <f>IFERROR(INDEX(Personnel[Vatandaslik],$K807),"")</f>
        <v/>
      </c>
      <c r="D807" s="18" t="str">
        <f>IFERROR(INDEX(Personnel[Santiye],$K807),"")</f>
        <v/>
      </c>
      <c r="E807" s="18" t="str">
        <f>IFERROR(INDEX(Personnel[Ogretmen],$K807),"")</f>
        <v/>
      </c>
      <c r="F807" s="17" t="str">
        <f>IFERROR(INDEX(Personnel[[Sinav ]],$K807),"")</f>
        <v/>
      </c>
      <c r="G807" s="17" t="str">
        <f>IFERROR(INDEX(Personnel[Egtim durumu],$K807),"")</f>
        <v/>
      </c>
      <c r="H807" s="17" t="str">
        <f>IFERROR(INDEX(Personnel[Shohruh Not],$K807),"")</f>
        <v/>
      </c>
      <c r="I807" s="18" t="str">
        <f>IFERROR(INDEX(Personnel[Дней в РФ],$K807),"")</f>
        <v/>
      </c>
      <c r="K807" s="23" t="str">
        <f t="array" ref="K807">IFERROR(_xlfn.AGGREGATE(15,6,(ROW(Personnel[Egtim durumu])-MIN(ROW(Personnel[Egtim durumu]))+1)/((Personnel[Egtim durumu]="Dil egitimi tamamlandi sinavdan gecti")),ROWS($K$7:K807)),"")</f>
        <v/>
      </c>
    </row>
    <row r="808" spans="1:11" x14ac:dyDescent="0.25">
      <c r="A808" s="40" t="str">
        <f>IFERROR(INDEX(Personnel[Sicil],$K808),"")</f>
        <v/>
      </c>
      <c r="B808" s="41" t="str">
        <f>IFERROR(INDEX(Personnel[Adi Soyadi],$K808),"")</f>
        <v/>
      </c>
      <c r="C808" s="40" t="str">
        <f>IFERROR(INDEX(Personnel[Vatandaslik],$K808),"")</f>
        <v/>
      </c>
      <c r="D808" s="40" t="str">
        <f>IFERROR(INDEX(Personnel[Santiye],$K808),"")</f>
        <v/>
      </c>
      <c r="E808" s="40" t="str">
        <f>IFERROR(INDEX(Personnel[Ogretmen],$K808),"")</f>
        <v/>
      </c>
      <c r="F808" s="41" t="str">
        <f>IFERROR(INDEX(Personnel[[Sinav ]],$K808),"")</f>
        <v/>
      </c>
      <c r="G808" s="41" t="str">
        <f>IFERROR(INDEX(Personnel[Egtim durumu],$K808),"")</f>
        <v/>
      </c>
      <c r="H808" s="41" t="str">
        <f>IFERROR(INDEX(Personnel[Shohruh Not],$K808),"")</f>
        <v/>
      </c>
      <c r="I808" s="40" t="str">
        <f>IFERROR(INDEX(Personnel[Дней в РФ],$K808),"")</f>
        <v/>
      </c>
      <c r="K808" s="23" t="str">
        <f t="array" ref="K808">IFERROR(_xlfn.AGGREGATE(15,6,(ROW(Personnel[Egtim durumu])-MIN(ROW(Personnel[Egtim durumu]))+1)/((Personnel[Egtim durumu]="Dil egitimi tamamlandi sinavdan gecti")),ROWS($K$7:K808)),"")</f>
        <v/>
      </c>
    </row>
    <row r="809" spans="1:11" x14ac:dyDescent="0.25">
      <c r="A809" s="18" t="str">
        <f>IFERROR(INDEX(Personnel[Sicil],$K809),"")</f>
        <v/>
      </c>
      <c r="B809" s="17" t="str">
        <f>IFERROR(INDEX(Personnel[Adi Soyadi],$K809),"")</f>
        <v/>
      </c>
      <c r="C809" s="18" t="str">
        <f>IFERROR(INDEX(Personnel[Vatandaslik],$K809),"")</f>
        <v/>
      </c>
      <c r="D809" s="18" t="str">
        <f>IFERROR(INDEX(Personnel[Santiye],$K809),"")</f>
        <v/>
      </c>
      <c r="E809" s="18" t="str">
        <f>IFERROR(INDEX(Personnel[Ogretmen],$K809),"")</f>
        <v/>
      </c>
      <c r="F809" s="17" t="str">
        <f>IFERROR(INDEX(Personnel[[Sinav ]],$K809),"")</f>
        <v/>
      </c>
      <c r="G809" s="17" t="str">
        <f>IFERROR(INDEX(Personnel[Egtim durumu],$K809),"")</f>
        <v/>
      </c>
      <c r="H809" s="17" t="str">
        <f>IFERROR(INDEX(Personnel[Shohruh Not],$K809),"")</f>
        <v/>
      </c>
      <c r="I809" s="18" t="str">
        <f>IFERROR(INDEX(Personnel[Дней в РФ],$K809),"")</f>
        <v/>
      </c>
      <c r="K809" s="23" t="str">
        <f t="array" ref="K809">IFERROR(_xlfn.AGGREGATE(15,6,(ROW(Personnel[Egtim durumu])-MIN(ROW(Personnel[Egtim durumu]))+1)/((Personnel[Egtim durumu]="Dil egitimi tamamlandi sinavdan gecti")),ROWS($K$7:K809)),"")</f>
        <v/>
      </c>
    </row>
    <row r="810" spans="1:11" x14ac:dyDescent="0.25">
      <c r="A810" s="40" t="str">
        <f>IFERROR(INDEX(Personnel[Sicil],$K810),"")</f>
        <v/>
      </c>
      <c r="B810" s="41" t="str">
        <f>IFERROR(INDEX(Personnel[Adi Soyadi],$K810),"")</f>
        <v/>
      </c>
      <c r="C810" s="40" t="str">
        <f>IFERROR(INDEX(Personnel[Vatandaslik],$K810),"")</f>
        <v/>
      </c>
      <c r="D810" s="40" t="str">
        <f>IFERROR(INDEX(Personnel[Santiye],$K810),"")</f>
        <v/>
      </c>
      <c r="E810" s="40" t="str">
        <f>IFERROR(INDEX(Personnel[Ogretmen],$K810),"")</f>
        <v/>
      </c>
      <c r="F810" s="41" t="str">
        <f>IFERROR(INDEX(Personnel[[Sinav ]],$K810),"")</f>
        <v/>
      </c>
      <c r="G810" s="41" t="str">
        <f>IFERROR(INDEX(Personnel[Egtim durumu],$K810),"")</f>
        <v/>
      </c>
      <c r="H810" s="41" t="str">
        <f>IFERROR(INDEX(Personnel[Shohruh Not],$K810),"")</f>
        <v/>
      </c>
      <c r="I810" s="40" t="str">
        <f>IFERROR(INDEX(Personnel[Дней в РФ],$K810),"")</f>
        <v/>
      </c>
      <c r="K810" s="23" t="str">
        <f t="array" ref="K810">IFERROR(_xlfn.AGGREGATE(15,6,(ROW(Personnel[Egtim durumu])-MIN(ROW(Personnel[Egtim durumu]))+1)/((Personnel[Egtim durumu]="Dil egitimi tamamlandi sinavdan gecti")),ROWS($K$7:K810)),"")</f>
        <v/>
      </c>
    </row>
    <row r="811" spans="1:11" x14ac:dyDescent="0.25">
      <c r="A811" s="18" t="str">
        <f>IFERROR(INDEX(Personnel[Sicil],$K811),"")</f>
        <v/>
      </c>
      <c r="B811" s="17" t="str">
        <f>IFERROR(INDEX(Personnel[Adi Soyadi],$K811),"")</f>
        <v/>
      </c>
      <c r="C811" s="18" t="str">
        <f>IFERROR(INDEX(Personnel[Vatandaslik],$K811),"")</f>
        <v/>
      </c>
      <c r="D811" s="18" t="str">
        <f>IFERROR(INDEX(Personnel[Santiye],$K811),"")</f>
        <v/>
      </c>
      <c r="E811" s="18" t="str">
        <f>IFERROR(INDEX(Personnel[Ogretmen],$K811),"")</f>
        <v/>
      </c>
      <c r="F811" s="17" t="str">
        <f>IFERROR(INDEX(Personnel[[Sinav ]],$K811),"")</f>
        <v/>
      </c>
      <c r="G811" s="17" t="str">
        <f>IFERROR(INDEX(Personnel[Egtim durumu],$K811),"")</f>
        <v/>
      </c>
      <c r="H811" s="17" t="str">
        <f>IFERROR(INDEX(Personnel[Shohruh Not],$K811),"")</f>
        <v/>
      </c>
      <c r="I811" s="18" t="str">
        <f>IFERROR(INDEX(Personnel[Дней в РФ],$K811),"")</f>
        <v/>
      </c>
      <c r="K811" s="23" t="str">
        <f t="array" ref="K811">IFERROR(_xlfn.AGGREGATE(15,6,(ROW(Personnel[Egtim durumu])-MIN(ROW(Personnel[Egtim durumu]))+1)/((Personnel[Egtim durumu]="Dil egitimi tamamlandi sinavdan gecti")),ROWS($K$7:K811)),"")</f>
        <v/>
      </c>
    </row>
    <row r="812" spans="1:11" x14ac:dyDescent="0.25">
      <c r="A812" s="40" t="str">
        <f>IFERROR(INDEX(Personnel[Sicil],$K812),"")</f>
        <v/>
      </c>
      <c r="B812" s="41" t="str">
        <f>IFERROR(INDEX(Personnel[Adi Soyadi],$K812),"")</f>
        <v/>
      </c>
      <c r="C812" s="40" t="str">
        <f>IFERROR(INDEX(Personnel[Vatandaslik],$K812),"")</f>
        <v/>
      </c>
      <c r="D812" s="40" t="str">
        <f>IFERROR(INDEX(Personnel[Santiye],$K812),"")</f>
        <v/>
      </c>
      <c r="E812" s="40" t="str">
        <f>IFERROR(INDEX(Personnel[Ogretmen],$K812),"")</f>
        <v/>
      </c>
      <c r="F812" s="41" t="str">
        <f>IFERROR(INDEX(Personnel[[Sinav ]],$K812),"")</f>
        <v/>
      </c>
      <c r="G812" s="41" t="str">
        <f>IFERROR(INDEX(Personnel[Egtim durumu],$K812),"")</f>
        <v/>
      </c>
      <c r="H812" s="41" t="str">
        <f>IFERROR(INDEX(Personnel[Shohruh Not],$K812),"")</f>
        <v/>
      </c>
      <c r="I812" s="40" t="str">
        <f>IFERROR(INDEX(Personnel[Дней в РФ],$K812),"")</f>
        <v/>
      </c>
      <c r="K812" s="23" t="str">
        <f t="array" ref="K812">IFERROR(_xlfn.AGGREGATE(15,6,(ROW(Personnel[Egtim durumu])-MIN(ROW(Personnel[Egtim durumu]))+1)/((Personnel[Egtim durumu]="Dil egitimi tamamlandi sinavdan gecti")),ROWS($K$7:K812)),"")</f>
        <v/>
      </c>
    </row>
    <row r="813" spans="1:11" x14ac:dyDescent="0.25">
      <c r="A813" s="18" t="str">
        <f>IFERROR(INDEX(Personnel[Sicil],$K813),"")</f>
        <v/>
      </c>
      <c r="B813" s="17" t="str">
        <f>IFERROR(INDEX(Personnel[Adi Soyadi],$K813),"")</f>
        <v/>
      </c>
      <c r="C813" s="18" t="str">
        <f>IFERROR(INDEX(Personnel[Vatandaslik],$K813),"")</f>
        <v/>
      </c>
      <c r="D813" s="18" t="str">
        <f>IFERROR(INDEX(Personnel[Santiye],$K813),"")</f>
        <v/>
      </c>
      <c r="E813" s="18" t="str">
        <f>IFERROR(INDEX(Personnel[Ogretmen],$K813),"")</f>
        <v/>
      </c>
      <c r="F813" s="17" t="str">
        <f>IFERROR(INDEX(Personnel[[Sinav ]],$K813),"")</f>
        <v/>
      </c>
      <c r="G813" s="17" t="str">
        <f>IFERROR(INDEX(Personnel[Egtim durumu],$K813),"")</f>
        <v/>
      </c>
      <c r="H813" s="17" t="str">
        <f>IFERROR(INDEX(Personnel[Shohruh Not],$K813),"")</f>
        <v/>
      </c>
      <c r="I813" s="18" t="str">
        <f>IFERROR(INDEX(Personnel[Дней в РФ],$K813),"")</f>
        <v/>
      </c>
      <c r="K813" s="23" t="str">
        <f t="array" ref="K813">IFERROR(_xlfn.AGGREGATE(15,6,(ROW(Personnel[Egtim durumu])-MIN(ROW(Personnel[Egtim durumu]))+1)/((Personnel[Egtim durumu]="Dil egitimi tamamlandi sinavdan gecti")),ROWS($K$7:K813)),"")</f>
        <v/>
      </c>
    </row>
    <row r="814" spans="1:11" x14ac:dyDescent="0.25">
      <c r="A814" s="40" t="str">
        <f>IFERROR(INDEX(Personnel[Sicil],$K814),"")</f>
        <v/>
      </c>
      <c r="B814" s="41" t="str">
        <f>IFERROR(INDEX(Personnel[Adi Soyadi],$K814),"")</f>
        <v/>
      </c>
      <c r="C814" s="40" t="str">
        <f>IFERROR(INDEX(Personnel[Vatandaslik],$K814),"")</f>
        <v/>
      </c>
      <c r="D814" s="40" t="str">
        <f>IFERROR(INDEX(Personnel[Santiye],$K814),"")</f>
        <v/>
      </c>
      <c r="E814" s="40" t="str">
        <f>IFERROR(INDEX(Personnel[Ogretmen],$K814),"")</f>
        <v/>
      </c>
      <c r="F814" s="41" t="str">
        <f>IFERROR(INDEX(Personnel[[Sinav ]],$K814),"")</f>
        <v/>
      </c>
      <c r="G814" s="41" t="str">
        <f>IFERROR(INDEX(Personnel[Egtim durumu],$K814),"")</f>
        <v/>
      </c>
      <c r="H814" s="41" t="str">
        <f>IFERROR(INDEX(Personnel[Shohruh Not],$K814),"")</f>
        <v/>
      </c>
      <c r="I814" s="40" t="str">
        <f>IFERROR(INDEX(Personnel[Дней в РФ],$K814),"")</f>
        <v/>
      </c>
      <c r="K814" s="23" t="str">
        <f t="array" ref="K814">IFERROR(_xlfn.AGGREGATE(15,6,(ROW(Personnel[Egtim durumu])-MIN(ROW(Personnel[Egtim durumu]))+1)/((Personnel[Egtim durumu]="Dil egitimi tamamlandi sinavdan gecti")),ROWS($K$7:K814)),"")</f>
        <v/>
      </c>
    </row>
    <row r="815" spans="1:11" x14ac:dyDescent="0.25">
      <c r="A815" s="18" t="str">
        <f>IFERROR(INDEX(Personnel[Sicil],$K815),"")</f>
        <v/>
      </c>
      <c r="B815" s="17" t="str">
        <f>IFERROR(INDEX(Personnel[Adi Soyadi],$K815),"")</f>
        <v/>
      </c>
      <c r="C815" s="18" t="str">
        <f>IFERROR(INDEX(Personnel[Vatandaslik],$K815),"")</f>
        <v/>
      </c>
      <c r="D815" s="18" t="str">
        <f>IFERROR(INDEX(Personnel[Santiye],$K815),"")</f>
        <v/>
      </c>
      <c r="E815" s="18" t="str">
        <f>IFERROR(INDEX(Personnel[Ogretmen],$K815),"")</f>
        <v/>
      </c>
      <c r="F815" s="17" t="str">
        <f>IFERROR(INDEX(Personnel[[Sinav ]],$K815),"")</f>
        <v/>
      </c>
      <c r="G815" s="17" t="str">
        <f>IFERROR(INDEX(Personnel[Egtim durumu],$K815),"")</f>
        <v/>
      </c>
      <c r="H815" s="17" t="str">
        <f>IFERROR(INDEX(Personnel[Shohruh Not],$K815),"")</f>
        <v/>
      </c>
      <c r="I815" s="18" t="str">
        <f>IFERROR(INDEX(Personnel[Дней в РФ],$K815),"")</f>
        <v/>
      </c>
      <c r="K815" s="23" t="str">
        <f t="array" ref="K815">IFERROR(_xlfn.AGGREGATE(15,6,(ROW(Personnel[Egtim durumu])-MIN(ROW(Personnel[Egtim durumu]))+1)/((Personnel[Egtim durumu]="Dil egitimi tamamlandi sinavdan gecti")),ROWS($K$7:K815)),"")</f>
        <v/>
      </c>
    </row>
    <row r="816" spans="1:11" x14ac:dyDescent="0.25">
      <c r="A816" s="40" t="str">
        <f>IFERROR(INDEX(Personnel[Sicil],$K816),"")</f>
        <v/>
      </c>
      <c r="B816" s="41" t="str">
        <f>IFERROR(INDEX(Personnel[Adi Soyadi],$K816),"")</f>
        <v/>
      </c>
      <c r="C816" s="40" t="str">
        <f>IFERROR(INDEX(Personnel[Vatandaslik],$K816),"")</f>
        <v/>
      </c>
      <c r="D816" s="40" t="str">
        <f>IFERROR(INDEX(Personnel[Santiye],$K816),"")</f>
        <v/>
      </c>
      <c r="E816" s="40" t="str">
        <f>IFERROR(INDEX(Personnel[Ogretmen],$K816),"")</f>
        <v/>
      </c>
      <c r="F816" s="41" t="str">
        <f>IFERROR(INDEX(Personnel[[Sinav ]],$K816),"")</f>
        <v/>
      </c>
      <c r="G816" s="41" t="str">
        <f>IFERROR(INDEX(Personnel[Egtim durumu],$K816),"")</f>
        <v/>
      </c>
      <c r="H816" s="41" t="str">
        <f>IFERROR(INDEX(Personnel[Shohruh Not],$K816),"")</f>
        <v/>
      </c>
      <c r="I816" s="40" t="str">
        <f>IFERROR(INDEX(Personnel[Дней в РФ],$K816),"")</f>
        <v/>
      </c>
      <c r="K816" s="23" t="str">
        <f t="array" ref="K816">IFERROR(_xlfn.AGGREGATE(15,6,(ROW(Personnel[Egtim durumu])-MIN(ROW(Personnel[Egtim durumu]))+1)/((Personnel[Egtim durumu]="Dil egitimi tamamlandi sinavdan gecti")),ROWS($K$7:K816)),"")</f>
        <v/>
      </c>
    </row>
    <row r="817" spans="1:11" x14ac:dyDescent="0.25">
      <c r="A817" s="18" t="str">
        <f>IFERROR(INDEX(Personnel[Sicil],$K817),"")</f>
        <v/>
      </c>
      <c r="B817" s="17" t="str">
        <f>IFERROR(INDEX(Personnel[Adi Soyadi],$K817),"")</f>
        <v/>
      </c>
      <c r="C817" s="18" t="str">
        <f>IFERROR(INDEX(Personnel[Vatandaslik],$K817),"")</f>
        <v/>
      </c>
      <c r="D817" s="18" t="str">
        <f>IFERROR(INDEX(Personnel[Santiye],$K817),"")</f>
        <v/>
      </c>
      <c r="E817" s="18" t="str">
        <f>IFERROR(INDEX(Personnel[Ogretmen],$K817),"")</f>
        <v/>
      </c>
      <c r="F817" s="17" t="str">
        <f>IFERROR(INDEX(Personnel[[Sinav ]],$K817),"")</f>
        <v/>
      </c>
      <c r="G817" s="17" t="str">
        <f>IFERROR(INDEX(Personnel[Egtim durumu],$K817),"")</f>
        <v/>
      </c>
      <c r="H817" s="17" t="str">
        <f>IFERROR(INDEX(Personnel[Shohruh Not],$K817),"")</f>
        <v/>
      </c>
      <c r="I817" s="18" t="str">
        <f>IFERROR(INDEX(Personnel[Дней в РФ],$K817),"")</f>
        <v/>
      </c>
      <c r="K817" s="23" t="str">
        <f t="array" ref="K817">IFERROR(_xlfn.AGGREGATE(15,6,(ROW(Personnel[Egtim durumu])-MIN(ROW(Personnel[Egtim durumu]))+1)/((Personnel[Egtim durumu]="Dil egitimi tamamlandi sinavdan gecti")),ROWS($K$7:K817)),"")</f>
        <v/>
      </c>
    </row>
    <row r="818" spans="1:11" x14ac:dyDescent="0.25">
      <c r="A818" s="40" t="str">
        <f>IFERROR(INDEX(Personnel[Sicil],$K818),"")</f>
        <v/>
      </c>
      <c r="B818" s="41" t="str">
        <f>IFERROR(INDEX(Personnel[Adi Soyadi],$K818),"")</f>
        <v/>
      </c>
      <c r="C818" s="40" t="str">
        <f>IFERROR(INDEX(Personnel[Vatandaslik],$K818),"")</f>
        <v/>
      </c>
      <c r="D818" s="40" t="str">
        <f>IFERROR(INDEX(Personnel[Santiye],$K818),"")</f>
        <v/>
      </c>
      <c r="E818" s="40" t="str">
        <f>IFERROR(INDEX(Personnel[Ogretmen],$K818),"")</f>
        <v/>
      </c>
      <c r="F818" s="41" t="str">
        <f>IFERROR(INDEX(Personnel[[Sinav ]],$K818),"")</f>
        <v/>
      </c>
      <c r="G818" s="41" t="str">
        <f>IFERROR(INDEX(Personnel[Egtim durumu],$K818),"")</f>
        <v/>
      </c>
      <c r="H818" s="41" t="str">
        <f>IFERROR(INDEX(Personnel[Shohruh Not],$K818),"")</f>
        <v/>
      </c>
      <c r="I818" s="40" t="str">
        <f>IFERROR(INDEX(Personnel[Дней в РФ],$K818),"")</f>
        <v/>
      </c>
      <c r="K818" s="23" t="str">
        <f t="array" ref="K818">IFERROR(_xlfn.AGGREGATE(15,6,(ROW(Personnel[Egtim durumu])-MIN(ROW(Personnel[Egtim durumu]))+1)/((Personnel[Egtim durumu]="Dil egitimi tamamlandi sinavdan gecti")),ROWS($K$7:K818)),"")</f>
        <v/>
      </c>
    </row>
    <row r="819" spans="1:11" x14ac:dyDescent="0.25">
      <c r="A819" s="18" t="str">
        <f>IFERROR(INDEX(Personnel[Sicil],$K819),"")</f>
        <v/>
      </c>
      <c r="B819" s="17" t="str">
        <f>IFERROR(INDEX(Personnel[Adi Soyadi],$K819),"")</f>
        <v/>
      </c>
      <c r="C819" s="18" t="str">
        <f>IFERROR(INDEX(Personnel[Vatandaslik],$K819),"")</f>
        <v/>
      </c>
      <c r="D819" s="18" t="str">
        <f>IFERROR(INDEX(Personnel[Santiye],$K819),"")</f>
        <v/>
      </c>
      <c r="E819" s="18" t="str">
        <f>IFERROR(INDEX(Personnel[Ogretmen],$K819),"")</f>
        <v/>
      </c>
      <c r="F819" s="17" t="str">
        <f>IFERROR(INDEX(Personnel[[Sinav ]],$K819),"")</f>
        <v/>
      </c>
      <c r="G819" s="17" t="str">
        <f>IFERROR(INDEX(Personnel[Egtim durumu],$K819),"")</f>
        <v/>
      </c>
      <c r="H819" s="17" t="str">
        <f>IFERROR(INDEX(Personnel[Shohruh Not],$K819),"")</f>
        <v/>
      </c>
      <c r="I819" s="18" t="str">
        <f>IFERROR(INDEX(Personnel[Дней в РФ],$K819),"")</f>
        <v/>
      </c>
      <c r="K819" s="23" t="str">
        <f t="array" ref="K819">IFERROR(_xlfn.AGGREGATE(15,6,(ROW(Personnel[Egtim durumu])-MIN(ROW(Personnel[Egtim durumu]))+1)/((Personnel[Egtim durumu]="Dil egitimi tamamlandi sinavdan gecti")),ROWS($K$7:K819)),"")</f>
        <v/>
      </c>
    </row>
    <row r="820" spans="1:11" x14ac:dyDescent="0.25">
      <c r="A820" s="40" t="str">
        <f>IFERROR(INDEX(Personnel[Sicil],$K820),"")</f>
        <v/>
      </c>
      <c r="B820" s="41" t="str">
        <f>IFERROR(INDEX(Personnel[Adi Soyadi],$K820),"")</f>
        <v/>
      </c>
      <c r="C820" s="40" t="str">
        <f>IFERROR(INDEX(Personnel[Vatandaslik],$K820),"")</f>
        <v/>
      </c>
      <c r="D820" s="40" t="str">
        <f>IFERROR(INDEX(Personnel[Santiye],$K820),"")</f>
        <v/>
      </c>
      <c r="E820" s="40" t="str">
        <f>IFERROR(INDEX(Personnel[Ogretmen],$K820),"")</f>
        <v/>
      </c>
      <c r="F820" s="41" t="str">
        <f>IFERROR(INDEX(Personnel[[Sinav ]],$K820),"")</f>
        <v/>
      </c>
      <c r="G820" s="41" t="str">
        <f>IFERROR(INDEX(Personnel[Egtim durumu],$K820),"")</f>
        <v/>
      </c>
      <c r="H820" s="41" t="str">
        <f>IFERROR(INDEX(Personnel[Shohruh Not],$K820),"")</f>
        <v/>
      </c>
      <c r="I820" s="40" t="str">
        <f>IFERROR(INDEX(Personnel[Дней в РФ],$K820),"")</f>
        <v/>
      </c>
      <c r="K820" s="23" t="str">
        <f t="array" ref="K820">IFERROR(_xlfn.AGGREGATE(15,6,(ROW(Personnel[Egtim durumu])-MIN(ROW(Personnel[Egtim durumu]))+1)/((Personnel[Egtim durumu]="Dil egitimi tamamlandi sinavdan gecti")),ROWS($K$7:K820)),"")</f>
        <v/>
      </c>
    </row>
    <row r="821" spans="1:11" x14ac:dyDescent="0.25">
      <c r="A821" s="18" t="str">
        <f>IFERROR(INDEX(Personnel[Sicil],$K821),"")</f>
        <v/>
      </c>
      <c r="B821" s="17" t="str">
        <f>IFERROR(INDEX(Personnel[Adi Soyadi],$K821),"")</f>
        <v/>
      </c>
      <c r="C821" s="18" t="str">
        <f>IFERROR(INDEX(Personnel[Vatandaslik],$K821),"")</f>
        <v/>
      </c>
      <c r="D821" s="18" t="str">
        <f>IFERROR(INDEX(Personnel[Santiye],$K821),"")</f>
        <v/>
      </c>
      <c r="E821" s="18" t="str">
        <f>IFERROR(INDEX(Personnel[Ogretmen],$K821),"")</f>
        <v/>
      </c>
      <c r="F821" s="17" t="str">
        <f>IFERROR(INDEX(Personnel[[Sinav ]],$K821),"")</f>
        <v/>
      </c>
      <c r="G821" s="17" t="str">
        <f>IFERROR(INDEX(Personnel[Egtim durumu],$K821),"")</f>
        <v/>
      </c>
      <c r="H821" s="17" t="str">
        <f>IFERROR(INDEX(Personnel[Shohruh Not],$K821),"")</f>
        <v/>
      </c>
      <c r="I821" s="18" t="str">
        <f>IFERROR(INDEX(Personnel[Дней в РФ],$K821),"")</f>
        <v/>
      </c>
      <c r="K821" s="23" t="str">
        <f t="array" ref="K821">IFERROR(_xlfn.AGGREGATE(15,6,(ROW(Personnel[Egtim durumu])-MIN(ROW(Personnel[Egtim durumu]))+1)/((Personnel[Egtim durumu]="Dil egitimi tamamlandi sinavdan gecti")),ROWS($K$7:K821)),"")</f>
        <v/>
      </c>
    </row>
    <row r="822" spans="1:11" x14ac:dyDescent="0.25">
      <c r="A822" s="40" t="str">
        <f>IFERROR(INDEX(Personnel[Sicil],$K822),"")</f>
        <v/>
      </c>
      <c r="B822" s="41" t="str">
        <f>IFERROR(INDEX(Personnel[Adi Soyadi],$K822),"")</f>
        <v/>
      </c>
      <c r="C822" s="40" t="str">
        <f>IFERROR(INDEX(Personnel[Vatandaslik],$K822),"")</f>
        <v/>
      </c>
      <c r="D822" s="40" t="str">
        <f>IFERROR(INDEX(Personnel[Santiye],$K822),"")</f>
        <v/>
      </c>
      <c r="E822" s="40" t="str">
        <f>IFERROR(INDEX(Personnel[Ogretmen],$K822),"")</f>
        <v/>
      </c>
      <c r="F822" s="41" t="str">
        <f>IFERROR(INDEX(Personnel[[Sinav ]],$K822),"")</f>
        <v/>
      </c>
      <c r="G822" s="41" t="str">
        <f>IFERROR(INDEX(Personnel[Egtim durumu],$K822),"")</f>
        <v/>
      </c>
      <c r="H822" s="41" t="str">
        <f>IFERROR(INDEX(Personnel[Shohruh Not],$K822),"")</f>
        <v/>
      </c>
      <c r="I822" s="40" t="str">
        <f>IFERROR(INDEX(Personnel[Дней в РФ],$K822),"")</f>
        <v/>
      </c>
      <c r="K822" s="23" t="str">
        <f t="array" ref="K822">IFERROR(_xlfn.AGGREGATE(15,6,(ROW(Personnel[Egtim durumu])-MIN(ROW(Personnel[Egtim durumu]))+1)/((Personnel[Egtim durumu]="Dil egitimi tamamlandi sinavdan gecti")),ROWS($K$7:K822)),"")</f>
        <v/>
      </c>
    </row>
    <row r="823" spans="1:11" x14ac:dyDescent="0.25">
      <c r="A823" s="18" t="str">
        <f>IFERROR(INDEX(Personnel[Sicil],$K823),"")</f>
        <v/>
      </c>
      <c r="B823" s="17" t="str">
        <f>IFERROR(INDEX(Personnel[Adi Soyadi],$K823),"")</f>
        <v/>
      </c>
      <c r="C823" s="18" t="str">
        <f>IFERROR(INDEX(Personnel[Vatandaslik],$K823),"")</f>
        <v/>
      </c>
      <c r="D823" s="18" t="str">
        <f>IFERROR(INDEX(Personnel[Santiye],$K823),"")</f>
        <v/>
      </c>
      <c r="E823" s="18" t="str">
        <f>IFERROR(INDEX(Personnel[Ogretmen],$K823),"")</f>
        <v/>
      </c>
      <c r="F823" s="17" t="str">
        <f>IFERROR(INDEX(Personnel[[Sinav ]],$K823),"")</f>
        <v/>
      </c>
      <c r="G823" s="17" t="str">
        <f>IFERROR(INDEX(Personnel[Egtim durumu],$K823),"")</f>
        <v/>
      </c>
      <c r="H823" s="17" t="str">
        <f>IFERROR(INDEX(Personnel[Shohruh Not],$K823),"")</f>
        <v/>
      </c>
      <c r="I823" s="18" t="str">
        <f>IFERROR(INDEX(Personnel[Дней в РФ],$K823),"")</f>
        <v/>
      </c>
      <c r="K823" s="23" t="str">
        <f t="array" ref="K823">IFERROR(_xlfn.AGGREGATE(15,6,(ROW(Personnel[Egtim durumu])-MIN(ROW(Personnel[Egtim durumu]))+1)/((Personnel[Egtim durumu]="Dil egitimi tamamlandi sinavdan gecti")),ROWS($K$7:K823)),"")</f>
        <v/>
      </c>
    </row>
    <row r="824" spans="1:11" x14ac:dyDescent="0.25">
      <c r="A824" s="40" t="str">
        <f>IFERROR(INDEX(Personnel[Sicil],$K824),"")</f>
        <v/>
      </c>
      <c r="B824" s="41" t="str">
        <f>IFERROR(INDEX(Personnel[Adi Soyadi],$K824),"")</f>
        <v/>
      </c>
      <c r="C824" s="40" t="str">
        <f>IFERROR(INDEX(Personnel[Vatandaslik],$K824),"")</f>
        <v/>
      </c>
      <c r="D824" s="40" t="str">
        <f>IFERROR(INDEX(Personnel[Santiye],$K824),"")</f>
        <v/>
      </c>
      <c r="E824" s="40" t="str">
        <f>IFERROR(INDEX(Personnel[Ogretmen],$K824),"")</f>
        <v/>
      </c>
      <c r="F824" s="41" t="str">
        <f>IFERROR(INDEX(Personnel[[Sinav ]],$K824),"")</f>
        <v/>
      </c>
      <c r="G824" s="41" t="str">
        <f>IFERROR(INDEX(Personnel[Egtim durumu],$K824),"")</f>
        <v/>
      </c>
      <c r="H824" s="41" t="str">
        <f>IFERROR(INDEX(Personnel[Shohruh Not],$K824),"")</f>
        <v/>
      </c>
      <c r="I824" s="40" t="str">
        <f>IFERROR(INDEX(Personnel[Дней в РФ],$K824),"")</f>
        <v/>
      </c>
      <c r="K824" s="23" t="str">
        <f t="array" ref="K824">IFERROR(_xlfn.AGGREGATE(15,6,(ROW(Personnel[Egtim durumu])-MIN(ROW(Personnel[Egtim durumu]))+1)/((Personnel[Egtim durumu]="Dil egitimi tamamlandi sinavdan gecti")),ROWS($K$7:K824)),"")</f>
        <v/>
      </c>
    </row>
    <row r="825" spans="1:11" x14ac:dyDescent="0.25">
      <c r="A825" s="18" t="str">
        <f>IFERROR(INDEX(Personnel[Sicil],$K825),"")</f>
        <v/>
      </c>
      <c r="B825" s="17" t="str">
        <f>IFERROR(INDEX(Personnel[Adi Soyadi],$K825),"")</f>
        <v/>
      </c>
      <c r="C825" s="18" t="str">
        <f>IFERROR(INDEX(Personnel[Vatandaslik],$K825),"")</f>
        <v/>
      </c>
      <c r="D825" s="18" t="str">
        <f>IFERROR(INDEX(Personnel[Santiye],$K825),"")</f>
        <v/>
      </c>
      <c r="E825" s="18" t="str">
        <f>IFERROR(INDEX(Personnel[Ogretmen],$K825),"")</f>
        <v/>
      </c>
      <c r="F825" s="17" t="str">
        <f>IFERROR(INDEX(Personnel[[Sinav ]],$K825),"")</f>
        <v/>
      </c>
      <c r="G825" s="17" t="str">
        <f>IFERROR(INDEX(Personnel[Egtim durumu],$K825),"")</f>
        <v/>
      </c>
      <c r="H825" s="17" t="str">
        <f>IFERROR(INDEX(Personnel[Shohruh Not],$K825),"")</f>
        <v/>
      </c>
      <c r="I825" s="18" t="str">
        <f>IFERROR(INDEX(Personnel[Дней в РФ],$K825),"")</f>
        <v/>
      </c>
      <c r="K825" s="23" t="str">
        <f t="array" ref="K825">IFERROR(_xlfn.AGGREGATE(15,6,(ROW(Personnel[Egtim durumu])-MIN(ROW(Personnel[Egtim durumu]))+1)/((Personnel[Egtim durumu]="Dil egitimi tamamlandi sinavdan gecti")),ROWS($K$7:K825)),"")</f>
        <v/>
      </c>
    </row>
    <row r="826" spans="1:11" x14ac:dyDescent="0.25">
      <c r="A826" s="40" t="str">
        <f>IFERROR(INDEX(Personnel[Sicil],$K826),"")</f>
        <v/>
      </c>
      <c r="B826" s="41" t="str">
        <f>IFERROR(INDEX(Personnel[Adi Soyadi],$K826),"")</f>
        <v/>
      </c>
      <c r="C826" s="40" t="str">
        <f>IFERROR(INDEX(Personnel[Vatandaslik],$K826),"")</f>
        <v/>
      </c>
      <c r="D826" s="40" t="str">
        <f>IFERROR(INDEX(Personnel[Santiye],$K826),"")</f>
        <v/>
      </c>
      <c r="E826" s="40" t="str">
        <f>IFERROR(INDEX(Personnel[Ogretmen],$K826),"")</f>
        <v/>
      </c>
      <c r="F826" s="41" t="str">
        <f>IFERROR(INDEX(Personnel[[Sinav ]],$K826),"")</f>
        <v/>
      </c>
      <c r="G826" s="41" t="str">
        <f>IFERROR(INDEX(Personnel[Egtim durumu],$K826),"")</f>
        <v/>
      </c>
      <c r="H826" s="41" t="str">
        <f>IFERROR(INDEX(Personnel[Shohruh Not],$K826),"")</f>
        <v/>
      </c>
      <c r="I826" s="40" t="str">
        <f>IFERROR(INDEX(Personnel[Дней в РФ],$K826),"")</f>
        <v/>
      </c>
      <c r="K826" s="23" t="str">
        <f t="array" ref="K826">IFERROR(_xlfn.AGGREGATE(15,6,(ROW(Personnel[Egtim durumu])-MIN(ROW(Personnel[Egtim durumu]))+1)/((Personnel[Egtim durumu]="Dil egitimi tamamlandi sinavdan gecti")),ROWS($K$7:K826)),"")</f>
        <v/>
      </c>
    </row>
    <row r="827" spans="1:11" x14ac:dyDescent="0.25">
      <c r="A827" s="18" t="str">
        <f>IFERROR(INDEX(Personnel[Sicil],$K827),"")</f>
        <v/>
      </c>
      <c r="B827" s="17" t="str">
        <f>IFERROR(INDEX(Personnel[Adi Soyadi],$K827),"")</f>
        <v/>
      </c>
      <c r="C827" s="18" t="str">
        <f>IFERROR(INDEX(Personnel[Vatandaslik],$K827),"")</f>
        <v/>
      </c>
      <c r="D827" s="18" t="str">
        <f>IFERROR(INDEX(Personnel[Santiye],$K827),"")</f>
        <v/>
      </c>
      <c r="E827" s="18" t="str">
        <f>IFERROR(INDEX(Personnel[Ogretmen],$K827),"")</f>
        <v/>
      </c>
      <c r="F827" s="17" t="str">
        <f>IFERROR(INDEX(Personnel[[Sinav ]],$K827),"")</f>
        <v/>
      </c>
      <c r="G827" s="17" t="str">
        <f>IFERROR(INDEX(Personnel[Egtim durumu],$K827),"")</f>
        <v/>
      </c>
      <c r="H827" s="17" t="str">
        <f>IFERROR(INDEX(Personnel[Shohruh Not],$K827),"")</f>
        <v/>
      </c>
      <c r="I827" s="18" t="str">
        <f>IFERROR(INDEX(Personnel[Дней в РФ],$K827),"")</f>
        <v/>
      </c>
      <c r="K827" s="23" t="str">
        <f t="array" ref="K827">IFERROR(_xlfn.AGGREGATE(15,6,(ROW(Personnel[Egtim durumu])-MIN(ROW(Personnel[Egtim durumu]))+1)/((Personnel[Egtim durumu]="Dil egitimi tamamlandi sinavdan gecti")),ROWS($K$7:K827)),"")</f>
        <v/>
      </c>
    </row>
    <row r="828" spans="1:11" x14ac:dyDescent="0.25">
      <c r="A828" s="40" t="str">
        <f>IFERROR(INDEX(Personnel[Sicil],$K828),"")</f>
        <v/>
      </c>
      <c r="B828" s="41" t="str">
        <f>IFERROR(INDEX(Personnel[Adi Soyadi],$K828),"")</f>
        <v/>
      </c>
      <c r="C828" s="40" t="str">
        <f>IFERROR(INDEX(Personnel[Vatandaslik],$K828),"")</f>
        <v/>
      </c>
      <c r="D828" s="40" t="str">
        <f>IFERROR(INDEX(Personnel[Santiye],$K828),"")</f>
        <v/>
      </c>
      <c r="E828" s="40" t="str">
        <f>IFERROR(INDEX(Personnel[Ogretmen],$K828),"")</f>
        <v/>
      </c>
      <c r="F828" s="41" t="str">
        <f>IFERROR(INDEX(Personnel[[Sinav ]],$K828),"")</f>
        <v/>
      </c>
      <c r="G828" s="41" t="str">
        <f>IFERROR(INDEX(Personnel[Egtim durumu],$K828),"")</f>
        <v/>
      </c>
      <c r="H828" s="41" t="str">
        <f>IFERROR(INDEX(Personnel[Shohruh Not],$K828),"")</f>
        <v/>
      </c>
      <c r="I828" s="40" t="str">
        <f>IFERROR(INDEX(Personnel[Дней в РФ],$K828),"")</f>
        <v/>
      </c>
      <c r="K828" s="23" t="str">
        <f t="array" ref="K828">IFERROR(_xlfn.AGGREGATE(15,6,(ROW(Personnel[Egtim durumu])-MIN(ROW(Personnel[Egtim durumu]))+1)/((Personnel[Egtim durumu]="Dil egitimi tamamlandi sinavdan gecti")),ROWS($K$7:K828)),"")</f>
        <v/>
      </c>
    </row>
    <row r="829" spans="1:11" x14ac:dyDescent="0.25">
      <c r="A829" s="18" t="str">
        <f>IFERROR(INDEX(Personnel[Sicil],$K829),"")</f>
        <v/>
      </c>
      <c r="B829" s="17" t="str">
        <f>IFERROR(INDEX(Personnel[Adi Soyadi],$K829),"")</f>
        <v/>
      </c>
      <c r="C829" s="18" t="str">
        <f>IFERROR(INDEX(Personnel[Vatandaslik],$K829),"")</f>
        <v/>
      </c>
      <c r="D829" s="18" t="str">
        <f>IFERROR(INDEX(Personnel[Santiye],$K829),"")</f>
        <v/>
      </c>
      <c r="E829" s="18" t="str">
        <f>IFERROR(INDEX(Personnel[Ogretmen],$K829),"")</f>
        <v/>
      </c>
      <c r="F829" s="17" t="str">
        <f>IFERROR(INDEX(Personnel[[Sinav ]],$K829),"")</f>
        <v/>
      </c>
      <c r="G829" s="17" t="str">
        <f>IFERROR(INDEX(Personnel[Egtim durumu],$K829),"")</f>
        <v/>
      </c>
      <c r="H829" s="17" t="str">
        <f>IFERROR(INDEX(Personnel[Shohruh Not],$K829),"")</f>
        <v/>
      </c>
      <c r="I829" s="18" t="str">
        <f>IFERROR(INDEX(Personnel[Дней в РФ],$K829),"")</f>
        <v/>
      </c>
      <c r="K829" s="23" t="str">
        <f t="array" ref="K829">IFERROR(_xlfn.AGGREGATE(15,6,(ROW(Personnel[Egtim durumu])-MIN(ROW(Personnel[Egtim durumu]))+1)/((Personnel[Egtim durumu]="Dil egitimi tamamlandi sinavdan gecti")),ROWS($K$7:K829)),"")</f>
        <v/>
      </c>
    </row>
    <row r="830" spans="1:11" x14ac:dyDescent="0.25">
      <c r="A830" s="40" t="str">
        <f>IFERROR(INDEX(Personnel[Sicil],$K830),"")</f>
        <v/>
      </c>
      <c r="B830" s="41" t="str">
        <f>IFERROR(INDEX(Personnel[Adi Soyadi],$K830),"")</f>
        <v/>
      </c>
      <c r="C830" s="40" t="str">
        <f>IFERROR(INDEX(Personnel[Vatandaslik],$K830),"")</f>
        <v/>
      </c>
      <c r="D830" s="40" t="str">
        <f>IFERROR(INDEX(Personnel[Santiye],$K830),"")</f>
        <v/>
      </c>
      <c r="E830" s="40" t="str">
        <f>IFERROR(INDEX(Personnel[Ogretmen],$K830),"")</f>
        <v/>
      </c>
      <c r="F830" s="41" t="str">
        <f>IFERROR(INDEX(Personnel[[Sinav ]],$K830),"")</f>
        <v/>
      </c>
      <c r="G830" s="41" t="str">
        <f>IFERROR(INDEX(Personnel[Egtim durumu],$K830),"")</f>
        <v/>
      </c>
      <c r="H830" s="41" t="str">
        <f>IFERROR(INDEX(Personnel[Shohruh Not],$K830),"")</f>
        <v/>
      </c>
      <c r="I830" s="40" t="str">
        <f>IFERROR(INDEX(Personnel[Дней в РФ],$K830),"")</f>
        <v/>
      </c>
      <c r="K830" s="23" t="str">
        <f t="array" ref="K830">IFERROR(_xlfn.AGGREGATE(15,6,(ROW(Personnel[Egtim durumu])-MIN(ROW(Personnel[Egtim durumu]))+1)/((Personnel[Egtim durumu]="Dil egitimi tamamlandi sinavdan gecti")),ROWS($K$7:K830)),"")</f>
        <v/>
      </c>
    </row>
    <row r="831" spans="1:11" x14ac:dyDescent="0.25">
      <c r="A831" s="18" t="str">
        <f>IFERROR(INDEX(Personnel[Sicil],$K831),"")</f>
        <v/>
      </c>
      <c r="B831" s="17" t="str">
        <f>IFERROR(INDEX(Personnel[Adi Soyadi],$K831),"")</f>
        <v/>
      </c>
      <c r="C831" s="18" t="str">
        <f>IFERROR(INDEX(Personnel[Vatandaslik],$K831),"")</f>
        <v/>
      </c>
      <c r="D831" s="18" t="str">
        <f>IFERROR(INDEX(Personnel[Santiye],$K831),"")</f>
        <v/>
      </c>
      <c r="E831" s="18" t="str">
        <f>IFERROR(INDEX(Personnel[Ogretmen],$K831),"")</f>
        <v/>
      </c>
      <c r="F831" s="17" t="str">
        <f>IFERROR(INDEX(Personnel[[Sinav ]],$K831),"")</f>
        <v/>
      </c>
      <c r="G831" s="17" t="str">
        <f>IFERROR(INDEX(Personnel[Egtim durumu],$K831),"")</f>
        <v/>
      </c>
      <c r="H831" s="17" t="str">
        <f>IFERROR(INDEX(Personnel[Shohruh Not],$K831),"")</f>
        <v/>
      </c>
      <c r="I831" s="18" t="str">
        <f>IFERROR(INDEX(Personnel[Дней в РФ],$K831),"")</f>
        <v/>
      </c>
      <c r="K831" s="23" t="str">
        <f t="array" ref="K831">IFERROR(_xlfn.AGGREGATE(15,6,(ROW(Personnel[Egtim durumu])-MIN(ROW(Personnel[Egtim durumu]))+1)/((Personnel[Egtim durumu]="Dil egitimi tamamlandi sinavdan gecti")),ROWS($K$7:K831)),"")</f>
        <v/>
      </c>
    </row>
    <row r="832" spans="1:11" x14ac:dyDescent="0.25">
      <c r="A832" s="40" t="str">
        <f>IFERROR(INDEX(Personnel[Sicil],$K832),"")</f>
        <v/>
      </c>
      <c r="B832" s="41" t="str">
        <f>IFERROR(INDEX(Personnel[Adi Soyadi],$K832),"")</f>
        <v/>
      </c>
      <c r="C832" s="40" t="str">
        <f>IFERROR(INDEX(Personnel[Vatandaslik],$K832),"")</f>
        <v/>
      </c>
      <c r="D832" s="40" t="str">
        <f>IFERROR(INDEX(Personnel[Santiye],$K832),"")</f>
        <v/>
      </c>
      <c r="E832" s="40" t="str">
        <f>IFERROR(INDEX(Personnel[Ogretmen],$K832),"")</f>
        <v/>
      </c>
      <c r="F832" s="41" t="str">
        <f>IFERROR(INDEX(Personnel[[Sinav ]],$K832),"")</f>
        <v/>
      </c>
      <c r="G832" s="41" t="str">
        <f>IFERROR(INDEX(Personnel[Egtim durumu],$K832),"")</f>
        <v/>
      </c>
      <c r="H832" s="41" t="str">
        <f>IFERROR(INDEX(Personnel[Shohruh Not],$K832),"")</f>
        <v/>
      </c>
      <c r="I832" s="40" t="str">
        <f>IFERROR(INDEX(Personnel[Дней в РФ],$K832),"")</f>
        <v/>
      </c>
      <c r="K832" s="23" t="str">
        <f t="array" ref="K832">IFERROR(_xlfn.AGGREGATE(15,6,(ROW(Personnel[Egtim durumu])-MIN(ROW(Personnel[Egtim durumu]))+1)/((Personnel[Egtim durumu]="Dil egitimi tamamlandi sinavdan gecti")),ROWS($K$7:K832)),"")</f>
        <v/>
      </c>
    </row>
    <row r="833" spans="1:11" x14ac:dyDescent="0.25">
      <c r="A833" s="18" t="str">
        <f>IFERROR(INDEX(Personnel[Sicil],$K833),"")</f>
        <v/>
      </c>
      <c r="B833" s="17" t="str">
        <f>IFERROR(INDEX(Personnel[Adi Soyadi],$K833),"")</f>
        <v/>
      </c>
      <c r="C833" s="18" t="str">
        <f>IFERROR(INDEX(Personnel[Vatandaslik],$K833),"")</f>
        <v/>
      </c>
      <c r="D833" s="18" t="str">
        <f>IFERROR(INDEX(Personnel[Santiye],$K833),"")</f>
        <v/>
      </c>
      <c r="E833" s="18" t="str">
        <f>IFERROR(INDEX(Personnel[Ogretmen],$K833),"")</f>
        <v/>
      </c>
      <c r="F833" s="17" t="str">
        <f>IFERROR(INDEX(Personnel[[Sinav ]],$K833),"")</f>
        <v/>
      </c>
      <c r="G833" s="17" t="str">
        <f>IFERROR(INDEX(Personnel[Egtim durumu],$K833),"")</f>
        <v/>
      </c>
      <c r="H833" s="17" t="str">
        <f>IFERROR(INDEX(Personnel[Shohruh Not],$K833),"")</f>
        <v/>
      </c>
      <c r="I833" s="18" t="str">
        <f>IFERROR(INDEX(Personnel[Дней в РФ],$K833),"")</f>
        <v/>
      </c>
      <c r="K833" s="23" t="str">
        <f t="array" ref="K833">IFERROR(_xlfn.AGGREGATE(15,6,(ROW(Personnel[Egtim durumu])-MIN(ROW(Personnel[Egtim durumu]))+1)/((Personnel[Egtim durumu]="Dil egitimi tamamlandi sinavdan gecti")),ROWS($K$7:K833)),"")</f>
        <v/>
      </c>
    </row>
    <row r="834" spans="1:11" x14ac:dyDescent="0.25">
      <c r="A834" s="40" t="str">
        <f>IFERROR(INDEX(Personnel[Sicil],$K834),"")</f>
        <v/>
      </c>
      <c r="B834" s="41" t="str">
        <f>IFERROR(INDEX(Personnel[Adi Soyadi],$K834),"")</f>
        <v/>
      </c>
      <c r="C834" s="40" t="str">
        <f>IFERROR(INDEX(Personnel[Vatandaslik],$K834),"")</f>
        <v/>
      </c>
      <c r="D834" s="40" t="str">
        <f>IFERROR(INDEX(Personnel[Santiye],$K834),"")</f>
        <v/>
      </c>
      <c r="E834" s="40" t="str">
        <f>IFERROR(INDEX(Personnel[Ogretmen],$K834),"")</f>
        <v/>
      </c>
      <c r="F834" s="41" t="str">
        <f>IFERROR(INDEX(Personnel[[Sinav ]],$K834),"")</f>
        <v/>
      </c>
      <c r="G834" s="41" t="str">
        <f>IFERROR(INDEX(Personnel[Egtim durumu],$K834),"")</f>
        <v/>
      </c>
      <c r="H834" s="41" t="str">
        <f>IFERROR(INDEX(Personnel[Shohruh Not],$K834),"")</f>
        <v/>
      </c>
      <c r="I834" s="40" t="str">
        <f>IFERROR(INDEX(Personnel[Дней в РФ],$K834),"")</f>
        <v/>
      </c>
      <c r="K834" s="23" t="str">
        <f t="array" ref="K834">IFERROR(_xlfn.AGGREGATE(15,6,(ROW(Personnel[Egtim durumu])-MIN(ROW(Personnel[Egtim durumu]))+1)/((Personnel[Egtim durumu]="Dil egitimi tamamlandi sinavdan gecti")),ROWS($K$7:K834)),"")</f>
        <v/>
      </c>
    </row>
    <row r="835" spans="1:11" x14ac:dyDescent="0.25">
      <c r="A835" s="18" t="str">
        <f>IFERROR(INDEX(Personnel[Sicil],$K835),"")</f>
        <v/>
      </c>
      <c r="B835" s="17" t="str">
        <f>IFERROR(INDEX(Personnel[Adi Soyadi],$K835),"")</f>
        <v/>
      </c>
      <c r="C835" s="18" t="str">
        <f>IFERROR(INDEX(Personnel[Vatandaslik],$K835),"")</f>
        <v/>
      </c>
      <c r="D835" s="18" t="str">
        <f>IFERROR(INDEX(Personnel[Santiye],$K835),"")</f>
        <v/>
      </c>
      <c r="E835" s="18" t="str">
        <f>IFERROR(INDEX(Personnel[Ogretmen],$K835),"")</f>
        <v/>
      </c>
      <c r="F835" s="17" t="str">
        <f>IFERROR(INDEX(Personnel[[Sinav ]],$K835),"")</f>
        <v/>
      </c>
      <c r="G835" s="17" t="str">
        <f>IFERROR(INDEX(Personnel[Egtim durumu],$K835),"")</f>
        <v/>
      </c>
      <c r="H835" s="17" t="str">
        <f>IFERROR(INDEX(Personnel[Shohruh Not],$K835),"")</f>
        <v/>
      </c>
      <c r="I835" s="18" t="str">
        <f>IFERROR(INDEX(Personnel[Дней в РФ],$K835),"")</f>
        <v/>
      </c>
      <c r="K835" s="23" t="str">
        <f t="array" ref="K835">IFERROR(_xlfn.AGGREGATE(15,6,(ROW(Personnel[Egtim durumu])-MIN(ROW(Personnel[Egtim durumu]))+1)/((Personnel[Egtim durumu]="Dil egitimi tamamlandi sinavdan gecti")),ROWS($K$7:K835)),"")</f>
        <v/>
      </c>
    </row>
    <row r="836" spans="1:11" x14ac:dyDescent="0.25">
      <c r="A836" s="40" t="str">
        <f>IFERROR(INDEX(Personnel[Sicil],$K836),"")</f>
        <v/>
      </c>
      <c r="B836" s="41" t="str">
        <f>IFERROR(INDEX(Personnel[Adi Soyadi],$K836),"")</f>
        <v/>
      </c>
      <c r="C836" s="40" t="str">
        <f>IFERROR(INDEX(Personnel[Vatandaslik],$K836),"")</f>
        <v/>
      </c>
      <c r="D836" s="40" t="str">
        <f>IFERROR(INDEX(Personnel[Santiye],$K836),"")</f>
        <v/>
      </c>
      <c r="E836" s="40" t="str">
        <f>IFERROR(INDEX(Personnel[Ogretmen],$K836),"")</f>
        <v/>
      </c>
      <c r="F836" s="41" t="str">
        <f>IFERROR(INDEX(Personnel[[Sinav ]],$K836),"")</f>
        <v/>
      </c>
      <c r="G836" s="41" t="str">
        <f>IFERROR(INDEX(Personnel[Egtim durumu],$K836),"")</f>
        <v/>
      </c>
      <c r="H836" s="41" t="str">
        <f>IFERROR(INDEX(Personnel[Shohruh Not],$K836),"")</f>
        <v/>
      </c>
      <c r="I836" s="40" t="str">
        <f>IFERROR(INDEX(Personnel[Дней в РФ],$K836),"")</f>
        <v/>
      </c>
      <c r="K836" s="23" t="str">
        <f t="array" ref="K836">IFERROR(_xlfn.AGGREGATE(15,6,(ROW(Personnel[Egtim durumu])-MIN(ROW(Personnel[Egtim durumu]))+1)/((Personnel[Egtim durumu]="Dil egitimi tamamlandi sinavdan gecti")),ROWS($K$7:K836)),"")</f>
        <v/>
      </c>
    </row>
    <row r="837" spans="1:11" x14ac:dyDescent="0.25">
      <c r="A837" s="18" t="str">
        <f>IFERROR(INDEX(Personnel[Sicil],$K837),"")</f>
        <v/>
      </c>
      <c r="B837" s="17" t="str">
        <f>IFERROR(INDEX(Personnel[Adi Soyadi],$K837),"")</f>
        <v/>
      </c>
      <c r="C837" s="18" t="str">
        <f>IFERROR(INDEX(Personnel[Vatandaslik],$K837),"")</f>
        <v/>
      </c>
      <c r="D837" s="18" t="str">
        <f>IFERROR(INDEX(Personnel[Santiye],$K837),"")</f>
        <v/>
      </c>
      <c r="E837" s="18" t="str">
        <f>IFERROR(INDEX(Personnel[Ogretmen],$K837),"")</f>
        <v/>
      </c>
      <c r="F837" s="17" t="str">
        <f>IFERROR(INDEX(Personnel[[Sinav ]],$K837),"")</f>
        <v/>
      </c>
      <c r="G837" s="17" t="str">
        <f>IFERROR(INDEX(Personnel[Egtim durumu],$K837),"")</f>
        <v/>
      </c>
      <c r="H837" s="17" t="str">
        <f>IFERROR(INDEX(Personnel[Shohruh Not],$K837),"")</f>
        <v/>
      </c>
      <c r="I837" s="18" t="str">
        <f>IFERROR(INDEX(Personnel[Дней в РФ],$K837),"")</f>
        <v/>
      </c>
      <c r="K837" s="23" t="str">
        <f t="array" ref="K837">IFERROR(_xlfn.AGGREGATE(15,6,(ROW(Personnel[Egtim durumu])-MIN(ROW(Personnel[Egtim durumu]))+1)/((Personnel[Egtim durumu]="Dil egitimi tamamlandi sinavdan gecti")),ROWS($K$7:K837)),"")</f>
        <v/>
      </c>
    </row>
    <row r="838" spans="1:11" x14ac:dyDescent="0.25">
      <c r="A838" s="40" t="str">
        <f>IFERROR(INDEX(Personnel[Sicil],$K838),"")</f>
        <v/>
      </c>
      <c r="B838" s="41" t="str">
        <f>IFERROR(INDEX(Personnel[Adi Soyadi],$K838),"")</f>
        <v/>
      </c>
      <c r="C838" s="40" t="str">
        <f>IFERROR(INDEX(Personnel[Vatandaslik],$K838),"")</f>
        <v/>
      </c>
      <c r="D838" s="40" t="str">
        <f>IFERROR(INDEX(Personnel[Santiye],$K838),"")</f>
        <v/>
      </c>
      <c r="E838" s="40" t="str">
        <f>IFERROR(INDEX(Personnel[Ogretmen],$K838),"")</f>
        <v/>
      </c>
      <c r="F838" s="41" t="str">
        <f>IFERROR(INDEX(Personnel[[Sinav ]],$K838),"")</f>
        <v/>
      </c>
      <c r="G838" s="41" t="str">
        <f>IFERROR(INDEX(Personnel[Egtim durumu],$K838),"")</f>
        <v/>
      </c>
      <c r="H838" s="41" t="str">
        <f>IFERROR(INDEX(Personnel[Shohruh Not],$K838),"")</f>
        <v/>
      </c>
      <c r="I838" s="40" t="str">
        <f>IFERROR(INDEX(Personnel[Дней в РФ],$K838),"")</f>
        <v/>
      </c>
      <c r="K838" s="23" t="str">
        <f t="array" ref="K838">IFERROR(_xlfn.AGGREGATE(15,6,(ROW(Personnel[Egtim durumu])-MIN(ROW(Personnel[Egtim durumu]))+1)/((Personnel[Egtim durumu]="Dil egitimi tamamlandi sinavdan gecti")),ROWS($K$7:K838)),"")</f>
        <v/>
      </c>
    </row>
    <row r="839" spans="1:11" x14ac:dyDescent="0.25">
      <c r="A839" s="18" t="str">
        <f>IFERROR(INDEX(Personnel[Sicil],$K839),"")</f>
        <v/>
      </c>
      <c r="B839" s="17" t="str">
        <f>IFERROR(INDEX(Personnel[Adi Soyadi],$K839),"")</f>
        <v/>
      </c>
      <c r="C839" s="18" t="str">
        <f>IFERROR(INDEX(Personnel[Vatandaslik],$K839),"")</f>
        <v/>
      </c>
      <c r="D839" s="18" t="str">
        <f>IFERROR(INDEX(Personnel[Santiye],$K839),"")</f>
        <v/>
      </c>
      <c r="E839" s="18" t="str">
        <f>IFERROR(INDEX(Personnel[Ogretmen],$K839),"")</f>
        <v/>
      </c>
      <c r="F839" s="17" t="str">
        <f>IFERROR(INDEX(Personnel[[Sinav ]],$K839),"")</f>
        <v/>
      </c>
      <c r="G839" s="17" t="str">
        <f>IFERROR(INDEX(Personnel[Egtim durumu],$K839),"")</f>
        <v/>
      </c>
      <c r="H839" s="17" t="str">
        <f>IFERROR(INDEX(Personnel[Shohruh Not],$K839),"")</f>
        <v/>
      </c>
      <c r="I839" s="18" t="str">
        <f>IFERROR(INDEX(Personnel[Дней в РФ],$K839),"")</f>
        <v/>
      </c>
      <c r="K839" s="23" t="str">
        <f t="array" ref="K839">IFERROR(_xlfn.AGGREGATE(15,6,(ROW(Personnel[Egtim durumu])-MIN(ROW(Personnel[Egtim durumu]))+1)/((Personnel[Egtim durumu]="Dil egitimi tamamlandi sinavdan gecti")),ROWS($K$7:K839)),"")</f>
        <v/>
      </c>
    </row>
    <row r="840" spans="1:11" x14ac:dyDescent="0.25">
      <c r="A840" s="40" t="str">
        <f>IFERROR(INDEX(Personnel[Sicil],$K840),"")</f>
        <v/>
      </c>
      <c r="B840" s="41" t="str">
        <f>IFERROR(INDEX(Personnel[Adi Soyadi],$K840),"")</f>
        <v/>
      </c>
      <c r="C840" s="40" t="str">
        <f>IFERROR(INDEX(Personnel[Vatandaslik],$K840),"")</f>
        <v/>
      </c>
      <c r="D840" s="40" t="str">
        <f>IFERROR(INDEX(Personnel[Santiye],$K840),"")</f>
        <v/>
      </c>
      <c r="E840" s="40" t="str">
        <f>IFERROR(INDEX(Personnel[Ogretmen],$K840),"")</f>
        <v/>
      </c>
      <c r="F840" s="41" t="str">
        <f>IFERROR(INDEX(Personnel[[Sinav ]],$K840),"")</f>
        <v/>
      </c>
      <c r="G840" s="41" t="str">
        <f>IFERROR(INDEX(Personnel[Egtim durumu],$K840),"")</f>
        <v/>
      </c>
      <c r="H840" s="41" t="str">
        <f>IFERROR(INDEX(Personnel[Shohruh Not],$K840),"")</f>
        <v/>
      </c>
      <c r="I840" s="40" t="str">
        <f>IFERROR(INDEX(Personnel[Дней в РФ],$K840),"")</f>
        <v/>
      </c>
      <c r="K840" s="23" t="str">
        <f t="array" ref="K840">IFERROR(_xlfn.AGGREGATE(15,6,(ROW(Personnel[Egtim durumu])-MIN(ROW(Personnel[Egtim durumu]))+1)/((Personnel[Egtim durumu]="Dil egitimi tamamlandi sinavdan gecti")),ROWS($K$7:K840)),"")</f>
        <v/>
      </c>
    </row>
    <row r="841" spans="1:11" x14ac:dyDescent="0.25">
      <c r="A841" s="18" t="str">
        <f>IFERROR(INDEX(Personnel[Sicil],$K841),"")</f>
        <v/>
      </c>
      <c r="B841" s="17" t="str">
        <f>IFERROR(INDEX(Personnel[Adi Soyadi],$K841),"")</f>
        <v/>
      </c>
      <c r="C841" s="18" t="str">
        <f>IFERROR(INDEX(Personnel[Vatandaslik],$K841),"")</f>
        <v/>
      </c>
      <c r="D841" s="18" t="str">
        <f>IFERROR(INDEX(Personnel[Santiye],$K841),"")</f>
        <v/>
      </c>
      <c r="E841" s="18" t="str">
        <f>IFERROR(INDEX(Personnel[Ogretmen],$K841),"")</f>
        <v/>
      </c>
      <c r="F841" s="17" t="str">
        <f>IFERROR(INDEX(Personnel[[Sinav ]],$K841),"")</f>
        <v/>
      </c>
      <c r="G841" s="17" t="str">
        <f>IFERROR(INDEX(Personnel[Egtim durumu],$K841),"")</f>
        <v/>
      </c>
      <c r="H841" s="17" t="str">
        <f>IFERROR(INDEX(Personnel[Shohruh Not],$K841),"")</f>
        <v/>
      </c>
      <c r="I841" s="18" t="str">
        <f>IFERROR(INDEX(Personnel[Дней в РФ],$K841),"")</f>
        <v/>
      </c>
      <c r="K841" s="23" t="str">
        <f t="array" ref="K841">IFERROR(_xlfn.AGGREGATE(15,6,(ROW(Personnel[Egtim durumu])-MIN(ROW(Personnel[Egtim durumu]))+1)/((Personnel[Egtim durumu]="Dil egitimi tamamlandi sinavdan gecti")),ROWS($K$7:K841)),"")</f>
        <v/>
      </c>
    </row>
    <row r="842" spans="1:11" x14ac:dyDescent="0.25">
      <c r="A842" s="40" t="str">
        <f>IFERROR(INDEX(Personnel[Sicil],$K842),"")</f>
        <v/>
      </c>
      <c r="B842" s="41" t="str">
        <f>IFERROR(INDEX(Personnel[Adi Soyadi],$K842),"")</f>
        <v/>
      </c>
      <c r="C842" s="40" t="str">
        <f>IFERROR(INDEX(Personnel[Vatandaslik],$K842),"")</f>
        <v/>
      </c>
      <c r="D842" s="40" t="str">
        <f>IFERROR(INDEX(Personnel[Santiye],$K842),"")</f>
        <v/>
      </c>
      <c r="E842" s="40" t="str">
        <f>IFERROR(INDEX(Personnel[Ogretmen],$K842),"")</f>
        <v/>
      </c>
      <c r="F842" s="41" t="str">
        <f>IFERROR(INDEX(Personnel[[Sinav ]],$K842),"")</f>
        <v/>
      </c>
      <c r="G842" s="41" t="str">
        <f>IFERROR(INDEX(Personnel[Egtim durumu],$K842),"")</f>
        <v/>
      </c>
      <c r="H842" s="41" t="str">
        <f>IFERROR(INDEX(Personnel[Shohruh Not],$K842),"")</f>
        <v/>
      </c>
      <c r="I842" s="40" t="str">
        <f>IFERROR(INDEX(Personnel[Дней в РФ],$K842),"")</f>
        <v/>
      </c>
      <c r="K842" s="23" t="str">
        <f t="array" ref="K842">IFERROR(_xlfn.AGGREGATE(15,6,(ROW(Personnel[Egtim durumu])-MIN(ROW(Personnel[Egtim durumu]))+1)/((Personnel[Egtim durumu]="Dil egitimi tamamlandi sinavdan gecti")),ROWS($K$7:K842)),"")</f>
        <v/>
      </c>
    </row>
    <row r="843" spans="1:11" x14ac:dyDescent="0.25">
      <c r="A843" s="18" t="str">
        <f>IFERROR(INDEX(Personnel[Sicil],$K843),"")</f>
        <v/>
      </c>
      <c r="B843" s="17" t="str">
        <f>IFERROR(INDEX(Personnel[Adi Soyadi],$K843),"")</f>
        <v/>
      </c>
      <c r="C843" s="18" t="str">
        <f>IFERROR(INDEX(Personnel[Vatandaslik],$K843),"")</f>
        <v/>
      </c>
      <c r="D843" s="18" t="str">
        <f>IFERROR(INDEX(Personnel[Santiye],$K843),"")</f>
        <v/>
      </c>
      <c r="E843" s="18" t="str">
        <f>IFERROR(INDEX(Personnel[Ogretmen],$K843),"")</f>
        <v/>
      </c>
      <c r="F843" s="17" t="str">
        <f>IFERROR(INDEX(Personnel[[Sinav ]],$K843),"")</f>
        <v/>
      </c>
      <c r="G843" s="17" t="str">
        <f>IFERROR(INDEX(Personnel[Egtim durumu],$K843),"")</f>
        <v/>
      </c>
      <c r="H843" s="17" t="str">
        <f>IFERROR(INDEX(Personnel[Shohruh Not],$K843),"")</f>
        <v/>
      </c>
      <c r="I843" s="18" t="str">
        <f>IFERROR(INDEX(Personnel[Дней в РФ],$K843),"")</f>
        <v/>
      </c>
      <c r="K843" s="23" t="str">
        <f t="array" ref="K843">IFERROR(_xlfn.AGGREGATE(15,6,(ROW(Personnel[Egtim durumu])-MIN(ROW(Personnel[Egtim durumu]))+1)/((Personnel[Egtim durumu]="Dil egitimi tamamlandi sinavdan gecti")),ROWS($K$7:K843)),"")</f>
        <v/>
      </c>
    </row>
    <row r="844" spans="1:11" x14ac:dyDescent="0.25">
      <c r="A844" s="40" t="str">
        <f>IFERROR(INDEX(Personnel[Sicil],$K844),"")</f>
        <v/>
      </c>
      <c r="B844" s="41" t="str">
        <f>IFERROR(INDEX(Personnel[Adi Soyadi],$K844),"")</f>
        <v/>
      </c>
      <c r="C844" s="40" t="str">
        <f>IFERROR(INDEX(Personnel[Vatandaslik],$K844),"")</f>
        <v/>
      </c>
      <c r="D844" s="40" t="str">
        <f>IFERROR(INDEX(Personnel[Santiye],$K844),"")</f>
        <v/>
      </c>
      <c r="E844" s="40" t="str">
        <f>IFERROR(INDEX(Personnel[Ogretmen],$K844),"")</f>
        <v/>
      </c>
      <c r="F844" s="41" t="str">
        <f>IFERROR(INDEX(Personnel[[Sinav ]],$K844),"")</f>
        <v/>
      </c>
      <c r="G844" s="41" t="str">
        <f>IFERROR(INDEX(Personnel[Egtim durumu],$K844),"")</f>
        <v/>
      </c>
      <c r="H844" s="41" t="str">
        <f>IFERROR(INDEX(Personnel[Shohruh Not],$K844),"")</f>
        <v/>
      </c>
      <c r="I844" s="40" t="str">
        <f>IFERROR(INDEX(Personnel[Дней в РФ],$K844),"")</f>
        <v/>
      </c>
      <c r="K844" s="23" t="str">
        <f t="array" ref="K844">IFERROR(_xlfn.AGGREGATE(15,6,(ROW(Personnel[Egtim durumu])-MIN(ROW(Personnel[Egtim durumu]))+1)/((Personnel[Egtim durumu]="Dil egitimi tamamlandi sinavdan gecti")),ROWS($K$7:K844)),"")</f>
        <v/>
      </c>
    </row>
    <row r="845" spans="1:11" x14ac:dyDescent="0.25">
      <c r="A845" s="18" t="str">
        <f>IFERROR(INDEX(Personnel[Sicil],$K845),"")</f>
        <v/>
      </c>
      <c r="B845" s="17" t="str">
        <f>IFERROR(INDEX(Personnel[Adi Soyadi],$K845),"")</f>
        <v/>
      </c>
      <c r="C845" s="18" t="str">
        <f>IFERROR(INDEX(Personnel[Vatandaslik],$K845),"")</f>
        <v/>
      </c>
      <c r="D845" s="18" t="str">
        <f>IFERROR(INDEX(Personnel[Santiye],$K845),"")</f>
        <v/>
      </c>
      <c r="E845" s="18" t="str">
        <f>IFERROR(INDEX(Personnel[Ogretmen],$K845),"")</f>
        <v/>
      </c>
      <c r="F845" s="17" t="str">
        <f>IFERROR(INDEX(Personnel[[Sinav ]],$K845),"")</f>
        <v/>
      </c>
      <c r="G845" s="17" t="str">
        <f>IFERROR(INDEX(Personnel[Egtim durumu],$K845),"")</f>
        <v/>
      </c>
      <c r="H845" s="17" t="str">
        <f>IFERROR(INDEX(Personnel[Shohruh Not],$K845),"")</f>
        <v/>
      </c>
      <c r="I845" s="18" t="str">
        <f>IFERROR(INDEX(Personnel[Дней в РФ],$K845),"")</f>
        <v/>
      </c>
      <c r="K845" s="23" t="str">
        <f t="array" ref="K845">IFERROR(_xlfn.AGGREGATE(15,6,(ROW(Personnel[Egtim durumu])-MIN(ROW(Personnel[Egtim durumu]))+1)/((Personnel[Egtim durumu]="Dil egitimi tamamlandi sinavdan gecti")),ROWS($K$7:K845)),"")</f>
        <v/>
      </c>
    </row>
    <row r="846" spans="1:11" x14ac:dyDescent="0.25">
      <c r="A846" s="40" t="str">
        <f>IFERROR(INDEX(Personnel[Sicil],$K846),"")</f>
        <v/>
      </c>
      <c r="B846" s="41" t="str">
        <f>IFERROR(INDEX(Personnel[Adi Soyadi],$K846),"")</f>
        <v/>
      </c>
      <c r="C846" s="40" t="str">
        <f>IFERROR(INDEX(Personnel[Vatandaslik],$K846),"")</f>
        <v/>
      </c>
      <c r="D846" s="40" t="str">
        <f>IFERROR(INDEX(Personnel[Santiye],$K846),"")</f>
        <v/>
      </c>
      <c r="E846" s="40" t="str">
        <f>IFERROR(INDEX(Personnel[Ogretmen],$K846),"")</f>
        <v/>
      </c>
      <c r="F846" s="41" t="str">
        <f>IFERROR(INDEX(Personnel[[Sinav ]],$K846),"")</f>
        <v/>
      </c>
      <c r="G846" s="41" t="str">
        <f>IFERROR(INDEX(Personnel[Egtim durumu],$K846),"")</f>
        <v/>
      </c>
      <c r="H846" s="41" t="str">
        <f>IFERROR(INDEX(Personnel[Shohruh Not],$K846),"")</f>
        <v/>
      </c>
      <c r="I846" s="40" t="str">
        <f>IFERROR(INDEX(Personnel[Дней в РФ],$K846),"")</f>
        <v/>
      </c>
      <c r="K846" s="23" t="str">
        <f t="array" ref="K846">IFERROR(_xlfn.AGGREGATE(15,6,(ROW(Personnel[Egtim durumu])-MIN(ROW(Personnel[Egtim durumu]))+1)/((Personnel[Egtim durumu]="Dil egitimi tamamlandi sinavdan gecti")),ROWS($K$7:K846)),"")</f>
        <v/>
      </c>
    </row>
    <row r="847" spans="1:11" x14ac:dyDescent="0.25">
      <c r="A847" s="18" t="str">
        <f>IFERROR(INDEX(Personnel[Sicil],$K847),"")</f>
        <v/>
      </c>
      <c r="B847" s="17" t="str">
        <f>IFERROR(INDEX(Personnel[Adi Soyadi],$K847),"")</f>
        <v/>
      </c>
      <c r="C847" s="18" t="str">
        <f>IFERROR(INDEX(Personnel[Vatandaslik],$K847),"")</f>
        <v/>
      </c>
      <c r="D847" s="18" t="str">
        <f>IFERROR(INDEX(Personnel[Santiye],$K847),"")</f>
        <v/>
      </c>
      <c r="E847" s="18" t="str">
        <f>IFERROR(INDEX(Personnel[Ogretmen],$K847),"")</f>
        <v/>
      </c>
      <c r="F847" s="17" t="str">
        <f>IFERROR(INDEX(Personnel[[Sinav ]],$K847),"")</f>
        <v/>
      </c>
      <c r="G847" s="17" t="str">
        <f>IFERROR(INDEX(Personnel[Egtim durumu],$K847),"")</f>
        <v/>
      </c>
      <c r="H847" s="17" t="str">
        <f>IFERROR(INDEX(Personnel[Shohruh Not],$K847),"")</f>
        <v/>
      </c>
      <c r="I847" s="18" t="str">
        <f>IFERROR(INDEX(Personnel[Дней в РФ],$K847),"")</f>
        <v/>
      </c>
      <c r="K847" s="23" t="str">
        <f t="array" ref="K847">IFERROR(_xlfn.AGGREGATE(15,6,(ROW(Personnel[Egtim durumu])-MIN(ROW(Personnel[Egtim durumu]))+1)/((Personnel[Egtim durumu]="Dil egitimi tamamlandi sinavdan gecti")),ROWS($K$7:K847)),"")</f>
        <v/>
      </c>
    </row>
    <row r="848" spans="1:11" x14ac:dyDescent="0.25">
      <c r="A848" s="40" t="str">
        <f>IFERROR(INDEX(Personnel[Sicil],$K848),"")</f>
        <v/>
      </c>
      <c r="B848" s="41" t="str">
        <f>IFERROR(INDEX(Personnel[Adi Soyadi],$K848),"")</f>
        <v/>
      </c>
      <c r="C848" s="40" t="str">
        <f>IFERROR(INDEX(Personnel[Vatandaslik],$K848),"")</f>
        <v/>
      </c>
      <c r="D848" s="40" t="str">
        <f>IFERROR(INDEX(Personnel[Santiye],$K848),"")</f>
        <v/>
      </c>
      <c r="E848" s="40" t="str">
        <f>IFERROR(INDEX(Personnel[Ogretmen],$K848),"")</f>
        <v/>
      </c>
      <c r="F848" s="41" t="str">
        <f>IFERROR(INDEX(Personnel[[Sinav ]],$K848),"")</f>
        <v/>
      </c>
      <c r="G848" s="41" t="str">
        <f>IFERROR(INDEX(Personnel[Egtim durumu],$K848),"")</f>
        <v/>
      </c>
      <c r="H848" s="41" t="str">
        <f>IFERROR(INDEX(Personnel[Shohruh Not],$K848),"")</f>
        <v/>
      </c>
      <c r="I848" s="40" t="str">
        <f>IFERROR(INDEX(Personnel[Дней в РФ],$K848),"")</f>
        <v/>
      </c>
      <c r="K848" s="23" t="str">
        <f t="array" ref="K848">IFERROR(_xlfn.AGGREGATE(15,6,(ROW(Personnel[Egtim durumu])-MIN(ROW(Personnel[Egtim durumu]))+1)/((Personnel[Egtim durumu]="Dil egitimi tamamlandi sinavdan gecti")),ROWS($K$7:K848)),"")</f>
        <v/>
      </c>
    </row>
    <row r="849" spans="1:11" x14ac:dyDescent="0.25">
      <c r="A849" s="18" t="str">
        <f>IFERROR(INDEX(Personnel[Sicil],$K849),"")</f>
        <v/>
      </c>
      <c r="B849" s="17" t="str">
        <f>IFERROR(INDEX(Personnel[Adi Soyadi],$K849),"")</f>
        <v/>
      </c>
      <c r="C849" s="18" t="str">
        <f>IFERROR(INDEX(Personnel[Vatandaslik],$K849),"")</f>
        <v/>
      </c>
      <c r="D849" s="18" t="str">
        <f>IFERROR(INDEX(Personnel[Santiye],$K849),"")</f>
        <v/>
      </c>
      <c r="E849" s="18" t="str">
        <f>IFERROR(INDEX(Personnel[Ogretmen],$K849),"")</f>
        <v/>
      </c>
      <c r="F849" s="17" t="str">
        <f>IFERROR(INDEX(Personnel[[Sinav ]],$K849),"")</f>
        <v/>
      </c>
      <c r="G849" s="17" t="str">
        <f>IFERROR(INDEX(Personnel[Egtim durumu],$K849),"")</f>
        <v/>
      </c>
      <c r="H849" s="17" t="str">
        <f>IFERROR(INDEX(Personnel[Shohruh Not],$K849),"")</f>
        <v/>
      </c>
      <c r="I849" s="18" t="str">
        <f>IFERROR(INDEX(Personnel[Дней в РФ],$K849),"")</f>
        <v/>
      </c>
      <c r="K849" s="23" t="str">
        <f t="array" ref="K849">IFERROR(_xlfn.AGGREGATE(15,6,(ROW(Personnel[Egtim durumu])-MIN(ROW(Personnel[Egtim durumu]))+1)/((Personnel[Egtim durumu]="Dil egitimi tamamlandi sinavdan gecti")),ROWS($K$7:K849)),"")</f>
        <v/>
      </c>
    </row>
    <row r="850" spans="1:11" x14ac:dyDescent="0.25">
      <c r="A850" s="40" t="str">
        <f>IFERROR(INDEX(Personnel[Sicil],$K850),"")</f>
        <v/>
      </c>
      <c r="B850" s="41" t="str">
        <f>IFERROR(INDEX(Personnel[Adi Soyadi],$K850),"")</f>
        <v/>
      </c>
      <c r="C850" s="40" t="str">
        <f>IFERROR(INDEX(Personnel[Vatandaslik],$K850),"")</f>
        <v/>
      </c>
      <c r="D850" s="40" t="str">
        <f>IFERROR(INDEX(Personnel[Santiye],$K850),"")</f>
        <v/>
      </c>
      <c r="E850" s="40" t="str">
        <f>IFERROR(INDEX(Personnel[Ogretmen],$K850),"")</f>
        <v/>
      </c>
      <c r="F850" s="41" t="str">
        <f>IFERROR(INDEX(Personnel[[Sinav ]],$K850),"")</f>
        <v/>
      </c>
      <c r="G850" s="41" t="str">
        <f>IFERROR(INDEX(Personnel[Egtim durumu],$K850),"")</f>
        <v/>
      </c>
      <c r="H850" s="41" t="str">
        <f>IFERROR(INDEX(Personnel[Shohruh Not],$K850),"")</f>
        <v/>
      </c>
      <c r="I850" s="40" t="str">
        <f>IFERROR(INDEX(Personnel[Дней в РФ],$K850),"")</f>
        <v/>
      </c>
      <c r="K850" s="23" t="str">
        <f t="array" ref="K850">IFERROR(_xlfn.AGGREGATE(15,6,(ROW(Personnel[Egtim durumu])-MIN(ROW(Personnel[Egtim durumu]))+1)/((Personnel[Egtim durumu]="Dil egitimi tamamlandi sinavdan gecti")),ROWS($K$7:K850)),"")</f>
        <v/>
      </c>
    </row>
    <row r="851" spans="1:11" x14ac:dyDescent="0.25">
      <c r="A851" s="18" t="str">
        <f>IFERROR(INDEX(Personnel[Sicil],$K851),"")</f>
        <v/>
      </c>
      <c r="B851" s="17" t="str">
        <f>IFERROR(INDEX(Personnel[Adi Soyadi],$K851),"")</f>
        <v/>
      </c>
      <c r="C851" s="18" t="str">
        <f>IFERROR(INDEX(Personnel[Vatandaslik],$K851),"")</f>
        <v/>
      </c>
      <c r="D851" s="18" t="str">
        <f>IFERROR(INDEX(Personnel[Santiye],$K851),"")</f>
        <v/>
      </c>
      <c r="E851" s="18" t="str">
        <f>IFERROR(INDEX(Personnel[Ogretmen],$K851),"")</f>
        <v/>
      </c>
      <c r="F851" s="17" t="str">
        <f>IFERROR(INDEX(Personnel[[Sinav ]],$K851),"")</f>
        <v/>
      </c>
      <c r="G851" s="17" t="str">
        <f>IFERROR(INDEX(Personnel[Egtim durumu],$K851),"")</f>
        <v/>
      </c>
      <c r="H851" s="17" t="str">
        <f>IFERROR(INDEX(Personnel[Shohruh Not],$K851),"")</f>
        <v/>
      </c>
      <c r="I851" s="18" t="str">
        <f>IFERROR(INDEX(Personnel[Дней в РФ],$K851),"")</f>
        <v/>
      </c>
      <c r="K851" s="23" t="str">
        <f t="array" ref="K851">IFERROR(_xlfn.AGGREGATE(15,6,(ROW(Personnel[Egtim durumu])-MIN(ROW(Personnel[Egtim durumu]))+1)/((Personnel[Egtim durumu]="Dil egitimi tamamlandi sinavdan gecti")),ROWS($K$7:K851)),"")</f>
        <v/>
      </c>
    </row>
    <row r="852" spans="1:11" x14ac:dyDescent="0.25">
      <c r="A852" s="40" t="str">
        <f>IFERROR(INDEX(Personnel[Sicil],$K852),"")</f>
        <v/>
      </c>
      <c r="B852" s="41" t="str">
        <f>IFERROR(INDEX(Personnel[Adi Soyadi],$K852),"")</f>
        <v/>
      </c>
      <c r="C852" s="40" t="str">
        <f>IFERROR(INDEX(Personnel[Vatandaslik],$K852),"")</f>
        <v/>
      </c>
      <c r="D852" s="40" t="str">
        <f>IFERROR(INDEX(Personnel[Santiye],$K852),"")</f>
        <v/>
      </c>
      <c r="E852" s="40" t="str">
        <f>IFERROR(INDEX(Personnel[Ogretmen],$K852),"")</f>
        <v/>
      </c>
      <c r="F852" s="41" t="str">
        <f>IFERROR(INDEX(Personnel[[Sinav ]],$K852),"")</f>
        <v/>
      </c>
      <c r="G852" s="41" t="str">
        <f>IFERROR(INDEX(Personnel[Egtim durumu],$K852),"")</f>
        <v/>
      </c>
      <c r="H852" s="41" t="str">
        <f>IFERROR(INDEX(Personnel[Shohruh Not],$K852),"")</f>
        <v/>
      </c>
      <c r="I852" s="40" t="str">
        <f>IFERROR(INDEX(Personnel[Дней в РФ],$K852),"")</f>
        <v/>
      </c>
      <c r="K852" s="23" t="str">
        <f t="array" ref="K852">IFERROR(_xlfn.AGGREGATE(15,6,(ROW(Personnel[Egtim durumu])-MIN(ROW(Personnel[Egtim durumu]))+1)/((Personnel[Egtim durumu]="Dil egitimi tamamlandi sinavdan gecti")),ROWS($K$7:K852)),"")</f>
        <v/>
      </c>
    </row>
    <row r="853" spans="1:11" x14ac:dyDescent="0.25">
      <c r="A853" s="18" t="str">
        <f>IFERROR(INDEX(Personnel[Sicil],$K853),"")</f>
        <v/>
      </c>
      <c r="B853" s="17" t="str">
        <f>IFERROR(INDEX(Personnel[Adi Soyadi],$K853),"")</f>
        <v/>
      </c>
      <c r="C853" s="18" t="str">
        <f>IFERROR(INDEX(Personnel[Vatandaslik],$K853),"")</f>
        <v/>
      </c>
      <c r="D853" s="18" t="str">
        <f>IFERROR(INDEX(Personnel[Santiye],$K853),"")</f>
        <v/>
      </c>
      <c r="E853" s="18" t="str">
        <f>IFERROR(INDEX(Personnel[Ogretmen],$K853),"")</f>
        <v/>
      </c>
      <c r="F853" s="17" t="str">
        <f>IFERROR(INDEX(Personnel[[Sinav ]],$K853),"")</f>
        <v/>
      </c>
      <c r="G853" s="17" t="str">
        <f>IFERROR(INDEX(Personnel[Egtim durumu],$K853),"")</f>
        <v/>
      </c>
      <c r="H853" s="17" t="str">
        <f>IFERROR(INDEX(Personnel[Shohruh Not],$K853),"")</f>
        <v/>
      </c>
      <c r="I853" s="18" t="str">
        <f>IFERROR(INDEX(Personnel[Дней в РФ],$K853),"")</f>
        <v/>
      </c>
      <c r="K853" s="23" t="str">
        <f t="array" ref="K853">IFERROR(_xlfn.AGGREGATE(15,6,(ROW(Personnel[Egtim durumu])-MIN(ROW(Personnel[Egtim durumu]))+1)/((Personnel[Egtim durumu]="Dil egitimi tamamlandi sinavdan gecti")),ROWS($K$7:K853)),"")</f>
        <v/>
      </c>
    </row>
    <row r="854" spans="1:11" x14ac:dyDescent="0.25">
      <c r="A854" s="40" t="str">
        <f>IFERROR(INDEX(Personnel[Sicil],$K854),"")</f>
        <v/>
      </c>
      <c r="B854" s="41" t="str">
        <f>IFERROR(INDEX(Personnel[Adi Soyadi],$K854),"")</f>
        <v/>
      </c>
      <c r="C854" s="40" t="str">
        <f>IFERROR(INDEX(Personnel[Vatandaslik],$K854),"")</f>
        <v/>
      </c>
      <c r="D854" s="40" t="str">
        <f>IFERROR(INDEX(Personnel[Santiye],$K854),"")</f>
        <v/>
      </c>
      <c r="E854" s="40" t="str">
        <f>IFERROR(INDEX(Personnel[Ogretmen],$K854),"")</f>
        <v/>
      </c>
      <c r="F854" s="41" t="str">
        <f>IFERROR(INDEX(Personnel[[Sinav ]],$K854),"")</f>
        <v/>
      </c>
      <c r="G854" s="41" t="str">
        <f>IFERROR(INDEX(Personnel[Egtim durumu],$K854),"")</f>
        <v/>
      </c>
      <c r="H854" s="41" t="str">
        <f>IFERROR(INDEX(Personnel[Shohruh Not],$K854),"")</f>
        <v/>
      </c>
      <c r="I854" s="40" t="str">
        <f>IFERROR(INDEX(Personnel[Дней в РФ],$K854),"")</f>
        <v/>
      </c>
      <c r="K854" s="23" t="str">
        <f t="array" ref="K854">IFERROR(_xlfn.AGGREGATE(15,6,(ROW(Personnel[Egtim durumu])-MIN(ROW(Personnel[Egtim durumu]))+1)/((Personnel[Egtim durumu]="Dil egitimi tamamlandi sinavdan gecti")),ROWS($K$7:K854)),"")</f>
        <v/>
      </c>
    </row>
    <row r="855" spans="1:11" x14ac:dyDescent="0.25">
      <c r="A855" s="18" t="str">
        <f>IFERROR(INDEX(Personnel[Sicil],$K855),"")</f>
        <v/>
      </c>
      <c r="B855" s="17" t="str">
        <f>IFERROR(INDEX(Personnel[Adi Soyadi],$K855),"")</f>
        <v/>
      </c>
      <c r="C855" s="18" t="str">
        <f>IFERROR(INDEX(Personnel[Vatandaslik],$K855),"")</f>
        <v/>
      </c>
      <c r="D855" s="18" t="str">
        <f>IFERROR(INDEX(Personnel[Santiye],$K855),"")</f>
        <v/>
      </c>
      <c r="E855" s="18" t="str">
        <f>IFERROR(INDEX(Personnel[Ogretmen],$K855),"")</f>
        <v/>
      </c>
      <c r="F855" s="17" t="str">
        <f>IFERROR(INDEX(Personnel[[Sinav ]],$K855),"")</f>
        <v/>
      </c>
      <c r="G855" s="17" t="str">
        <f>IFERROR(INDEX(Personnel[Egtim durumu],$K855),"")</f>
        <v/>
      </c>
      <c r="H855" s="17" t="str">
        <f>IFERROR(INDEX(Personnel[Shohruh Not],$K855),"")</f>
        <v/>
      </c>
      <c r="I855" s="18" t="str">
        <f>IFERROR(INDEX(Personnel[Дней в РФ],$K855),"")</f>
        <v/>
      </c>
      <c r="K855" s="23" t="str">
        <f t="array" ref="K855">IFERROR(_xlfn.AGGREGATE(15,6,(ROW(Personnel[Egtim durumu])-MIN(ROW(Personnel[Egtim durumu]))+1)/((Personnel[Egtim durumu]="Dil egitimi tamamlandi sinavdan gecti")),ROWS($K$7:K855)),"")</f>
        <v/>
      </c>
    </row>
    <row r="856" spans="1:11" x14ac:dyDescent="0.25">
      <c r="A856" s="40" t="str">
        <f>IFERROR(INDEX(Personnel[Sicil],$K856),"")</f>
        <v/>
      </c>
      <c r="B856" s="41" t="str">
        <f>IFERROR(INDEX(Personnel[Adi Soyadi],$K856),"")</f>
        <v/>
      </c>
      <c r="C856" s="40" t="str">
        <f>IFERROR(INDEX(Personnel[Vatandaslik],$K856),"")</f>
        <v/>
      </c>
      <c r="D856" s="40" t="str">
        <f>IFERROR(INDEX(Personnel[Santiye],$K856),"")</f>
        <v/>
      </c>
      <c r="E856" s="40" t="str">
        <f>IFERROR(INDEX(Personnel[Ogretmen],$K856),"")</f>
        <v/>
      </c>
      <c r="F856" s="41" t="str">
        <f>IFERROR(INDEX(Personnel[[Sinav ]],$K856),"")</f>
        <v/>
      </c>
      <c r="G856" s="41" t="str">
        <f>IFERROR(INDEX(Personnel[Egtim durumu],$K856),"")</f>
        <v/>
      </c>
      <c r="H856" s="41" t="str">
        <f>IFERROR(INDEX(Personnel[Shohruh Not],$K856),"")</f>
        <v/>
      </c>
      <c r="I856" s="40" t="str">
        <f>IFERROR(INDEX(Personnel[Дней в РФ],$K856),"")</f>
        <v/>
      </c>
      <c r="K856" s="23" t="str">
        <f t="array" ref="K856">IFERROR(_xlfn.AGGREGATE(15,6,(ROW(Personnel[Egtim durumu])-MIN(ROW(Personnel[Egtim durumu]))+1)/((Personnel[Egtim durumu]="Dil egitimi tamamlandi sinavdan gecti")),ROWS($K$7:K856)),"")</f>
        <v/>
      </c>
    </row>
    <row r="857" spans="1:11" x14ac:dyDescent="0.25">
      <c r="A857" s="18" t="str">
        <f>IFERROR(INDEX(Personnel[Sicil],$K857),"")</f>
        <v/>
      </c>
      <c r="B857" s="17" t="str">
        <f>IFERROR(INDEX(Personnel[Adi Soyadi],$K857),"")</f>
        <v/>
      </c>
      <c r="C857" s="18" t="str">
        <f>IFERROR(INDEX(Personnel[Vatandaslik],$K857),"")</f>
        <v/>
      </c>
      <c r="D857" s="18" t="str">
        <f>IFERROR(INDEX(Personnel[Santiye],$K857),"")</f>
        <v/>
      </c>
      <c r="E857" s="18" t="str">
        <f>IFERROR(INDEX(Personnel[Ogretmen],$K857),"")</f>
        <v/>
      </c>
      <c r="F857" s="17" t="str">
        <f>IFERROR(INDEX(Personnel[[Sinav ]],$K857),"")</f>
        <v/>
      </c>
      <c r="G857" s="17" t="str">
        <f>IFERROR(INDEX(Personnel[Egtim durumu],$K857),"")</f>
        <v/>
      </c>
      <c r="H857" s="17" t="str">
        <f>IFERROR(INDEX(Personnel[Shohruh Not],$K857),"")</f>
        <v/>
      </c>
      <c r="I857" s="18" t="str">
        <f>IFERROR(INDEX(Personnel[Дней в РФ],$K857),"")</f>
        <v/>
      </c>
      <c r="K857" s="23" t="str">
        <f t="array" ref="K857">IFERROR(_xlfn.AGGREGATE(15,6,(ROW(Personnel[Egtim durumu])-MIN(ROW(Personnel[Egtim durumu]))+1)/((Personnel[Egtim durumu]="Dil egitimi tamamlandi sinavdan gecti")),ROWS($K$7:K857)),"")</f>
        <v/>
      </c>
    </row>
    <row r="858" spans="1:11" x14ac:dyDescent="0.25">
      <c r="A858" s="40" t="str">
        <f>IFERROR(INDEX(Personnel[Sicil],$K858),"")</f>
        <v/>
      </c>
      <c r="B858" s="41" t="str">
        <f>IFERROR(INDEX(Personnel[Adi Soyadi],$K858),"")</f>
        <v/>
      </c>
      <c r="C858" s="40" t="str">
        <f>IFERROR(INDEX(Personnel[Vatandaslik],$K858),"")</f>
        <v/>
      </c>
      <c r="D858" s="40" t="str">
        <f>IFERROR(INDEX(Personnel[Santiye],$K858),"")</f>
        <v/>
      </c>
      <c r="E858" s="40" t="str">
        <f>IFERROR(INDEX(Personnel[Ogretmen],$K858),"")</f>
        <v/>
      </c>
      <c r="F858" s="41" t="str">
        <f>IFERROR(INDEX(Personnel[[Sinav ]],$K858),"")</f>
        <v/>
      </c>
      <c r="G858" s="41" t="str">
        <f>IFERROR(INDEX(Personnel[Egtim durumu],$K858),"")</f>
        <v/>
      </c>
      <c r="H858" s="41" t="str">
        <f>IFERROR(INDEX(Personnel[Shohruh Not],$K858),"")</f>
        <v/>
      </c>
      <c r="I858" s="40" t="str">
        <f>IFERROR(INDEX(Personnel[Дней в РФ],$K858),"")</f>
        <v/>
      </c>
      <c r="K858" s="23" t="str">
        <f t="array" ref="K858">IFERROR(_xlfn.AGGREGATE(15,6,(ROW(Personnel[Egtim durumu])-MIN(ROW(Personnel[Egtim durumu]))+1)/((Personnel[Egtim durumu]="Dil egitimi tamamlandi sinavdan gecti")),ROWS($K$7:K858)),"")</f>
        <v/>
      </c>
    </row>
    <row r="859" spans="1:11" x14ac:dyDescent="0.25">
      <c r="A859" s="18" t="str">
        <f>IFERROR(INDEX(Personnel[Sicil],$K859),"")</f>
        <v/>
      </c>
      <c r="B859" s="17" t="str">
        <f>IFERROR(INDEX(Personnel[Adi Soyadi],$K859),"")</f>
        <v/>
      </c>
      <c r="C859" s="18" t="str">
        <f>IFERROR(INDEX(Personnel[Vatandaslik],$K859),"")</f>
        <v/>
      </c>
      <c r="D859" s="18" t="str">
        <f>IFERROR(INDEX(Personnel[Santiye],$K859),"")</f>
        <v/>
      </c>
      <c r="E859" s="18" t="str">
        <f>IFERROR(INDEX(Personnel[Ogretmen],$K859),"")</f>
        <v/>
      </c>
      <c r="F859" s="17" t="str">
        <f>IFERROR(INDEX(Personnel[[Sinav ]],$K859),"")</f>
        <v/>
      </c>
      <c r="G859" s="17" t="str">
        <f>IFERROR(INDEX(Personnel[Egtim durumu],$K859),"")</f>
        <v/>
      </c>
      <c r="H859" s="17" t="str">
        <f>IFERROR(INDEX(Personnel[Shohruh Not],$K859),"")</f>
        <v/>
      </c>
      <c r="I859" s="18" t="str">
        <f>IFERROR(INDEX(Personnel[Дней в РФ],$K859),"")</f>
        <v/>
      </c>
      <c r="K859" s="23" t="str">
        <f t="array" ref="K859">IFERROR(_xlfn.AGGREGATE(15,6,(ROW(Personnel[Egtim durumu])-MIN(ROW(Personnel[Egtim durumu]))+1)/((Personnel[Egtim durumu]="Dil egitimi tamamlandi sinavdan gecti")),ROWS($K$7:K859)),"")</f>
        <v/>
      </c>
    </row>
    <row r="860" spans="1:11" x14ac:dyDescent="0.25">
      <c r="A860" s="40" t="str">
        <f>IFERROR(INDEX(Personnel[Sicil],$K860),"")</f>
        <v/>
      </c>
      <c r="B860" s="41" t="str">
        <f>IFERROR(INDEX(Personnel[Adi Soyadi],$K860),"")</f>
        <v/>
      </c>
      <c r="C860" s="40" t="str">
        <f>IFERROR(INDEX(Personnel[Vatandaslik],$K860),"")</f>
        <v/>
      </c>
      <c r="D860" s="40" t="str">
        <f>IFERROR(INDEX(Personnel[Santiye],$K860),"")</f>
        <v/>
      </c>
      <c r="E860" s="40" t="str">
        <f>IFERROR(INDEX(Personnel[Ogretmen],$K860),"")</f>
        <v/>
      </c>
      <c r="F860" s="41" t="str">
        <f>IFERROR(INDEX(Personnel[[Sinav ]],$K860),"")</f>
        <v/>
      </c>
      <c r="G860" s="41" t="str">
        <f>IFERROR(INDEX(Personnel[Egtim durumu],$K860),"")</f>
        <v/>
      </c>
      <c r="H860" s="41" t="str">
        <f>IFERROR(INDEX(Personnel[Shohruh Not],$K860),"")</f>
        <v/>
      </c>
      <c r="I860" s="40" t="str">
        <f>IFERROR(INDEX(Personnel[Дней в РФ],$K860),"")</f>
        <v/>
      </c>
      <c r="K860" s="23" t="str">
        <f t="array" ref="K860">IFERROR(_xlfn.AGGREGATE(15,6,(ROW(Personnel[Egtim durumu])-MIN(ROW(Personnel[Egtim durumu]))+1)/((Personnel[Egtim durumu]="Dil egitimi tamamlandi sinavdan gecti")),ROWS($K$7:K860)),"")</f>
        <v/>
      </c>
    </row>
    <row r="861" spans="1:11" x14ac:dyDescent="0.25">
      <c r="A861" s="18" t="str">
        <f>IFERROR(INDEX(Personnel[Sicil],$K861),"")</f>
        <v/>
      </c>
      <c r="B861" s="17" t="str">
        <f>IFERROR(INDEX(Personnel[Adi Soyadi],$K861),"")</f>
        <v/>
      </c>
      <c r="C861" s="18" t="str">
        <f>IFERROR(INDEX(Personnel[Vatandaslik],$K861),"")</f>
        <v/>
      </c>
      <c r="D861" s="18" t="str">
        <f>IFERROR(INDEX(Personnel[Santiye],$K861),"")</f>
        <v/>
      </c>
      <c r="E861" s="18" t="str">
        <f>IFERROR(INDEX(Personnel[Ogretmen],$K861),"")</f>
        <v/>
      </c>
      <c r="F861" s="17" t="str">
        <f>IFERROR(INDEX(Personnel[[Sinav ]],$K861),"")</f>
        <v/>
      </c>
      <c r="G861" s="17" t="str">
        <f>IFERROR(INDEX(Personnel[Egtim durumu],$K861),"")</f>
        <v/>
      </c>
      <c r="H861" s="17" t="str">
        <f>IFERROR(INDEX(Personnel[Shohruh Not],$K861),"")</f>
        <v/>
      </c>
      <c r="I861" s="18" t="str">
        <f>IFERROR(INDEX(Personnel[Дней в РФ],$K861),"")</f>
        <v/>
      </c>
      <c r="K861" s="23" t="str">
        <f t="array" ref="K861">IFERROR(_xlfn.AGGREGATE(15,6,(ROW(Personnel[Egtim durumu])-MIN(ROW(Personnel[Egtim durumu]))+1)/((Personnel[Egtim durumu]="Dil egitimi tamamlandi sinavdan gecti")),ROWS($K$7:K861)),"")</f>
        <v/>
      </c>
    </row>
    <row r="862" spans="1:11" x14ac:dyDescent="0.25">
      <c r="A862" s="40" t="str">
        <f>IFERROR(INDEX(Personnel[Sicil],$K862),"")</f>
        <v/>
      </c>
      <c r="B862" s="41" t="str">
        <f>IFERROR(INDEX(Personnel[Adi Soyadi],$K862),"")</f>
        <v/>
      </c>
      <c r="C862" s="40" t="str">
        <f>IFERROR(INDEX(Personnel[Vatandaslik],$K862),"")</f>
        <v/>
      </c>
      <c r="D862" s="40" t="str">
        <f>IFERROR(INDEX(Personnel[Santiye],$K862),"")</f>
        <v/>
      </c>
      <c r="E862" s="40" t="str">
        <f>IFERROR(INDEX(Personnel[Ogretmen],$K862),"")</f>
        <v/>
      </c>
      <c r="F862" s="41" t="str">
        <f>IFERROR(INDEX(Personnel[[Sinav ]],$K862),"")</f>
        <v/>
      </c>
      <c r="G862" s="41" t="str">
        <f>IFERROR(INDEX(Personnel[Egtim durumu],$K862),"")</f>
        <v/>
      </c>
      <c r="H862" s="41" t="str">
        <f>IFERROR(INDEX(Personnel[Shohruh Not],$K862),"")</f>
        <v/>
      </c>
      <c r="I862" s="40" t="str">
        <f>IFERROR(INDEX(Personnel[Дней в РФ],$K862),"")</f>
        <v/>
      </c>
      <c r="K862" s="23" t="str">
        <f t="array" ref="K862">IFERROR(_xlfn.AGGREGATE(15,6,(ROW(Personnel[Egtim durumu])-MIN(ROW(Personnel[Egtim durumu]))+1)/((Personnel[Egtim durumu]="Dil egitimi tamamlandi sinavdan gecti")),ROWS($K$7:K862)),"")</f>
        <v/>
      </c>
    </row>
    <row r="863" spans="1:11" x14ac:dyDescent="0.25">
      <c r="A863" s="18" t="str">
        <f>IFERROR(INDEX(Personnel[Sicil],$K863),"")</f>
        <v/>
      </c>
      <c r="B863" s="17" t="str">
        <f>IFERROR(INDEX(Personnel[Adi Soyadi],$K863),"")</f>
        <v/>
      </c>
      <c r="C863" s="18" t="str">
        <f>IFERROR(INDEX(Personnel[Vatandaslik],$K863),"")</f>
        <v/>
      </c>
      <c r="D863" s="18" t="str">
        <f>IFERROR(INDEX(Personnel[Santiye],$K863),"")</f>
        <v/>
      </c>
      <c r="E863" s="18" t="str">
        <f>IFERROR(INDEX(Personnel[Ogretmen],$K863),"")</f>
        <v/>
      </c>
      <c r="F863" s="17" t="str">
        <f>IFERROR(INDEX(Personnel[[Sinav ]],$K863),"")</f>
        <v/>
      </c>
      <c r="G863" s="17" t="str">
        <f>IFERROR(INDEX(Personnel[Egtim durumu],$K863),"")</f>
        <v/>
      </c>
      <c r="H863" s="17" t="str">
        <f>IFERROR(INDEX(Personnel[Shohruh Not],$K863),"")</f>
        <v/>
      </c>
      <c r="I863" s="18" t="str">
        <f>IFERROR(INDEX(Personnel[Дней в РФ],$K863),"")</f>
        <v/>
      </c>
      <c r="K863" s="23" t="str">
        <f t="array" ref="K863">IFERROR(_xlfn.AGGREGATE(15,6,(ROW(Personnel[Egtim durumu])-MIN(ROW(Personnel[Egtim durumu]))+1)/((Personnel[Egtim durumu]="Dil egitimi tamamlandi sinavdan gecti")),ROWS($K$7:K863)),"")</f>
        <v/>
      </c>
    </row>
    <row r="864" spans="1:11" x14ac:dyDescent="0.25">
      <c r="A864" s="40" t="str">
        <f>IFERROR(INDEX(Personnel[Sicil],$K864),"")</f>
        <v/>
      </c>
      <c r="B864" s="41" t="str">
        <f>IFERROR(INDEX(Personnel[Adi Soyadi],$K864),"")</f>
        <v/>
      </c>
      <c r="C864" s="40" t="str">
        <f>IFERROR(INDEX(Personnel[Vatandaslik],$K864),"")</f>
        <v/>
      </c>
      <c r="D864" s="40" t="str">
        <f>IFERROR(INDEX(Personnel[Santiye],$K864),"")</f>
        <v/>
      </c>
      <c r="E864" s="40" t="str">
        <f>IFERROR(INDEX(Personnel[Ogretmen],$K864),"")</f>
        <v/>
      </c>
      <c r="F864" s="41" t="str">
        <f>IFERROR(INDEX(Personnel[[Sinav ]],$K864),"")</f>
        <v/>
      </c>
      <c r="G864" s="41" t="str">
        <f>IFERROR(INDEX(Personnel[Egtim durumu],$K864),"")</f>
        <v/>
      </c>
      <c r="H864" s="41" t="str">
        <f>IFERROR(INDEX(Personnel[Shohruh Not],$K864),"")</f>
        <v/>
      </c>
      <c r="I864" s="40" t="str">
        <f>IFERROR(INDEX(Personnel[Дней в РФ],$K864),"")</f>
        <v/>
      </c>
      <c r="K864" s="23" t="str">
        <f t="array" ref="K864">IFERROR(_xlfn.AGGREGATE(15,6,(ROW(Personnel[Egtim durumu])-MIN(ROW(Personnel[Egtim durumu]))+1)/((Personnel[Egtim durumu]="Dil egitimi tamamlandi sinavdan gecti")),ROWS($K$7:K864)),"")</f>
        <v/>
      </c>
    </row>
    <row r="865" spans="1:11" x14ac:dyDescent="0.25">
      <c r="A865" s="18" t="str">
        <f>IFERROR(INDEX(Personnel[Sicil],$K865),"")</f>
        <v/>
      </c>
      <c r="B865" s="17" t="str">
        <f>IFERROR(INDEX(Personnel[Adi Soyadi],$K865),"")</f>
        <v/>
      </c>
      <c r="C865" s="18" t="str">
        <f>IFERROR(INDEX(Personnel[Vatandaslik],$K865),"")</f>
        <v/>
      </c>
      <c r="D865" s="18" t="str">
        <f>IFERROR(INDEX(Personnel[Santiye],$K865),"")</f>
        <v/>
      </c>
      <c r="E865" s="18" t="str">
        <f>IFERROR(INDEX(Personnel[Ogretmen],$K865),"")</f>
        <v/>
      </c>
      <c r="F865" s="17" t="str">
        <f>IFERROR(INDEX(Personnel[[Sinav ]],$K865),"")</f>
        <v/>
      </c>
      <c r="G865" s="17" t="str">
        <f>IFERROR(INDEX(Personnel[Egtim durumu],$K865),"")</f>
        <v/>
      </c>
      <c r="H865" s="17" t="str">
        <f>IFERROR(INDEX(Personnel[Shohruh Not],$K865),"")</f>
        <v/>
      </c>
      <c r="I865" s="18" t="str">
        <f>IFERROR(INDEX(Personnel[Дней в РФ],$K865),"")</f>
        <v/>
      </c>
      <c r="K865" s="23" t="str">
        <f t="array" ref="K865">IFERROR(_xlfn.AGGREGATE(15,6,(ROW(Personnel[Egtim durumu])-MIN(ROW(Personnel[Egtim durumu]))+1)/((Personnel[Egtim durumu]="Dil egitimi tamamlandi sinavdan gecti")),ROWS($K$7:K865)),"")</f>
        <v/>
      </c>
    </row>
    <row r="866" spans="1:11" x14ac:dyDescent="0.25">
      <c r="A866" s="40" t="str">
        <f>IFERROR(INDEX(Personnel[Sicil],$K866),"")</f>
        <v/>
      </c>
      <c r="B866" s="41" t="str">
        <f>IFERROR(INDEX(Personnel[Adi Soyadi],$K866),"")</f>
        <v/>
      </c>
      <c r="C866" s="40" t="str">
        <f>IFERROR(INDEX(Personnel[Vatandaslik],$K866),"")</f>
        <v/>
      </c>
      <c r="D866" s="40" t="str">
        <f>IFERROR(INDEX(Personnel[Santiye],$K866),"")</f>
        <v/>
      </c>
      <c r="E866" s="40" t="str">
        <f>IFERROR(INDEX(Personnel[Ogretmen],$K866),"")</f>
        <v/>
      </c>
      <c r="F866" s="41" t="str">
        <f>IFERROR(INDEX(Personnel[[Sinav ]],$K866),"")</f>
        <v/>
      </c>
      <c r="G866" s="41" t="str">
        <f>IFERROR(INDEX(Personnel[Egtim durumu],$K866),"")</f>
        <v/>
      </c>
      <c r="H866" s="41" t="str">
        <f>IFERROR(INDEX(Personnel[Shohruh Not],$K866),"")</f>
        <v/>
      </c>
      <c r="I866" s="40" t="str">
        <f>IFERROR(INDEX(Personnel[Дней в РФ],$K866),"")</f>
        <v/>
      </c>
      <c r="K866" s="23" t="str">
        <f t="array" ref="K866">IFERROR(_xlfn.AGGREGATE(15,6,(ROW(Personnel[Egtim durumu])-MIN(ROW(Personnel[Egtim durumu]))+1)/((Personnel[Egtim durumu]="Dil egitimi tamamlandi sinavdan gecti")),ROWS($K$7:K866)),"")</f>
        <v/>
      </c>
    </row>
    <row r="867" spans="1:11" x14ac:dyDescent="0.25">
      <c r="A867" s="18" t="str">
        <f>IFERROR(INDEX(Personnel[Sicil],$K867),"")</f>
        <v/>
      </c>
      <c r="B867" s="17" t="str">
        <f>IFERROR(INDEX(Personnel[Adi Soyadi],$K867),"")</f>
        <v/>
      </c>
      <c r="C867" s="18" t="str">
        <f>IFERROR(INDEX(Personnel[Vatandaslik],$K867),"")</f>
        <v/>
      </c>
      <c r="D867" s="18" t="str">
        <f>IFERROR(INDEX(Personnel[Santiye],$K867),"")</f>
        <v/>
      </c>
      <c r="E867" s="18" t="str">
        <f>IFERROR(INDEX(Personnel[Ogretmen],$K867),"")</f>
        <v/>
      </c>
      <c r="F867" s="17" t="str">
        <f>IFERROR(INDEX(Personnel[[Sinav ]],$K867),"")</f>
        <v/>
      </c>
      <c r="G867" s="17" t="str">
        <f>IFERROR(INDEX(Personnel[Egtim durumu],$K867),"")</f>
        <v/>
      </c>
      <c r="H867" s="17" t="str">
        <f>IFERROR(INDEX(Personnel[Shohruh Not],$K867),"")</f>
        <v/>
      </c>
      <c r="I867" s="18" t="str">
        <f>IFERROR(INDEX(Personnel[Дней в РФ],$K867),"")</f>
        <v/>
      </c>
      <c r="K867" s="23" t="str">
        <f t="array" ref="K867">IFERROR(_xlfn.AGGREGATE(15,6,(ROW(Personnel[Egtim durumu])-MIN(ROW(Personnel[Egtim durumu]))+1)/((Personnel[Egtim durumu]="Dil egitimi tamamlandi sinavdan gecti")),ROWS($K$7:K867)),"")</f>
        <v/>
      </c>
    </row>
    <row r="868" spans="1:11" x14ac:dyDescent="0.25">
      <c r="A868" s="40" t="str">
        <f>IFERROR(INDEX(Personnel[Sicil],$K868),"")</f>
        <v/>
      </c>
      <c r="B868" s="41" t="str">
        <f>IFERROR(INDEX(Personnel[Adi Soyadi],$K868),"")</f>
        <v/>
      </c>
      <c r="C868" s="40" t="str">
        <f>IFERROR(INDEX(Personnel[Vatandaslik],$K868),"")</f>
        <v/>
      </c>
      <c r="D868" s="40" t="str">
        <f>IFERROR(INDEX(Personnel[Santiye],$K868),"")</f>
        <v/>
      </c>
      <c r="E868" s="40" t="str">
        <f>IFERROR(INDEX(Personnel[Ogretmen],$K868),"")</f>
        <v/>
      </c>
      <c r="F868" s="41" t="str">
        <f>IFERROR(INDEX(Personnel[[Sinav ]],$K868),"")</f>
        <v/>
      </c>
      <c r="G868" s="41" t="str">
        <f>IFERROR(INDEX(Personnel[Egtim durumu],$K868),"")</f>
        <v/>
      </c>
      <c r="H868" s="41" t="str">
        <f>IFERROR(INDEX(Personnel[Shohruh Not],$K868),"")</f>
        <v/>
      </c>
      <c r="I868" s="40" t="str">
        <f>IFERROR(INDEX(Personnel[Дней в РФ],$K868),"")</f>
        <v/>
      </c>
      <c r="K868" s="23" t="str">
        <f t="array" ref="K868">IFERROR(_xlfn.AGGREGATE(15,6,(ROW(Personnel[Egtim durumu])-MIN(ROW(Personnel[Egtim durumu]))+1)/((Personnel[Egtim durumu]="Dil egitimi tamamlandi sinavdan gecti")),ROWS($K$7:K868)),"")</f>
        <v/>
      </c>
    </row>
    <row r="869" spans="1:11" x14ac:dyDescent="0.25">
      <c r="A869" s="18" t="str">
        <f>IFERROR(INDEX(Personnel[Sicil],$K869),"")</f>
        <v/>
      </c>
      <c r="B869" s="17" t="str">
        <f>IFERROR(INDEX(Personnel[Adi Soyadi],$K869),"")</f>
        <v/>
      </c>
      <c r="C869" s="18" t="str">
        <f>IFERROR(INDEX(Personnel[Vatandaslik],$K869),"")</f>
        <v/>
      </c>
      <c r="D869" s="18" t="str">
        <f>IFERROR(INDEX(Personnel[Santiye],$K869),"")</f>
        <v/>
      </c>
      <c r="E869" s="18" t="str">
        <f>IFERROR(INDEX(Personnel[Ogretmen],$K869),"")</f>
        <v/>
      </c>
      <c r="F869" s="17" t="str">
        <f>IFERROR(INDEX(Personnel[[Sinav ]],$K869),"")</f>
        <v/>
      </c>
      <c r="G869" s="17" t="str">
        <f>IFERROR(INDEX(Personnel[Egtim durumu],$K869),"")</f>
        <v/>
      </c>
      <c r="H869" s="17" t="str">
        <f>IFERROR(INDEX(Personnel[Shohruh Not],$K869),"")</f>
        <v/>
      </c>
      <c r="I869" s="18" t="str">
        <f>IFERROR(INDEX(Personnel[Дней в РФ],$K869),"")</f>
        <v/>
      </c>
      <c r="K869" s="23" t="str">
        <f t="array" ref="K869">IFERROR(_xlfn.AGGREGATE(15,6,(ROW(Personnel[Egtim durumu])-MIN(ROW(Personnel[Egtim durumu]))+1)/((Personnel[Egtim durumu]="Dil egitimi tamamlandi sinavdan gecti")),ROWS($K$7:K869)),"")</f>
        <v/>
      </c>
    </row>
    <row r="870" spans="1:11" x14ac:dyDescent="0.25">
      <c r="A870" s="40" t="str">
        <f>IFERROR(INDEX(Personnel[Sicil],$K870),"")</f>
        <v/>
      </c>
      <c r="B870" s="41" t="str">
        <f>IFERROR(INDEX(Personnel[Adi Soyadi],$K870),"")</f>
        <v/>
      </c>
      <c r="C870" s="40" t="str">
        <f>IFERROR(INDEX(Personnel[Vatandaslik],$K870),"")</f>
        <v/>
      </c>
      <c r="D870" s="40" t="str">
        <f>IFERROR(INDEX(Personnel[Santiye],$K870),"")</f>
        <v/>
      </c>
      <c r="E870" s="40" t="str">
        <f>IFERROR(INDEX(Personnel[Ogretmen],$K870),"")</f>
        <v/>
      </c>
      <c r="F870" s="41" t="str">
        <f>IFERROR(INDEX(Personnel[[Sinav ]],$K870),"")</f>
        <v/>
      </c>
      <c r="G870" s="41" t="str">
        <f>IFERROR(INDEX(Personnel[Egtim durumu],$K870),"")</f>
        <v/>
      </c>
      <c r="H870" s="41" t="str">
        <f>IFERROR(INDEX(Personnel[Shohruh Not],$K870),"")</f>
        <v/>
      </c>
      <c r="I870" s="40" t="str">
        <f>IFERROR(INDEX(Personnel[Дней в РФ],$K870),"")</f>
        <v/>
      </c>
      <c r="K870" s="23" t="str">
        <f t="array" ref="K870">IFERROR(_xlfn.AGGREGATE(15,6,(ROW(Personnel[Egtim durumu])-MIN(ROW(Personnel[Egtim durumu]))+1)/((Personnel[Egtim durumu]="Dil egitimi tamamlandi sinavdan gecti")),ROWS($K$7:K870)),"")</f>
        <v/>
      </c>
    </row>
    <row r="871" spans="1:11" x14ac:dyDescent="0.25">
      <c r="A871" s="18" t="str">
        <f>IFERROR(INDEX(Personnel[Sicil],$K871),"")</f>
        <v/>
      </c>
      <c r="B871" s="17" t="str">
        <f>IFERROR(INDEX(Personnel[Adi Soyadi],$K871),"")</f>
        <v/>
      </c>
      <c r="C871" s="18" t="str">
        <f>IFERROR(INDEX(Personnel[Vatandaslik],$K871),"")</f>
        <v/>
      </c>
      <c r="D871" s="18" t="str">
        <f>IFERROR(INDEX(Personnel[Santiye],$K871),"")</f>
        <v/>
      </c>
      <c r="E871" s="18" t="str">
        <f>IFERROR(INDEX(Personnel[Ogretmen],$K871),"")</f>
        <v/>
      </c>
      <c r="F871" s="17" t="str">
        <f>IFERROR(INDEX(Personnel[[Sinav ]],$K871),"")</f>
        <v/>
      </c>
      <c r="G871" s="17" t="str">
        <f>IFERROR(INDEX(Personnel[Egtim durumu],$K871),"")</f>
        <v/>
      </c>
      <c r="H871" s="17" t="str">
        <f>IFERROR(INDEX(Personnel[Shohruh Not],$K871),"")</f>
        <v/>
      </c>
      <c r="I871" s="18" t="str">
        <f>IFERROR(INDEX(Personnel[Дней в РФ],$K871),"")</f>
        <v/>
      </c>
      <c r="K871" s="23" t="str">
        <f t="array" ref="K871">IFERROR(_xlfn.AGGREGATE(15,6,(ROW(Personnel[Egtim durumu])-MIN(ROW(Personnel[Egtim durumu]))+1)/((Personnel[Egtim durumu]="Dil egitimi tamamlandi sinavdan gecti")),ROWS($K$7:K871)),"")</f>
        <v/>
      </c>
    </row>
    <row r="872" spans="1:11" x14ac:dyDescent="0.25">
      <c r="A872" s="40" t="str">
        <f>IFERROR(INDEX(Personnel[Sicil],$K872),"")</f>
        <v/>
      </c>
      <c r="B872" s="41" t="str">
        <f>IFERROR(INDEX(Personnel[Adi Soyadi],$K872),"")</f>
        <v/>
      </c>
      <c r="C872" s="40" t="str">
        <f>IFERROR(INDEX(Personnel[Vatandaslik],$K872),"")</f>
        <v/>
      </c>
      <c r="D872" s="40" t="str">
        <f>IFERROR(INDEX(Personnel[Santiye],$K872),"")</f>
        <v/>
      </c>
      <c r="E872" s="40" t="str">
        <f>IFERROR(INDEX(Personnel[Ogretmen],$K872),"")</f>
        <v/>
      </c>
      <c r="F872" s="41" t="str">
        <f>IFERROR(INDEX(Personnel[[Sinav ]],$K872),"")</f>
        <v/>
      </c>
      <c r="G872" s="41" t="str">
        <f>IFERROR(INDEX(Personnel[Egtim durumu],$K872),"")</f>
        <v/>
      </c>
      <c r="H872" s="41" t="str">
        <f>IFERROR(INDEX(Personnel[Shohruh Not],$K872),"")</f>
        <v/>
      </c>
      <c r="I872" s="40" t="str">
        <f>IFERROR(INDEX(Personnel[Дней в РФ],$K872),"")</f>
        <v/>
      </c>
      <c r="K872" s="23" t="str">
        <f t="array" ref="K872">IFERROR(_xlfn.AGGREGATE(15,6,(ROW(Personnel[Egtim durumu])-MIN(ROW(Personnel[Egtim durumu]))+1)/((Personnel[Egtim durumu]="Dil egitimi tamamlandi sinavdan gecti")),ROWS($K$7:K872)),"")</f>
        <v/>
      </c>
    </row>
    <row r="873" spans="1:11" x14ac:dyDescent="0.25">
      <c r="A873" s="18" t="str">
        <f>IFERROR(INDEX(Personnel[Sicil],$K873),"")</f>
        <v/>
      </c>
      <c r="B873" s="17" t="str">
        <f>IFERROR(INDEX(Personnel[Adi Soyadi],$K873),"")</f>
        <v/>
      </c>
      <c r="C873" s="18" t="str">
        <f>IFERROR(INDEX(Personnel[Vatandaslik],$K873),"")</f>
        <v/>
      </c>
      <c r="D873" s="18" t="str">
        <f>IFERROR(INDEX(Personnel[Santiye],$K873),"")</f>
        <v/>
      </c>
      <c r="E873" s="18" t="str">
        <f>IFERROR(INDEX(Personnel[Ogretmen],$K873),"")</f>
        <v/>
      </c>
      <c r="F873" s="17" t="str">
        <f>IFERROR(INDEX(Personnel[[Sinav ]],$K873),"")</f>
        <v/>
      </c>
      <c r="G873" s="17" t="str">
        <f>IFERROR(INDEX(Personnel[Egtim durumu],$K873),"")</f>
        <v/>
      </c>
      <c r="H873" s="17" t="str">
        <f>IFERROR(INDEX(Personnel[Shohruh Not],$K873),"")</f>
        <v/>
      </c>
      <c r="I873" s="18" t="str">
        <f>IFERROR(INDEX(Personnel[Дней в РФ],$K873),"")</f>
        <v/>
      </c>
      <c r="K873" s="23" t="str">
        <f t="array" ref="K873">IFERROR(_xlfn.AGGREGATE(15,6,(ROW(Personnel[Egtim durumu])-MIN(ROW(Personnel[Egtim durumu]))+1)/((Personnel[Egtim durumu]="Dil egitimi tamamlandi sinavdan gecti")),ROWS($K$7:K873)),"")</f>
        <v/>
      </c>
    </row>
    <row r="874" spans="1:11" x14ac:dyDescent="0.25">
      <c r="A874" s="40" t="str">
        <f>IFERROR(INDEX(Personnel[Sicil],$K874),"")</f>
        <v/>
      </c>
      <c r="B874" s="41" t="str">
        <f>IFERROR(INDEX(Personnel[Adi Soyadi],$K874),"")</f>
        <v/>
      </c>
      <c r="C874" s="40" t="str">
        <f>IFERROR(INDEX(Personnel[Vatandaslik],$K874),"")</f>
        <v/>
      </c>
      <c r="D874" s="40" t="str">
        <f>IFERROR(INDEX(Personnel[Santiye],$K874),"")</f>
        <v/>
      </c>
      <c r="E874" s="40" t="str">
        <f>IFERROR(INDEX(Personnel[Ogretmen],$K874),"")</f>
        <v/>
      </c>
      <c r="F874" s="41" t="str">
        <f>IFERROR(INDEX(Personnel[[Sinav ]],$K874),"")</f>
        <v/>
      </c>
      <c r="G874" s="41" t="str">
        <f>IFERROR(INDEX(Personnel[Egtim durumu],$K874),"")</f>
        <v/>
      </c>
      <c r="H874" s="41" t="str">
        <f>IFERROR(INDEX(Personnel[Shohruh Not],$K874),"")</f>
        <v/>
      </c>
      <c r="I874" s="40" t="str">
        <f>IFERROR(INDEX(Personnel[Дней в РФ],$K874),"")</f>
        <v/>
      </c>
      <c r="K874" s="23" t="str">
        <f t="array" ref="K874">IFERROR(_xlfn.AGGREGATE(15,6,(ROW(Personnel[Egtim durumu])-MIN(ROW(Personnel[Egtim durumu]))+1)/((Personnel[Egtim durumu]="Dil egitimi tamamlandi sinavdan gecti")),ROWS($K$7:K874)),"")</f>
        <v/>
      </c>
    </row>
    <row r="875" spans="1:11" x14ac:dyDescent="0.25">
      <c r="A875" s="18" t="str">
        <f>IFERROR(INDEX(Personnel[Sicil],$K875),"")</f>
        <v/>
      </c>
      <c r="B875" s="17" t="str">
        <f>IFERROR(INDEX(Personnel[Adi Soyadi],$K875),"")</f>
        <v/>
      </c>
      <c r="C875" s="18" t="str">
        <f>IFERROR(INDEX(Personnel[Vatandaslik],$K875),"")</f>
        <v/>
      </c>
      <c r="D875" s="18" t="str">
        <f>IFERROR(INDEX(Personnel[Santiye],$K875),"")</f>
        <v/>
      </c>
      <c r="E875" s="18" t="str">
        <f>IFERROR(INDEX(Personnel[Ogretmen],$K875),"")</f>
        <v/>
      </c>
      <c r="F875" s="17" t="str">
        <f>IFERROR(INDEX(Personnel[[Sinav ]],$K875),"")</f>
        <v/>
      </c>
      <c r="G875" s="17" t="str">
        <f>IFERROR(INDEX(Personnel[Egtim durumu],$K875),"")</f>
        <v/>
      </c>
      <c r="H875" s="17" t="str">
        <f>IFERROR(INDEX(Personnel[Shohruh Not],$K875),"")</f>
        <v/>
      </c>
      <c r="I875" s="18" t="str">
        <f>IFERROR(INDEX(Personnel[Дней в РФ],$K875),"")</f>
        <v/>
      </c>
      <c r="K875" s="23" t="str">
        <f t="array" ref="K875">IFERROR(_xlfn.AGGREGATE(15,6,(ROW(Personnel[Egtim durumu])-MIN(ROW(Personnel[Egtim durumu]))+1)/((Personnel[Egtim durumu]="Dil egitimi tamamlandi sinavdan gecti")),ROWS($K$7:K875)),"")</f>
        <v/>
      </c>
    </row>
    <row r="876" spans="1:11" x14ac:dyDescent="0.25">
      <c r="A876" s="40" t="str">
        <f>IFERROR(INDEX(Personnel[Sicil],$K876),"")</f>
        <v/>
      </c>
      <c r="B876" s="41" t="str">
        <f>IFERROR(INDEX(Personnel[Adi Soyadi],$K876),"")</f>
        <v/>
      </c>
      <c r="C876" s="40" t="str">
        <f>IFERROR(INDEX(Personnel[Vatandaslik],$K876),"")</f>
        <v/>
      </c>
      <c r="D876" s="40" t="str">
        <f>IFERROR(INDEX(Personnel[Santiye],$K876),"")</f>
        <v/>
      </c>
      <c r="E876" s="40" t="str">
        <f>IFERROR(INDEX(Personnel[Ogretmen],$K876),"")</f>
        <v/>
      </c>
      <c r="F876" s="41" t="str">
        <f>IFERROR(INDEX(Personnel[[Sinav ]],$K876),"")</f>
        <v/>
      </c>
      <c r="G876" s="41" t="str">
        <f>IFERROR(INDEX(Personnel[Egtim durumu],$K876),"")</f>
        <v/>
      </c>
      <c r="H876" s="41" t="str">
        <f>IFERROR(INDEX(Personnel[Shohruh Not],$K876),"")</f>
        <v/>
      </c>
      <c r="I876" s="40" t="str">
        <f>IFERROR(INDEX(Personnel[Дней в РФ],$K876),"")</f>
        <v/>
      </c>
      <c r="K876" s="23" t="str">
        <f t="array" ref="K876">IFERROR(_xlfn.AGGREGATE(15,6,(ROW(Personnel[Egtim durumu])-MIN(ROW(Personnel[Egtim durumu]))+1)/((Personnel[Egtim durumu]="Dil egitimi tamamlandi sinavdan gecti")),ROWS($K$7:K876)),"")</f>
        <v/>
      </c>
    </row>
    <row r="877" spans="1:11" x14ac:dyDescent="0.25">
      <c r="A877" s="18" t="str">
        <f>IFERROR(INDEX(Personnel[Sicil],$K877),"")</f>
        <v/>
      </c>
      <c r="B877" s="17" t="str">
        <f>IFERROR(INDEX(Personnel[Adi Soyadi],$K877),"")</f>
        <v/>
      </c>
      <c r="C877" s="18" t="str">
        <f>IFERROR(INDEX(Personnel[Vatandaslik],$K877),"")</f>
        <v/>
      </c>
      <c r="D877" s="18" t="str">
        <f>IFERROR(INDEX(Personnel[Santiye],$K877),"")</f>
        <v/>
      </c>
      <c r="E877" s="18" t="str">
        <f>IFERROR(INDEX(Personnel[Ogretmen],$K877),"")</f>
        <v/>
      </c>
      <c r="F877" s="17" t="str">
        <f>IFERROR(INDEX(Personnel[[Sinav ]],$K877),"")</f>
        <v/>
      </c>
      <c r="G877" s="17" t="str">
        <f>IFERROR(INDEX(Personnel[Egtim durumu],$K877),"")</f>
        <v/>
      </c>
      <c r="H877" s="17" t="str">
        <f>IFERROR(INDEX(Personnel[Shohruh Not],$K877),"")</f>
        <v/>
      </c>
      <c r="I877" s="18" t="str">
        <f>IFERROR(INDEX(Personnel[Дней в РФ],$K877),"")</f>
        <v/>
      </c>
      <c r="K877" s="23" t="str">
        <f t="array" ref="K877">IFERROR(_xlfn.AGGREGATE(15,6,(ROW(Personnel[Egtim durumu])-MIN(ROW(Personnel[Egtim durumu]))+1)/((Personnel[Egtim durumu]="Dil egitimi tamamlandi sinavdan gecti")),ROWS($K$7:K877)),"")</f>
        <v/>
      </c>
    </row>
    <row r="878" spans="1:11" x14ac:dyDescent="0.25">
      <c r="A878" s="40" t="str">
        <f>IFERROR(INDEX(Personnel[Sicil],$K878),"")</f>
        <v/>
      </c>
      <c r="B878" s="41" t="str">
        <f>IFERROR(INDEX(Personnel[Adi Soyadi],$K878),"")</f>
        <v/>
      </c>
      <c r="C878" s="40" t="str">
        <f>IFERROR(INDEX(Personnel[Vatandaslik],$K878),"")</f>
        <v/>
      </c>
      <c r="D878" s="40" t="str">
        <f>IFERROR(INDEX(Personnel[Santiye],$K878),"")</f>
        <v/>
      </c>
      <c r="E878" s="40" t="str">
        <f>IFERROR(INDEX(Personnel[Ogretmen],$K878),"")</f>
        <v/>
      </c>
      <c r="F878" s="41" t="str">
        <f>IFERROR(INDEX(Personnel[[Sinav ]],$K878),"")</f>
        <v/>
      </c>
      <c r="G878" s="41" t="str">
        <f>IFERROR(INDEX(Personnel[Egtim durumu],$K878),"")</f>
        <v/>
      </c>
      <c r="H878" s="41" t="str">
        <f>IFERROR(INDEX(Personnel[Shohruh Not],$K878),"")</f>
        <v/>
      </c>
      <c r="I878" s="40" t="str">
        <f>IFERROR(INDEX(Personnel[Дней в РФ],$K878),"")</f>
        <v/>
      </c>
      <c r="K878" s="23" t="str">
        <f t="array" ref="K878">IFERROR(_xlfn.AGGREGATE(15,6,(ROW(Personnel[Egtim durumu])-MIN(ROW(Personnel[Egtim durumu]))+1)/((Personnel[Egtim durumu]="Dil egitimi tamamlandi sinavdan gecti")),ROWS($K$7:K878)),"")</f>
        <v/>
      </c>
    </row>
    <row r="879" spans="1:11" x14ac:dyDescent="0.25">
      <c r="A879" s="18" t="str">
        <f>IFERROR(INDEX(Personnel[Sicil],$K879),"")</f>
        <v/>
      </c>
      <c r="B879" s="17" t="str">
        <f>IFERROR(INDEX(Personnel[Adi Soyadi],$K879),"")</f>
        <v/>
      </c>
      <c r="C879" s="18" t="str">
        <f>IFERROR(INDEX(Personnel[Vatandaslik],$K879),"")</f>
        <v/>
      </c>
      <c r="D879" s="18" t="str">
        <f>IFERROR(INDEX(Personnel[Santiye],$K879),"")</f>
        <v/>
      </c>
      <c r="E879" s="18" t="str">
        <f>IFERROR(INDEX(Personnel[Ogretmen],$K879),"")</f>
        <v/>
      </c>
      <c r="F879" s="17" t="str">
        <f>IFERROR(INDEX(Personnel[[Sinav ]],$K879),"")</f>
        <v/>
      </c>
      <c r="G879" s="17" t="str">
        <f>IFERROR(INDEX(Personnel[Egtim durumu],$K879),"")</f>
        <v/>
      </c>
      <c r="H879" s="17" t="str">
        <f>IFERROR(INDEX(Personnel[Shohruh Not],$K879),"")</f>
        <v/>
      </c>
      <c r="I879" s="18" t="str">
        <f>IFERROR(INDEX(Personnel[Дней в РФ],$K879),"")</f>
        <v/>
      </c>
      <c r="K879" s="23" t="str">
        <f t="array" ref="K879">IFERROR(_xlfn.AGGREGATE(15,6,(ROW(Personnel[Egtim durumu])-MIN(ROW(Personnel[Egtim durumu]))+1)/((Personnel[Egtim durumu]="Dil egitimi tamamlandi sinavdan gecti")),ROWS($K$7:K879)),"")</f>
        <v/>
      </c>
    </row>
    <row r="880" spans="1:11" x14ac:dyDescent="0.25">
      <c r="A880" s="40" t="str">
        <f>IFERROR(INDEX(Personnel[Sicil],$K880),"")</f>
        <v/>
      </c>
      <c r="B880" s="41" t="str">
        <f>IFERROR(INDEX(Personnel[Adi Soyadi],$K880),"")</f>
        <v/>
      </c>
      <c r="C880" s="40" t="str">
        <f>IFERROR(INDEX(Personnel[Vatandaslik],$K880),"")</f>
        <v/>
      </c>
      <c r="D880" s="40" t="str">
        <f>IFERROR(INDEX(Personnel[Santiye],$K880),"")</f>
        <v/>
      </c>
      <c r="E880" s="40" t="str">
        <f>IFERROR(INDEX(Personnel[Ogretmen],$K880),"")</f>
        <v/>
      </c>
      <c r="F880" s="41" t="str">
        <f>IFERROR(INDEX(Personnel[[Sinav ]],$K880),"")</f>
        <v/>
      </c>
      <c r="G880" s="41" t="str">
        <f>IFERROR(INDEX(Personnel[Egtim durumu],$K880),"")</f>
        <v/>
      </c>
      <c r="H880" s="41" t="str">
        <f>IFERROR(INDEX(Personnel[Shohruh Not],$K880),"")</f>
        <v/>
      </c>
      <c r="I880" s="40" t="str">
        <f>IFERROR(INDEX(Personnel[Дней в РФ],$K880),"")</f>
        <v/>
      </c>
      <c r="K880" s="23" t="str">
        <f t="array" ref="K880">IFERROR(_xlfn.AGGREGATE(15,6,(ROW(Personnel[Egtim durumu])-MIN(ROW(Personnel[Egtim durumu]))+1)/((Personnel[Egtim durumu]="Dil egitimi tamamlandi sinavdan gecti")),ROWS($K$7:K880)),"")</f>
        <v/>
      </c>
    </row>
    <row r="881" spans="1:11" x14ac:dyDescent="0.25">
      <c r="A881" s="18" t="str">
        <f>IFERROR(INDEX(Personnel[Sicil],$K881),"")</f>
        <v/>
      </c>
      <c r="B881" s="17" t="str">
        <f>IFERROR(INDEX(Personnel[Adi Soyadi],$K881),"")</f>
        <v/>
      </c>
      <c r="C881" s="18" t="str">
        <f>IFERROR(INDEX(Personnel[Vatandaslik],$K881),"")</f>
        <v/>
      </c>
      <c r="D881" s="18" t="str">
        <f>IFERROR(INDEX(Personnel[Santiye],$K881),"")</f>
        <v/>
      </c>
      <c r="E881" s="18" t="str">
        <f>IFERROR(INDEX(Personnel[Ogretmen],$K881),"")</f>
        <v/>
      </c>
      <c r="F881" s="17" t="str">
        <f>IFERROR(INDEX(Personnel[[Sinav ]],$K881),"")</f>
        <v/>
      </c>
      <c r="G881" s="17" t="str">
        <f>IFERROR(INDEX(Personnel[Egtim durumu],$K881),"")</f>
        <v/>
      </c>
      <c r="H881" s="17" t="str">
        <f>IFERROR(INDEX(Personnel[Shohruh Not],$K881),"")</f>
        <v/>
      </c>
      <c r="I881" s="18" t="str">
        <f>IFERROR(INDEX(Personnel[Дней в РФ],$K881),"")</f>
        <v/>
      </c>
      <c r="K881" s="23" t="str">
        <f t="array" ref="K881">IFERROR(_xlfn.AGGREGATE(15,6,(ROW(Personnel[Egtim durumu])-MIN(ROW(Personnel[Egtim durumu]))+1)/((Personnel[Egtim durumu]="Dil egitimi tamamlandi sinavdan gecti")),ROWS($K$7:K881)),"")</f>
        <v/>
      </c>
    </row>
    <row r="882" spans="1:11" x14ac:dyDescent="0.25">
      <c r="A882" s="40" t="str">
        <f>IFERROR(INDEX(Personnel[Sicil],$K882),"")</f>
        <v/>
      </c>
      <c r="B882" s="41" t="str">
        <f>IFERROR(INDEX(Personnel[Adi Soyadi],$K882),"")</f>
        <v/>
      </c>
      <c r="C882" s="40" t="str">
        <f>IFERROR(INDEX(Personnel[Vatandaslik],$K882),"")</f>
        <v/>
      </c>
      <c r="D882" s="40" t="str">
        <f>IFERROR(INDEX(Personnel[Santiye],$K882),"")</f>
        <v/>
      </c>
      <c r="E882" s="40" t="str">
        <f>IFERROR(INDEX(Personnel[Ogretmen],$K882),"")</f>
        <v/>
      </c>
      <c r="F882" s="41" t="str">
        <f>IFERROR(INDEX(Personnel[[Sinav ]],$K882),"")</f>
        <v/>
      </c>
      <c r="G882" s="41" t="str">
        <f>IFERROR(INDEX(Personnel[Egtim durumu],$K882),"")</f>
        <v/>
      </c>
      <c r="H882" s="41" t="str">
        <f>IFERROR(INDEX(Personnel[Shohruh Not],$K882),"")</f>
        <v/>
      </c>
      <c r="I882" s="40" t="str">
        <f>IFERROR(INDEX(Personnel[Дней в РФ],$K882),"")</f>
        <v/>
      </c>
      <c r="K882" s="23" t="str">
        <f t="array" ref="K882">IFERROR(_xlfn.AGGREGATE(15,6,(ROW(Personnel[Egtim durumu])-MIN(ROW(Personnel[Egtim durumu]))+1)/((Personnel[Egtim durumu]="Dil egitimi tamamlandi sinavdan gecti")),ROWS($K$7:K882)),"")</f>
        <v/>
      </c>
    </row>
    <row r="883" spans="1:11" x14ac:dyDescent="0.25">
      <c r="A883" s="18" t="str">
        <f>IFERROR(INDEX(Personnel[Sicil],$K883),"")</f>
        <v/>
      </c>
      <c r="B883" s="17" t="str">
        <f>IFERROR(INDEX(Personnel[Adi Soyadi],$K883),"")</f>
        <v/>
      </c>
      <c r="C883" s="18" t="str">
        <f>IFERROR(INDEX(Personnel[Vatandaslik],$K883),"")</f>
        <v/>
      </c>
      <c r="D883" s="18" t="str">
        <f>IFERROR(INDEX(Personnel[Santiye],$K883),"")</f>
        <v/>
      </c>
      <c r="E883" s="18" t="str">
        <f>IFERROR(INDEX(Personnel[Ogretmen],$K883),"")</f>
        <v/>
      </c>
      <c r="F883" s="17" t="str">
        <f>IFERROR(INDEX(Personnel[[Sinav ]],$K883),"")</f>
        <v/>
      </c>
      <c r="G883" s="17" t="str">
        <f>IFERROR(INDEX(Personnel[Egtim durumu],$K883),"")</f>
        <v/>
      </c>
      <c r="H883" s="17" t="str">
        <f>IFERROR(INDEX(Personnel[Shohruh Not],$K883),"")</f>
        <v/>
      </c>
      <c r="I883" s="18" t="str">
        <f>IFERROR(INDEX(Personnel[Дней в РФ],$K883),"")</f>
        <v/>
      </c>
      <c r="K883" s="23" t="str">
        <f t="array" ref="K883">IFERROR(_xlfn.AGGREGATE(15,6,(ROW(Personnel[Egtim durumu])-MIN(ROW(Personnel[Egtim durumu]))+1)/((Personnel[Egtim durumu]="Dil egitimi tamamlandi sinavdan gecti")),ROWS($K$7:K883)),"")</f>
        <v/>
      </c>
    </row>
    <row r="884" spans="1:11" x14ac:dyDescent="0.25">
      <c r="A884" s="40" t="str">
        <f>IFERROR(INDEX(Personnel[Sicil],$K884),"")</f>
        <v/>
      </c>
      <c r="B884" s="41" t="str">
        <f>IFERROR(INDEX(Personnel[Adi Soyadi],$K884),"")</f>
        <v/>
      </c>
      <c r="C884" s="40" t="str">
        <f>IFERROR(INDEX(Personnel[Vatandaslik],$K884),"")</f>
        <v/>
      </c>
      <c r="D884" s="40" t="str">
        <f>IFERROR(INDEX(Personnel[Santiye],$K884),"")</f>
        <v/>
      </c>
      <c r="E884" s="40" t="str">
        <f>IFERROR(INDEX(Personnel[Ogretmen],$K884),"")</f>
        <v/>
      </c>
      <c r="F884" s="41" t="str">
        <f>IFERROR(INDEX(Personnel[[Sinav ]],$K884),"")</f>
        <v/>
      </c>
      <c r="G884" s="41" t="str">
        <f>IFERROR(INDEX(Personnel[Egtim durumu],$K884),"")</f>
        <v/>
      </c>
      <c r="H884" s="41" t="str">
        <f>IFERROR(INDEX(Personnel[Shohruh Not],$K884),"")</f>
        <v/>
      </c>
      <c r="I884" s="40" t="str">
        <f>IFERROR(INDEX(Personnel[Дней в РФ],$K884),"")</f>
        <v/>
      </c>
      <c r="K884" s="23" t="str">
        <f t="array" ref="K884">IFERROR(_xlfn.AGGREGATE(15,6,(ROW(Personnel[Egtim durumu])-MIN(ROW(Personnel[Egtim durumu]))+1)/((Personnel[Egtim durumu]="Dil egitimi tamamlandi sinavdan gecti")),ROWS($K$7:K884)),"")</f>
        <v/>
      </c>
    </row>
    <row r="885" spans="1:11" x14ac:dyDescent="0.25">
      <c r="A885" s="18" t="str">
        <f>IFERROR(INDEX(Personnel[Sicil],$K885),"")</f>
        <v/>
      </c>
      <c r="B885" s="17" t="str">
        <f>IFERROR(INDEX(Personnel[Adi Soyadi],$K885),"")</f>
        <v/>
      </c>
      <c r="C885" s="18" t="str">
        <f>IFERROR(INDEX(Personnel[Vatandaslik],$K885),"")</f>
        <v/>
      </c>
      <c r="D885" s="18" t="str">
        <f>IFERROR(INDEX(Personnel[Santiye],$K885),"")</f>
        <v/>
      </c>
      <c r="E885" s="18" t="str">
        <f>IFERROR(INDEX(Personnel[Ogretmen],$K885),"")</f>
        <v/>
      </c>
      <c r="F885" s="17" t="str">
        <f>IFERROR(INDEX(Personnel[[Sinav ]],$K885),"")</f>
        <v/>
      </c>
      <c r="G885" s="17" t="str">
        <f>IFERROR(INDEX(Personnel[Egtim durumu],$K885),"")</f>
        <v/>
      </c>
      <c r="H885" s="17" t="str">
        <f>IFERROR(INDEX(Personnel[Shohruh Not],$K885),"")</f>
        <v/>
      </c>
      <c r="I885" s="18" t="str">
        <f>IFERROR(INDEX(Personnel[Дней в РФ],$K885),"")</f>
        <v/>
      </c>
      <c r="K885" s="23" t="str">
        <f t="array" ref="K885">IFERROR(_xlfn.AGGREGATE(15,6,(ROW(Personnel[Egtim durumu])-MIN(ROW(Personnel[Egtim durumu]))+1)/((Personnel[Egtim durumu]="Dil egitimi tamamlandi sinavdan gecti")),ROWS($K$7:K885)),"")</f>
        <v/>
      </c>
    </row>
    <row r="886" spans="1:11" x14ac:dyDescent="0.25">
      <c r="A886" s="40" t="str">
        <f>IFERROR(INDEX(Personnel[Sicil],$K886),"")</f>
        <v/>
      </c>
      <c r="B886" s="41" t="str">
        <f>IFERROR(INDEX(Personnel[Adi Soyadi],$K886),"")</f>
        <v/>
      </c>
      <c r="C886" s="40" t="str">
        <f>IFERROR(INDEX(Personnel[Vatandaslik],$K886),"")</f>
        <v/>
      </c>
      <c r="D886" s="40" t="str">
        <f>IFERROR(INDEX(Personnel[Santiye],$K886),"")</f>
        <v/>
      </c>
      <c r="E886" s="40" t="str">
        <f>IFERROR(INDEX(Personnel[Ogretmen],$K886),"")</f>
        <v/>
      </c>
      <c r="F886" s="41" t="str">
        <f>IFERROR(INDEX(Personnel[[Sinav ]],$K886),"")</f>
        <v/>
      </c>
      <c r="G886" s="41" t="str">
        <f>IFERROR(INDEX(Personnel[Egtim durumu],$K886),"")</f>
        <v/>
      </c>
      <c r="H886" s="41" t="str">
        <f>IFERROR(INDEX(Personnel[Shohruh Not],$K886),"")</f>
        <v/>
      </c>
      <c r="I886" s="40" t="str">
        <f>IFERROR(INDEX(Personnel[Дней в РФ],$K886),"")</f>
        <v/>
      </c>
      <c r="K886" s="23" t="str">
        <f t="array" ref="K886">IFERROR(_xlfn.AGGREGATE(15,6,(ROW(Personnel[Egtim durumu])-MIN(ROW(Personnel[Egtim durumu]))+1)/((Personnel[Egtim durumu]="Dil egitimi tamamlandi sinavdan gecti")),ROWS($K$7:K886)),"")</f>
        <v/>
      </c>
    </row>
    <row r="887" spans="1:11" x14ac:dyDescent="0.25">
      <c r="A887" s="18" t="str">
        <f>IFERROR(INDEX(Personnel[Sicil],$K887),"")</f>
        <v/>
      </c>
      <c r="B887" s="17" t="str">
        <f>IFERROR(INDEX(Personnel[Adi Soyadi],$K887),"")</f>
        <v/>
      </c>
      <c r="C887" s="18" t="str">
        <f>IFERROR(INDEX(Personnel[Vatandaslik],$K887),"")</f>
        <v/>
      </c>
      <c r="D887" s="18" t="str">
        <f>IFERROR(INDEX(Personnel[Santiye],$K887),"")</f>
        <v/>
      </c>
      <c r="E887" s="18" t="str">
        <f>IFERROR(INDEX(Personnel[Ogretmen],$K887),"")</f>
        <v/>
      </c>
      <c r="F887" s="17" t="str">
        <f>IFERROR(INDEX(Personnel[[Sinav ]],$K887),"")</f>
        <v/>
      </c>
      <c r="G887" s="17" t="str">
        <f>IFERROR(INDEX(Personnel[Egtim durumu],$K887),"")</f>
        <v/>
      </c>
      <c r="H887" s="17" t="str">
        <f>IFERROR(INDEX(Personnel[Shohruh Not],$K887),"")</f>
        <v/>
      </c>
      <c r="I887" s="18" t="str">
        <f>IFERROR(INDEX(Personnel[Дней в РФ],$K887),"")</f>
        <v/>
      </c>
      <c r="K887" s="23" t="str">
        <f t="array" ref="K887">IFERROR(_xlfn.AGGREGATE(15,6,(ROW(Personnel[Egtim durumu])-MIN(ROW(Personnel[Egtim durumu]))+1)/((Personnel[Egtim durumu]="Dil egitimi tamamlandi sinavdan gecti")),ROWS($K$7:K887)),"")</f>
        <v/>
      </c>
    </row>
    <row r="888" spans="1:11" x14ac:dyDescent="0.25">
      <c r="A888" s="40" t="str">
        <f>IFERROR(INDEX(Personnel[Sicil],$K888),"")</f>
        <v/>
      </c>
      <c r="B888" s="41" t="str">
        <f>IFERROR(INDEX(Personnel[Adi Soyadi],$K888),"")</f>
        <v/>
      </c>
      <c r="C888" s="40" t="str">
        <f>IFERROR(INDEX(Personnel[Vatandaslik],$K888),"")</f>
        <v/>
      </c>
      <c r="D888" s="40" t="str">
        <f>IFERROR(INDEX(Personnel[Santiye],$K888),"")</f>
        <v/>
      </c>
      <c r="E888" s="40" t="str">
        <f>IFERROR(INDEX(Personnel[Ogretmen],$K888),"")</f>
        <v/>
      </c>
      <c r="F888" s="41" t="str">
        <f>IFERROR(INDEX(Personnel[[Sinav ]],$K888),"")</f>
        <v/>
      </c>
      <c r="G888" s="41" t="str">
        <f>IFERROR(INDEX(Personnel[Egtim durumu],$K888),"")</f>
        <v/>
      </c>
      <c r="H888" s="41" t="str">
        <f>IFERROR(INDEX(Personnel[Shohruh Not],$K888),"")</f>
        <v/>
      </c>
      <c r="I888" s="40" t="str">
        <f>IFERROR(INDEX(Personnel[Дней в РФ],$K888),"")</f>
        <v/>
      </c>
      <c r="K888" s="23" t="str">
        <f t="array" ref="K888">IFERROR(_xlfn.AGGREGATE(15,6,(ROW(Personnel[Egtim durumu])-MIN(ROW(Personnel[Egtim durumu]))+1)/((Personnel[Egtim durumu]="Dil egitimi tamamlandi sinavdan gecti")),ROWS($K$7:K888)),"")</f>
        <v/>
      </c>
    </row>
    <row r="889" spans="1:11" x14ac:dyDescent="0.25">
      <c r="A889" s="18" t="str">
        <f>IFERROR(INDEX(Personnel[Sicil],$K889),"")</f>
        <v/>
      </c>
      <c r="B889" s="17" t="str">
        <f>IFERROR(INDEX(Personnel[Adi Soyadi],$K889),"")</f>
        <v/>
      </c>
      <c r="C889" s="18" t="str">
        <f>IFERROR(INDEX(Personnel[Vatandaslik],$K889),"")</f>
        <v/>
      </c>
      <c r="D889" s="18" t="str">
        <f>IFERROR(INDEX(Personnel[Santiye],$K889),"")</f>
        <v/>
      </c>
      <c r="E889" s="18" t="str">
        <f>IFERROR(INDEX(Personnel[Ogretmen],$K889),"")</f>
        <v/>
      </c>
      <c r="F889" s="17" t="str">
        <f>IFERROR(INDEX(Personnel[[Sinav ]],$K889),"")</f>
        <v/>
      </c>
      <c r="G889" s="17" t="str">
        <f>IFERROR(INDEX(Personnel[Egtim durumu],$K889),"")</f>
        <v/>
      </c>
      <c r="H889" s="17" t="str">
        <f>IFERROR(INDEX(Personnel[Shohruh Not],$K889),"")</f>
        <v/>
      </c>
      <c r="I889" s="18" t="str">
        <f>IFERROR(INDEX(Personnel[Дней в РФ],$K889),"")</f>
        <v/>
      </c>
      <c r="K889" s="23" t="str">
        <f t="array" ref="K889">IFERROR(_xlfn.AGGREGATE(15,6,(ROW(Personnel[Egtim durumu])-MIN(ROW(Personnel[Egtim durumu]))+1)/((Personnel[Egtim durumu]="Dil egitimi tamamlandi sinavdan gecti")),ROWS($K$7:K889)),"")</f>
        <v/>
      </c>
    </row>
    <row r="890" spans="1:11" x14ac:dyDescent="0.25">
      <c r="A890" s="40" t="str">
        <f>IFERROR(INDEX(Personnel[Sicil],$K890),"")</f>
        <v/>
      </c>
      <c r="B890" s="41" t="str">
        <f>IFERROR(INDEX(Personnel[Adi Soyadi],$K890),"")</f>
        <v/>
      </c>
      <c r="C890" s="40" t="str">
        <f>IFERROR(INDEX(Personnel[Vatandaslik],$K890),"")</f>
        <v/>
      </c>
      <c r="D890" s="40" t="str">
        <f>IFERROR(INDEX(Personnel[Santiye],$K890),"")</f>
        <v/>
      </c>
      <c r="E890" s="40" t="str">
        <f>IFERROR(INDEX(Personnel[Ogretmen],$K890),"")</f>
        <v/>
      </c>
      <c r="F890" s="41" t="str">
        <f>IFERROR(INDEX(Personnel[[Sinav ]],$K890),"")</f>
        <v/>
      </c>
      <c r="G890" s="41" t="str">
        <f>IFERROR(INDEX(Personnel[Egtim durumu],$K890),"")</f>
        <v/>
      </c>
      <c r="H890" s="41" t="str">
        <f>IFERROR(INDEX(Personnel[Shohruh Not],$K890),"")</f>
        <v/>
      </c>
      <c r="I890" s="40" t="str">
        <f>IFERROR(INDEX(Personnel[Дней в РФ],$K890),"")</f>
        <v/>
      </c>
      <c r="K890" s="23" t="str">
        <f t="array" ref="K890">IFERROR(_xlfn.AGGREGATE(15,6,(ROW(Personnel[Egtim durumu])-MIN(ROW(Personnel[Egtim durumu]))+1)/((Personnel[Egtim durumu]="Dil egitimi tamamlandi sinavdan gecti")),ROWS($K$7:K890)),"")</f>
        <v/>
      </c>
    </row>
    <row r="891" spans="1:11" x14ac:dyDescent="0.25">
      <c r="A891" s="18" t="str">
        <f>IFERROR(INDEX(Personnel[Sicil],$K891),"")</f>
        <v/>
      </c>
      <c r="B891" s="17" t="str">
        <f>IFERROR(INDEX(Personnel[Adi Soyadi],$K891),"")</f>
        <v/>
      </c>
      <c r="C891" s="18" t="str">
        <f>IFERROR(INDEX(Personnel[Vatandaslik],$K891),"")</f>
        <v/>
      </c>
      <c r="D891" s="18" t="str">
        <f>IFERROR(INDEX(Personnel[Santiye],$K891),"")</f>
        <v/>
      </c>
      <c r="E891" s="18" t="str">
        <f>IFERROR(INDEX(Personnel[Ogretmen],$K891),"")</f>
        <v/>
      </c>
      <c r="F891" s="17" t="str">
        <f>IFERROR(INDEX(Personnel[[Sinav ]],$K891),"")</f>
        <v/>
      </c>
      <c r="G891" s="17" t="str">
        <f>IFERROR(INDEX(Personnel[Egtim durumu],$K891),"")</f>
        <v/>
      </c>
      <c r="H891" s="17" t="str">
        <f>IFERROR(INDEX(Personnel[Shohruh Not],$K891),"")</f>
        <v/>
      </c>
      <c r="I891" s="18" t="str">
        <f>IFERROR(INDEX(Personnel[Дней в РФ],$K891),"")</f>
        <v/>
      </c>
      <c r="K891" s="23" t="str">
        <f t="array" ref="K891">IFERROR(_xlfn.AGGREGATE(15,6,(ROW(Personnel[Egtim durumu])-MIN(ROW(Personnel[Egtim durumu]))+1)/((Personnel[Egtim durumu]="Dil egitimi tamamlandi sinavdan gecti")),ROWS($K$7:K891)),"")</f>
        <v/>
      </c>
    </row>
    <row r="892" spans="1:11" x14ac:dyDescent="0.25">
      <c r="A892" s="40" t="str">
        <f>IFERROR(INDEX(Personnel[Sicil],$K892),"")</f>
        <v/>
      </c>
      <c r="B892" s="41" t="str">
        <f>IFERROR(INDEX(Personnel[Adi Soyadi],$K892),"")</f>
        <v/>
      </c>
      <c r="C892" s="40" t="str">
        <f>IFERROR(INDEX(Personnel[Vatandaslik],$K892),"")</f>
        <v/>
      </c>
      <c r="D892" s="40" t="str">
        <f>IFERROR(INDEX(Personnel[Santiye],$K892),"")</f>
        <v/>
      </c>
      <c r="E892" s="40" t="str">
        <f>IFERROR(INDEX(Personnel[Ogretmen],$K892),"")</f>
        <v/>
      </c>
      <c r="F892" s="41" t="str">
        <f>IFERROR(INDEX(Personnel[[Sinav ]],$K892),"")</f>
        <v/>
      </c>
      <c r="G892" s="41" t="str">
        <f>IFERROR(INDEX(Personnel[Egtim durumu],$K892),"")</f>
        <v/>
      </c>
      <c r="H892" s="41" t="str">
        <f>IFERROR(INDEX(Personnel[Shohruh Not],$K892),"")</f>
        <v/>
      </c>
      <c r="I892" s="40" t="str">
        <f>IFERROR(INDEX(Personnel[Дней в РФ],$K892),"")</f>
        <v/>
      </c>
      <c r="K892" s="23" t="str">
        <f t="array" ref="K892">IFERROR(_xlfn.AGGREGATE(15,6,(ROW(Personnel[Egtim durumu])-MIN(ROW(Personnel[Egtim durumu]))+1)/((Personnel[Egtim durumu]="Dil egitimi tamamlandi sinavdan gecti")),ROWS($K$7:K892)),"")</f>
        <v/>
      </c>
    </row>
    <row r="893" spans="1:11" x14ac:dyDescent="0.25">
      <c r="A893" s="18" t="str">
        <f>IFERROR(INDEX(Personnel[Sicil],$K893),"")</f>
        <v/>
      </c>
      <c r="B893" s="17" t="str">
        <f>IFERROR(INDEX(Personnel[Adi Soyadi],$K893),"")</f>
        <v/>
      </c>
      <c r="C893" s="18" t="str">
        <f>IFERROR(INDEX(Personnel[Vatandaslik],$K893),"")</f>
        <v/>
      </c>
      <c r="D893" s="18" t="str">
        <f>IFERROR(INDEX(Personnel[Santiye],$K893),"")</f>
        <v/>
      </c>
      <c r="E893" s="18" t="str">
        <f>IFERROR(INDEX(Personnel[Ogretmen],$K893),"")</f>
        <v/>
      </c>
      <c r="F893" s="17" t="str">
        <f>IFERROR(INDEX(Personnel[[Sinav ]],$K893),"")</f>
        <v/>
      </c>
      <c r="G893" s="17" t="str">
        <f>IFERROR(INDEX(Personnel[Egtim durumu],$K893),"")</f>
        <v/>
      </c>
      <c r="H893" s="17" t="str">
        <f>IFERROR(INDEX(Personnel[Shohruh Not],$K893),"")</f>
        <v/>
      </c>
      <c r="I893" s="18" t="str">
        <f>IFERROR(INDEX(Personnel[Дней в РФ],$K893),"")</f>
        <v/>
      </c>
      <c r="K893" s="23" t="str">
        <f t="array" ref="K893">IFERROR(_xlfn.AGGREGATE(15,6,(ROW(Personnel[Egtim durumu])-MIN(ROW(Personnel[Egtim durumu]))+1)/((Personnel[Egtim durumu]="Dil egitimi tamamlandi sinavdan gecti")),ROWS($K$7:K893)),"")</f>
        <v/>
      </c>
    </row>
    <row r="894" spans="1:11" x14ac:dyDescent="0.25">
      <c r="A894" s="40" t="str">
        <f>IFERROR(INDEX(Personnel[Sicil],$K894),"")</f>
        <v/>
      </c>
      <c r="B894" s="41" t="str">
        <f>IFERROR(INDEX(Personnel[Adi Soyadi],$K894),"")</f>
        <v/>
      </c>
      <c r="C894" s="40" t="str">
        <f>IFERROR(INDEX(Personnel[Vatandaslik],$K894),"")</f>
        <v/>
      </c>
      <c r="D894" s="40" t="str">
        <f>IFERROR(INDEX(Personnel[Santiye],$K894),"")</f>
        <v/>
      </c>
      <c r="E894" s="40" t="str">
        <f>IFERROR(INDEX(Personnel[Ogretmen],$K894),"")</f>
        <v/>
      </c>
      <c r="F894" s="41" t="str">
        <f>IFERROR(INDEX(Personnel[[Sinav ]],$K894),"")</f>
        <v/>
      </c>
      <c r="G894" s="41" t="str">
        <f>IFERROR(INDEX(Personnel[Egtim durumu],$K894),"")</f>
        <v/>
      </c>
      <c r="H894" s="41" t="str">
        <f>IFERROR(INDEX(Personnel[Shohruh Not],$K894),"")</f>
        <v/>
      </c>
      <c r="I894" s="40" t="str">
        <f>IFERROR(INDEX(Personnel[Дней в РФ],$K894),"")</f>
        <v/>
      </c>
      <c r="K894" s="23" t="str">
        <f t="array" ref="K894">IFERROR(_xlfn.AGGREGATE(15,6,(ROW(Personnel[Egtim durumu])-MIN(ROW(Personnel[Egtim durumu]))+1)/((Personnel[Egtim durumu]="Dil egitimi tamamlandi sinavdan gecti")),ROWS($K$7:K894)),"")</f>
        <v/>
      </c>
    </row>
    <row r="895" spans="1:11" x14ac:dyDescent="0.25">
      <c r="A895" s="18" t="str">
        <f>IFERROR(INDEX(Personnel[Sicil],$K895),"")</f>
        <v/>
      </c>
      <c r="B895" s="17" t="str">
        <f>IFERROR(INDEX(Personnel[Adi Soyadi],$K895),"")</f>
        <v/>
      </c>
      <c r="C895" s="18" t="str">
        <f>IFERROR(INDEX(Personnel[Vatandaslik],$K895),"")</f>
        <v/>
      </c>
      <c r="D895" s="18" t="str">
        <f>IFERROR(INDEX(Personnel[Santiye],$K895),"")</f>
        <v/>
      </c>
      <c r="E895" s="18" t="str">
        <f>IFERROR(INDEX(Personnel[Ogretmen],$K895),"")</f>
        <v/>
      </c>
      <c r="F895" s="17" t="str">
        <f>IFERROR(INDEX(Personnel[[Sinav ]],$K895),"")</f>
        <v/>
      </c>
      <c r="G895" s="17" t="str">
        <f>IFERROR(INDEX(Personnel[Egtim durumu],$K895),"")</f>
        <v/>
      </c>
      <c r="H895" s="17" t="str">
        <f>IFERROR(INDEX(Personnel[Shohruh Not],$K895),"")</f>
        <v/>
      </c>
      <c r="I895" s="18" t="str">
        <f>IFERROR(INDEX(Personnel[Дней в РФ],$K895),"")</f>
        <v/>
      </c>
      <c r="K895" s="23" t="str">
        <f t="array" ref="K895">IFERROR(_xlfn.AGGREGATE(15,6,(ROW(Personnel[Egtim durumu])-MIN(ROW(Personnel[Egtim durumu]))+1)/((Personnel[Egtim durumu]="Dil egitimi tamamlandi sinavdan gecti")),ROWS($K$7:K895)),"")</f>
        <v/>
      </c>
    </row>
    <row r="896" spans="1:11" x14ac:dyDescent="0.25">
      <c r="A896" s="40" t="str">
        <f>IFERROR(INDEX(Personnel[Sicil],$K896),"")</f>
        <v/>
      </c>
      <c r="B896" s="41" t="str">
        <f>IFERROR(INDEX(Personnel[Adi Soyadi],$K896),"")</f>
        <v/>
      </c>
      <c r="C896" s="40" t="str">
        <f>IFERROR(INDEX(Personnel[Vatandaslik],$K896),"")</f>
        <v/>
      </c>
      <c r="D896" s="40" t="str">
        <f>IFERROR(INDEX(Personnel[Santiye],$K896),"")</f>
        <v/>
      </c>
      <c r="E896" s="40" t="str">
        <f>IFERROR(INDEX(Personnel[Ogretmen],$K896),"")</f>
        <v/>
      </c>
      <c r="F896" s="41" t="str">
        <f>IFERROR(INDEX(Personnel[[Sinav ]],$K896),"")</f>
        <v/>
      </c>
      <c r="G896" s="41" t="str">
        <f>IFERROR(INDEX(Personnel[Egtim durumu],$K896),"")</f>
        <v/>
      </c>
      <c r="H896" s="41" t="str">
        <f>IFERROR(INDEX(Personnel[Shohruh Not],$K896),"")</f>
        <v/>
      </c>
      <c r="I896" s="40" t="str">
        <f>IFERROR(INDEX(Personnel[Дней в РФ],$K896),"")</f>
        <v/>
      </c>
      <c r="K896" s="23" t="str">
        <f t="array" ref="K896">IFERROR(_xlfn.AGGREGATE(15,6,(ROW(Personnel[Egtim durumu])-MIN(ROW(Personnel[Egtim durumu]))+1)/((Personnel[Egtim durumu]="Dil egitimi tamamlandi sinavdan gecti")),ROWS($K$7:K896)),"")</f>
        <v/>
      </c>
    </row>
    <row r="897" spans="1:11" x14ac:dyDescent="0.25">
      <c r="A897" s="18" t="str">
        <f>IFERROR(INDEX(Personnel[Sicil],$K897),"")</f>
        <v/>
      </c>
      <c r="B897" s="17" t="str">
        <f>IFERROR(INDEX(Personnel[Adi Soyadi],$K897),"")</f>
        <v/>
      </c>
      <c r="C897" s="18" t="str">
        <f>IFERROR(INDEX(Personnel[Vatandaslik],$K897),"")</f>
        <v/>
      </c>
      <c r="D897" s="18" t="str">
        <f>IFERROR(INDEX(Personnel[Santiye],$K897),"")</f>
        <v/>
      </c>
      <c r="E897" s="18" t="str">
        <f>IFERROR(INDEX(Personnel[Ogretmen],$K897),"")</f>
        <v/>
      </c>
      <c r="F897" s="17" t="str">
        <f>IFERROR(INDEX(Personnel[[Sinav ]],$K897),"")</f>
        <v/>
      </c>
      <c r="G897" s="17" t="str">
        <f>IFERROR(INDEX(Personnel[Egtim durumu],$K897),"")</f>
        <v/>
      </c>
      <c r="H897" s="17" t="str">
        <f>IFERROR(INDEX(Personnel[Shohruh Not],$K897),"")</f>
        <v/>
      </c>
      <c r="I897" s="18" t="str">
        <f>IFERROR(INDEX(Personnel[Дней в РФ],$K897),"")</f>
        <v/>
      </c>
      <c r="K897" s="23" t="str">
        <f t="array" ref="K897">IFERROR(_xlfn.AGGREGATE(15,6,(ROW(Personnel[Egtim durumu])-MIN(ROW(Personnel[Egtim durumu]))+1)/((Personnel[Egtim durumu]="Dil egitimi tamamlandi sinavdan gecti")),ROWS($K$7:K897)),"")</f>
        <v/>
      </c>
    </row>
    <row r="898" spans="1:11" x14ac:dyDescent="0.25">
      <c r="A898" s="40" t="str">
        <f>IFERROR(INDEX(Personnel[Sicil],$K898),"")</f>
        <v/>
      </c>
      <c r="B898" s="41" t="str">
        <f>IFERROR(INDEX(Personnel[Adi Soyadi],$K898),"")</f>
        <v/>
      </c>
      <c r="C898" s="40" t="str">
        <f>IFERROR(INDEX(Personnel[Vatandaslik],$K898),"")</f>
        <v/>
      </c>
      <c r="D898" s="40" t="str">
        <f>IFERROR(INDEX(Personnel[Santiye],$K898),"")</f>
        <v/>
      </c>
      <c r="E898" s="40" t="str">
        <f>IFERROR(INDEX(Personnel[Ogretmen],$K898),"")</f>
        <v/>
      </c>
      <c r="F898" s="41" t="str">
        <f>IFERROR(INDEX(Personnel[[Sinav ]],$K898),"")</f>
        <v/>
      </c>
      <c r="G898" s="41" t="str">
        <f>IFERROR(INDEX(Personnel[Egtim durumu],$K898),"")</f>
        <v/>
      </c>
      <c r="H898" s="41" t="str">
        <f>IFERROR(INDEX(Personnel[Shohruh Not],$K898),"")</f>
        <v/>
      </c>
      <c r="I898" s="40" t="str">
        <f>IFERROR(INDEX(Personnel[Дней в РФ],$K898),"")</f>
        <v/>
      </c>
      <c r="K898" s="23" t="str">
        <f t="array" ref="K898">IFERROR(_xlfn.AGGREGATE(15,6,(ROW(Personnel[Egtim durumu])-MIN(ROW(Personnel[Egtim durumu]))+1)/((Personnel[Egtim durumu]="Dil egitimi tamamlandi sinavdan gecti")),ROWS($K$7:K898)),"")</f>
        <v/>
      </c>
    </row>
    <row r="899" spans="1:11" x14ac:dyDescent="0.25">
      <c r="A899" s="18" t="str">
        <f>IFERROR(INDEX(Personnel[Sicil],$K899),"")</f>
        <v/>
      </c>
      <c r="B899" s="17" t="str">
        <f>IFERROR(INDEX(Personnel[Adi Soyadi],$K899),"")</f>
        <v/>
      </c>
      <c r="C899" s="18" t="str">
        <f>IFERROR(INDEX(Personnel[Vatandaslik],$K899),"")</f>
        <v/>
      </c>
      <c r="D899" s="18" t="str">
        <f>IFERROR(INDEX(Personnel[Santiye],$K899),"")</f>
        <v/>
      </c>
      <c r="E899" s="18" t="str">
        <f>IFERROR(INDEX(Personnel[Ogretmen],$K899),"")</f>
        <v/>
      </c>
      <c r="F899" s="17" t="str">
        <f>IFERROR(INDEX(Personnel[[Sinav ]],$K899),"")</f>
        <v/>
      </c>
      <c r="G899" s="17" t="str">
        <f>IFERROR(INDEX(Personnel[Egtim durumu],$K899),"")</f>
        <v/>
      </c>
      <c r="H899" s="17" t="str">
        <f>IFERROR(INDEX(Personnel[Shohruh Not],$K899),"")</f>
        <v/>
      </c>
      <c r="I899" s="18" t="str">
        <f>IFERROR(INDEX(Personnel[Дней в РФ],$K899),"")</f>
        <v/>
      </c>
      <c r="K899" s="23" t="str">
        <f t="array" ref="K899">IFERROR(_xlfn.AGGREGATE(15,6,(ROW(Personnel[Egtim durumu])-MIN(ROW(Personnel[Egtim durumu]))+1)/((Personnel[Egtim durumu]="Dil egitimi tamamlandi sinavdan gecti")),ROWS($K$7:K899)),"")</f>
        <v/>
      </c>
    </row>
    <row r="900" spans="1:11" x14ac:dyDescent="0.25">
      <c r="A900" s="40" t="str">
        <f>IFERROR(INDEX(Personnel[Sicil],$K900),"")</f>
        <v/>
      </c>
      <c r="B900" s="41" t="str">
        <f>IFERROR(INDEX(Personnel[Adi Soyadi],$K900),"")</f>
        <v/>
      </c>
      <c r="C900" s="40" t="str">
        <f>IFERROR(INDEX(Personnel[Vatandaslik],$K900),"")</f>
        <v/>
      </c>
      <c r="D900" s="40" t="str">
        <f>IFERROR(INDEX(Personnel[Santiye],$K900),"")</f>
        <v/>
      </c>
      <c r="E900" s="40" t="str">
        <f>IFERROR(INDEX(Personnel[Ogretmen],$K900),"")</f>
        <v/>
      </c>
      <c r="F900" s="41" t="str">
        <f>IFERROR(INDEX(Personnel[[Sinav ]],$K900),"")</f>
        <v/>
      </c>
      <c r="G900" s="41" t="str">
        <f>IFERROR(INDEX(Personnel[Egtim durumu],$K900),"")</f>
        <v/>
      </c>
      <c r="H900" s="41" t="str">
        <f>IFERROR(INDEX(Personnel[Shohruh Not],$K900),"")</f>
        <v/>
      </c>
      <c r="I900" s="40" t="str">
        <f>IFERROR(INDEX(Personnel[Дней в РФ],$K900),"")</f>
        <v/>
      </c>
      <c r="K900" s="23" t="str">
        <f t="array" ref="K900">IFERROR(_xlfn.AGGREGATE(15,6,(ROW(Personnel[Egtim durumu])-MIN(ROW(Personnel[Egtim durumu]))+1)/((Personnel[Egtim durumu]="Dil egitimi tamamlandi sinavdan gecti")),ROWS($K$7:K900)),"")</f>
        <v/>
      </c>
    </row>
    <row r="901" spans="1:11" x14ac:dyDescent="0.25">
      <c r="A901" s="18" t="str">
        <f>IFERROR(INDEX(Personnel[Sicil],$K901),"")</f>
        <v/>
      </c>
      <c r="B901" s="17" t="str">
        <f>IFERROR(INDEX(Personnel[Adi Soyadi],$K901),"")</f>
        <v/>
      </c>
      <c r="C901" s="18" t="str">
        <f>IFERROR(INDEX(Personnel[Vatandaslik],$K901),"")</f>
        <v/>
      </c>
      <c r="D901" s="18" t="str">
        <f>IFERROR(INDEX(Personnel[Santiye],$K901),"")</f>
        <v/>
      </c>
      <c r="E901" s="18" t="str">
        <f>IFERROR(INDEX(Personnel[Ogretmen],$K901),"")</f>
        <v/>
      </c>
      <c r="F901" s="17" t="str">
        <f>IFERROR(INDEX(Personnel[[Sinav ]],$K901),"")</f>
        <v/>
      </c>
      <c r="G901" s="17" t="str">
        <f>IFERROR(INDEX(Personnel[Egtim durumu],$K901),"")</f>
        <v/>
      </c>
      <c r="H901" s="17" t="str">
        <f>IFERROR(INDEX(Personnel[Shohruh Not],$K901),"")</f>
        <v/>
      </c>
      <c r="I901" s="18" t="str">
        <f>IFERROR(INDEX(Personnel[Дней в РФ],$K901),"")</f>
        <v/>
      </c>
      <c r="K901" s="23" t="str">
        <f t="array" ref="K901">IFERROR(_xlfn.AGGREGATE(15,6,(ROW(Personnel[Egtim durumu])-MIN(ROW(Personnel[Egtim durumu]))+1)/((Personnel[Egtim durumu]="Dil egitimi tamamlandi sinavdan gecti")),ROWS($K$7:K901)),"")</f>
        <v/>
      </c>
    </row>
    <row r="902" spans="1:11" x14ac:dyDescent="0.25">
      <c r="A902" s="40" t="str">
        <f>IFERROR(INDEX(Personnel[Sicil],$K902),"")</f>
        <v/>
      </c>
      <c r="B902" s="41" t="str">
        <f>IFERROR(INDEX(Personnel[Adi Soyadi],$K902),"")</f>
        <v/>
      </c>
      <c r="C902" s="40" t="str">
        <f>IFERROR(INDEX(Personnel[Vatandaslik],$K902),"")</f>
        <v/>
      </c>
      <c r="D902" s="40" t="str">
        <f>IFERROR(INDEX(Personnel[Santiye],$K902),"")</f>
        <v/>
      </c>
      <c r="E902" s="40" t="str">
        <f>IFERROR(INDEX(Personnel[Ogretmen],$K902),"")</f>
        <v/>
      </c>
      <c r="F902" s="41" t="str">
        <f>IFERROR(INDEX(Personnel[[Sinav ]],$K902),"")</f>
        <v/>
      </c>
      <c r="G902" s="41" t="str">
        <f>IFERROR(INDEX(Personnel[Egtim durumu],$K902),"")</f>
        <v/>
      </c>
      <c r="H902" s="41" t="str">
        <f>IFERROR(INDEX(Personnel[Shohruh Not],$K902),"")</f>
        <v/>
      </c>
      <c r="I902" s="40" t="str">
        <f>IFERROR(INDEX(Personnel[Дней в РФ],$K902),"")</f>
        <v/>
      </c>
      <c r="K902" s="23" t="str">
        <f t="array" ref="K902">IFERROR(_xlfn.AGGREGATE(15,6,(ROW(Personnel[Egtim durumu])-MIN(ROW(Personnel[Egtim durumu]))+1)/((Personnel[Egtim durumu]="Dil egitimi tamamlandi sinavdan gecti")),ROWS($K$7:K902)),"")</f>
        <v/>
      </c>
    </row>
    <row r="903" spans="1:11" x14ac:dyDescent="0.25">
      <c r="A903" s="18" t="str">
        <f>IFERROR(INDEX(Personnel[Sicil],$K903),"")</f>
        <v/>
      </c>
      <c r="B903" s="17" t="str">
        <f>IFERROR(INDEX(Personnel[Adi Soyadi],$K903),"")</f>
        <v/>
      </c>
      <c r="C903" s="18" t="str">
        <f>IFERROR(INDEX(Personnel[Vatandaslik],$K903),"")</f>
        <v/>
      </c>
      <c r="D903" s="18" t="str">
        <f>IFERROR(INDEX(Personnel[Santiye],$K903),"")</f>
        <v/>
      </c>
      <c r="E903" s="18" t="str">
        <f>IFERROR(INDEX(Personnel[Ogretmen],$K903),"")</f>
        <v/>
      </c>
      <c r="F903" s="17" t="str">
        <f>IFERROR(INDEX(Personnel[[Sinav ]],$K903),"")</f>
        <v/>
      </c>
      <c r="G903" s="17" t="str">
        <f>IFERROR(INDEX(Personnel[Egtim durumu],$K903),"")</f>
        <v/>
      </c>
      <c r="H903" s="17" t="str">
        <f>IFERROR(INDEX(Personnel[Shohruh Not],$K903),"")</f>
        <v/>
      </c>
      <c r="I903" s="18" t="str">
        <f>IFERROR(INDEX(Personnel[Дней в РФ],$K903),"")</f>
        <v/>
      </c>
      <c r="K903" s="23" t="str">
        <f t="array" ref="K903">IFERROR(_xlfn.AGGREGATE(15,6,(ROW(Personnel[Egtim durumu])-MIN(ROW(Personnel[Egtim durumu]))+1)/((Personnel[Egtim durumu]="Dil egitimi tamamlandi sinavdan gecti")),ROWS($K$7:K903)),"")</f>
        <v/>
      </c>
    </row>
    <row r="904" spans="1:11" x14ac:dyDescent="0.25">
      <c r="A904" s="40" t="str">
        <f>IFERROR(INDEX(Personnel[Sicil],$K904),"")</f>
        <v/>
      </c>
      <c r="B904" s="41" t="str">
        <f>IFERROR(INDEX(Personnel[Adi Soyadi],$K904),"")</f>
        <v/>
      </c>
      <c r="C904" s="40" t="str">
        <f>IFERROR(INDEX(Personnel[Vatandaslik],$K904),"")</f>
        <v/>
      </c>
      <c r="D904" s="40" t="str">
        <f>IFERROR(INDEX(Personnel[Santiye],$K904),"")</f>
        <v/>
      </c>
      <c r="E904" s="40" t="str">
        <f>IFERROR(INDEX(Personnel[Ogretmen],$K904),"")</f>
        <v/>
      </c>
      <c r="F904" s="41" t="str">
        <f>IFERROR(INDEX(Personnel[[Sinav ]],$K904),"")</f>
        <v/>
      </c>
      <c r="G904" s="41" t="str">
        <f>IFERROR(INDEX(Personnel[Egtim durumu],$K904),"")</f>
        <v/>
      </c>
      <c r="H904" s="41" t="str">
        <f>IFERROR(INDEX(Personnel[Shohruh Not],$K904),"")</f>
        <v/>
      </c>
      <c r="I904" s="40" t="str">
        <f>IFERROR(INDEX(Personnel[Дней в РФ],$K904),"")</f>
        <v/>
      </c>
      <c r="K904" s="23" t="str">
        <f t="array" ref="K904">IFERROR(_xlfn.AGGREGATE(15,6,(ROW(Personnel[Egtim durumu])-MIN(ROW(Personnel[Egtim durumu]))+1)/((Personnel[Egtim durumu]="Dil egitimi tamamlandi sinavdan gecti")),ROWS($K$7:K904)),"")</f>
        <v/>
      </c>
    </row>
    <row r="905" spans="1:11" x14ac:dyDescent="0.25">
      <c r="A905" s="18" t="str">
        <f>IFERROR(INDEX(Personnel[Sicil],$K905),"")</f>
        <v/>
      </c>
      <c r="B905" s="17" t="str">
        <f>IFERROR(INDEX(Personnel[Adi Soyadi],$K905),"")</f>
        <v/>
      </c>
      <c r="C905" s="18" t="str">
        <f>IFERROR(INDEX(Personnel[Vatandaslik],$K905),"")</f>
        <v/>
      </c>
      <c r="D905" s="18" t="str">
        <f>IFERROR(INDEX(Personnel[Santiye],$K905),"")</f>
        <v/>
      </c>
      <c r="E905" s="18" t="str">
        <f>IFERROR(INDEX(Personnel[Ogretmen],$K905),"")</f>
        <v/>
      </c>
      <c r="F905" s="17" t="str">
        <f>IFERROR(INDEX(Personnel[[Sinav ]],$K905),"")</f>
        <v/>
      </c>
      <c r="G905" s="17" t="str">
        <f>IFERROR(INDEX(Personnel[Egtim durumu],$K905),"")</f>
        <v/>
      </c>
      <c r="H905" s="17" t="str">
        <f>IFERROR(INDEX(Personnel[Shohruh Not],$K905),"")</f>
        <v/>
      </c>
      <c r="I905" s="18" t="str">
        <f>IFERROR(INDEX(Personnel[Дней в РФ],$K905),"")</f>
        <v/>
      </c>
      <c r="K905" s="23" t="str">
        <f t="array" ref="K905">IFERROR(_xlfn.AGGREGATE(15,6,(ROW(Personnel[Egtim durumu])-MIN(ROW(Personnel[Egtim durumu]))+1)/((Personnel[Egtim durumu]="Dil egitimi tamamlandi sinavdan gecti")),ROWS($K$7:K905)),"")</f>
        <v/>
      </c>
    </row>
    <row r="906" spans="1:11" x14ac:dyDescent="0.25">
      <c r="A906" s="40" t="str">
        <f>IFERROR(INDEX(Personnel[Sicil],$K906),"")</f>
        <v/>
      </c>
      <c r="B906" s="41" t="str">
        <f>IFERROR(INDEX(Personnel[Adi Soyadi],$K906),"")</f>
        <v/>
      </c>
      <c r="C906" s="40" t="str">
        <f>IFERROR(INDEX(Personnel[Vatandaslik],$K906),"")</f>
        <v/>
      </c>
      <c r="D906" s="40" t="str">
        <f>IFERROR(INDEX(Personnel[Santiye],$K906),"")</f>
        <v/>
      </c>
      <c r="E906" s="40" t="str">
        <f>IFERROR(INDEX(Personnel[Ogretmen],$K906),"")</f>
        <v/>
      </c>
      <c r="F906" s="41" t="str">
        <f>IFERROR(INDEX(Personnel[[Sinav ]],$K906),"")</f>
        <v/>
      </c>
      <c r="G906" s="41" t="str">
        <f>IFERROR(INDEX(Personnel[Egtim durumu],$K906),"")</f>
        <v/>
      </c>
      <c r="H906" s="41" t="str">
        <f>IFERROR(INDEX(Personnel[Shohruh Not],$K906),"")</f>
        <v/>
      </c>
      <c r="I906" s="40" t="str">
        <f>IFERROR(INDEX(Personnel[Дней в РФ],$K906),"")</f>
        <v/>
      </c>
      <c r="K906" s="23" t="str">
        <f t="array" ref="K906">IFERROR(_xlfn.AGGREGATE(15,6,(ROW(Personnel[Egtim durumu])-MIN(ROW(Personnel[Egtim durumu]))+1)/((Personnel[Egtim durumu]="Dil egitimi tamamlandi sinavdan gecti")),ROWS($K$7:K906)),"")</f>
        <v/>
      </c>
    </row>
    <row r="907" spans="1:11" x14ac:dyDescent="0.25">
      <c r="A907" s="18" t="str">
        <f>IFERROR(INDEX(Personnel[Sicil],$K907),"")</f>
        <v/>
      </c>
      <c r="B907" s="17" t="str">
        <f>IFERROR(INDEX(Personnel[Adi Soyadi],$K907),"")</f>
        <v/>
      </c>
      <c r="C907" s="18" t="str">
        <f>IFERROR(INDEX(Personnel[Vatandaslik],$K907),"")</f>
        <v/>
      </c>
      <c r="D907" s="18" t="str">
        <f>IFERROR(INDEX(Personnel[Santiye],$K907),"")</f>
        <v/>
      </c>
      <c r="E907" s="18" t="str">
        <f>IFERROR(INDEX(Personnel[Ogretmen],$K907),"")</f>
        <v/>
      </c>
      <c r="F907" s="17" t="str">
        <f>IFERROR(INDEX(Personnel[[Sinav ]],$K907),"")</f>
        <v/>
      </c>
      <c r="G907" s="17" t="str">
        <f>IFERROR(INDEX(Personnel[Egtim durumu],$K907),"")</f>
        <v/>
      </c>
      <c r="H907" s="17" t="str">
        <f>IFERROR(INDEX(Personnel[Shohruh Not],$K907),"")</f>
        <v/>
      </c>
      <c r="I907" s="18" t="str">
        <f>IFERROR(INDEX(Personnel[Дней в РФ],$K907),"")</f>
        <v/>
      </c>
      <c r="K907" s="23" t="str">
        <f t="array" ref="K907">IFERROR(_xlfn.AGGREGATE(15,6,(ROW(Personnel[Egtim durumu])-MIN(ROW(Personnel[Egtim durumu]))+1)/((Personnel[Egtim durumu]="Dil egitimi tamamlandi sinavdan gecti")),ROWS($K$7:K907)),"")</f>
        <v/>
      </c>
    </row>
    <row r="908" spans="1:11" x14ac:dyDescent="0.25">
      <c r="A908" s="40" t="str">
        <f>IFERROR(INDEX(Personnel[Sicil],$K908),"")</f>
        <v/>
      </c>
      <c r="B908" s="41" t="str">
        <f>IFERROR(INDEX(Personnel[Adi Soyadi],$K908),"")</f>
        <v/>
      </c>
      <c r="C908" s="40" t="str">
        <f>IFERROR(INDEX(Personnel[Vatandaslik],$K908),"")</f>
        <v/>
      </c>
      <c r="D908" s="40" t="str">
        <f>IFERROR(INDEX(Personnel[Santiye],$K908),"")</f>
        <v/>
      </c>
      <c r="E908" s="40" t="str">
        <f>IFERROR(INDEX(Personnel[Ogretmen],$K908),"")</f>
        <v/>
      </c>
      <c r="F908" s="41" t="str">
        <f>IFERROR(INDEX(Personnel[[Sinav ]],$K908),"")</f>
        <v/>
      </c>
      <c r="G908" s="41" t="str">
        <f>IFERROR(INDEX(Personnel[Egtim durumu],$K908),"")</f>
        <v/>
      </c>
      <c r="H908" s="41" t="str">
        <f>IFERROR(INDEX(Personnel[Shohruh Not],$K908),"")</f>
        <v/>
      </c>
      <c r="I908" s="40" t="str">
        <f>IFERROR(INDEX(Personnel[Дней в РФ],$K908),"")</f>
        <v/>
      </c>
      <c r="K908" s="23" t="str">
        <f t="array" ref="K908">IFERROR(_xlfn.AGGREGATE(15,6,(ROW(Personnel[Egtim durumu])-MIN(ROW(Personnel[Egtim durumu]))+1)/((Personnel[Egtim durumu]="Dil egitimi tamamlandi sinavdan gecti")),ROWS($K$7:K908)),"")</f>
        <v/>
      </c>
    </row>
    <row r="909" spans="1:11" x14ac:dyDescent="0.25">
      <c r="A909" s="18" t="str">
        <f>IFERROR(INDEX(Personnel[Sicil],$K909),"")</f>
        <v/>
      </c>
      <c r="B909" s="17" t="str">
        <f>IFERROR(INDEX(Personnel[Adi Soyadi],$K909),"")</f>
        <v/>
      </c>
      <c r="C909" s="18" t="str">
        <f>IFERROR(INDEX(Personnel[Vatandaslik],$K909),"")</f>
        <v/>
      </c>
      <c r="D909" s="18" t="str">
        <f>IFERROR(INDEX(Personnel[Santiye],$K909),"")</f>
        <v/>
      </c>
      <c r="E909" s="18" t="str">
        <f>IFERROR(INDEX(Personnel[Ogretmen],$K909),"")</f>
        <v/>
      </c>
      <c r="F909" s="17" t="str">
        <f>IFERROR(INDEX(Personnel[[Sinav ]],$K909),"")</f>
        <v/>
      </c>
      <c r="G909" s="17" t="str">
        <f>IFERROR(INDEX(Personnel[Egtim durumu],$K909),"")</f>
        <v/>
      </c>
      <c r="H909" s="17" t="str">
        <f>IFERROR(INDEX(Personnel[Shohruh Not],$K909),"")</f>
        <v/>
      </c>
      <c r="I909" s="18" t="str">
        <f>IFERROR(INDEX(Personnel[Дней в РФ],$K909),"")</f>
        <v/>
      </c>
      <c r="K909" s="23" t="str">
        <f t="array" ref="K909">IFERROR(_xlfn.AGGREGATE(15,6,(ROW(Personnel[Egtim durumu])-MIN(ROW(Personnel[Egtim durumu]))+1)/((Personnel[Egtim durumu]="Dil egitimi tamamlandi sinavdan gecti")),ROWS($K$7:K909)),"")</f>
        <v/>
      </c>
    </row>
    <row r="910" spans="1:11" x14ac:dyDescent="0.25">
      <c r="A910" s="40" t="str">
        <f>IFERROR(INDEX(Personnel[Sicil],$K910),"")</f>
        <v/>
      </c>
      <c r="B910" s="41" t="str">
        <f>IFERROR(INDEX(Personnel[Adi Soyadi],$K910),"")</f>
        <v/>
      </c>
      <c r="C910" s="40" t="str">
        <f>IFERROR(INDEX(Personnel[Vatandaslik],$K910),"")</f>
        <v/>
      </c>
      <c r="D910" s="40" t="str">
        <f>IFERROR(INDEX(Personnel[Santiye],$K910),"")</f>
        <v/>
      </c>
      <c r="E910" s="40" t="str">
        <f>IFERROR(INDEX(Personnel[Ogretmen],$K910),"")</f>
        <v/>
      </c>
      <c r="F910" s="41" t="str">
        <f>IFERROR(INDEX(Personnel[[Sinav ]],$K910),"")</f>
        <v/>
      </c>
      <c r="G910" s="41" t="str">
        <f>IFERROR(INDEX(Personnel[Egtim durumu],$K910),"")</f>
        <v/>
      </c>
      <c r="H910" s="41" t="str">
        <f>IFERROR(INDEX(Personnel[Shohruh Not],$K910),"")</f>
        <v/>
      </c>
      <c r="I910" s="40" t="str">
        <f>IFERROR(INDEX(Personnel[Дней в РФ],$K910),"")</f>
        <v/>
      </c>
      <c r="K910" s="23" t="str">
        <f t="array" ref="K910">IFERROR(_xlfn.AGGREGATE(15,6,(ROW(Personnel[Egtim durumu])-MIN(ROW(Personnel[Egtim durumu]))+1)/((Personnel[Egtim durumu]="Dil egitimi tamamlandi sinavdan gecti")),ROWS($K$7:K910)),"")</f>
        <v/>
      </c>
    </row>
    <row r="911" spans="1:11" x14ac:dyDescent="0.25">
      <c r="A911" s="18" t="str">
        <f>IFERROR(INDEX(Personnel[Sicil],$K911),"")</f>
        <v/>
      </c>
      <c r="B911" s="17" t="str">
        <f>IFERROR(INDEX(Personnel[Adi Soyadi],$K911),"")</f>
        <v/>
      </c>
      <c r="C911" s="18" t="str">
        <f>IFERROR(INDEX(Personnel[Vatandaslik],$K911),"")</f>
        <v/>
      </c>
      <c r="D911" s="18" t="str">
        <f>IFERROR(INDEX(Personnel[Santiye],$K911),"")</f>
        <v/>
      </c>
      <c r="E911" s="18" t="str">
        <f>IFERROR(INDEX(Personnel[Ogretmen],$K911),"")</f>
        <v/>
      </c>
      <c r="F911" s="17" t="str">
        <f>IFERROR(INDEX(Personnel[[Sinav ]],$K911),"")</f>
        <v/>
      </c>
      <c r="G911" s="17" t="str">
        <f>IFERROR(INDEX(Personnel[Egtim durumu],$K911),"")</f>
        <v/>
      </c>
      <c r="H911" s="17" t="str">
        <f>IFERROR(INDEX(Personnel[Shohruh Not],$K911),"")</f>
        <v/>
      </c>
      <c r="I911" s="18" t="str">
        <f>IFERROR(INDEX(Personnel[Дней в РФ],$K911),"")</f>
        <v/>
      </c>
      <c r="K911" s="23" t="str">
        <f t="array" ref="K911">IFERROR(_xlfn.AGGREGATE(15,6,(ROW(Personnel[Egtim durumu])-MIN(ROW(Personnel[Egtim durumu]))+1)/((Personnel[Egtim durumu]="Dil egitimi tamamlandi sinavdan gecti")),ROWS($K$7:K911)),"")</f>
        <v/>
      </c>
    </row>
    <row r="912" spans="1:11" x14ac:dyDescent="0.25">
      <c r="A912" s="40" t="str">
        <f>IFERROR(INDEX(Personnel[Sicil],$K912),"")</f>
        <v/>
      </c>
      <c r="B912" s="41" t="str">
        <f>IFERROR(INDEX(Personnel[Adi Soyadi],$K912),"")</f>
        <v/>
      </c>
      <c r="C912" s="40" t="str">
        <f>IFERROR(INDEX(Personnel[Vatandaslik],$K912),"")</f>
        <v/>
      </c>
      <c r="D912" s="40" t="str">
        <f>IFERROR(INDEX(Personnel[Santiye],$K912),"")</f>
        <v/>
      </c>
      <c r="E912" s="40" t="str">
        <f>IFERROR(INDEX(Personnel[Ogretmen],$K912),"")</f>
        <v/>
      </c>
      <c r="F912" s="41" t="str">
        <f>IFERROR(INDEX(Personnel[[Sinav ]],$K912),"")</f>
        <v/>
      </c>
      <c r="G912" s="41" t="str">
        <f>IFERROR(INDEX(Personnel[Egtim durumu],$K912),"")</f>
        <v/>
      </c>
      <c r="H912" s="41" t="str">
        <f>IFERROR(INDEX(Personnel[Shohruh Not],$K912),"")</f>
        <v/>
      </c>
      <c r="I912" s="40" t="str">
        <f>IFERROR(INDEX(Personnel[Дней в РФ],$K912),"")</f>
        <v/>
      </c>
      <c r="K912" s="23" t="str">
        <f t="array" ref="K912">IFERROR(_xlfn.AGGREGATE(15,6,(ROW(Personnel[Egtim durumu])-MIN(ROW(Personnel[Egtim durumu]))+1)/((Personnel[Egtim durumu]="Dil egitimi tamamlandi sinavdan gecti")),ROWS($K$7:K912)),"")</f>
        <v/>
      </c>
    </row>
    <row r="913" spans="1:11" x14ac:dyDescent="0.25">
      <c r="A913" s="18" t="str">
        <f>IFERROR(INDEX(Personnel[Sicil],$K913),"")</f>
        <v/>
      </c>
      <c r="B913" s="17" t="str">
        <f>IFERROR(INDEX(Personnel[Adi Soyadi],$K913),"")</f>
        <v/>
      </c>
      <c r="C913" s="18" t="str">
        <f>IFERROR(INDEX(Personnel[Vatandaslik],$K913),"")</f>
        <v/>
      </c>
      <c r="D913" s="18" t="str">
        <f>IFERROR(INDEX(Personnel[Santiye],$K913),"")</f>
        <v/>
      </c>
      <c r="E913" s="18" t="str">
        <f>IFERROR(INDEX(Personnel[Ogretmen],$K913),"")</f>
        <v/>
      </c>
      <c r="F913" s="17" t="str">
        <f>IFERROR(INDEX(Personnel[[Sinav ]],$K913),"")</f>
        <v/>
      </c>
      <c r="G913" s="17" t="str">
        <f>IFERROR(INDEX(Personnel[Egtim durumu],$K913),"")</f>
        <v/>
      </c>
      <c r="H913" s="17" t="str">
        <f>IFERROR(INDEX(Personnel[Shohruh Not],$K913),"")</f>
        <v/>
      </c>
      <c r="I913" s="18" t="str">
        <f>IFERROR(INDEX(Personnel[Дней в РФ],$K913),"")</f>
        <v/>
      </c>
      <c r="K913" s="23" t="str">
        <f t="array" ref="K913">IFERROR(_xlfn.AGGREGATE(15,6,(ROW(Personnel[Egtim durumu])-MIN(ROW(Personnel[Egtim durumu]))+1)/((Personnel[Egtim durumu]="Dil egitimi tamamlandi sinavdan gecti")),ROWS($K$7:K913)),"")</f>
        <v/>
      </c>
    </row>
    <row r="914" spans="1:11" x14ac:dyDescent="0.25">
      <c r="A914" s="40" t="str">
        <f>IFERROR(INDEX(Personnel[Sicil],$K914),"")</f>
        <v/>
      </c>
      <c r="B914" s="41" t="str">
        <f>IFERROR(INDEX(Personnel[Adi Soyadi],$K914),"")</f>
        <v/>
      </c>
      <c r="C914" s="40" t="str">
        <f>IFERROR(INDEX(Personnel[Vatandaslik],$K914),"")</f>
        <v/>
      </c>
      <c r="D914" s="40" t="str">
        <f>IFERROR(INDEX(Personnel[Santiye],$K914),"")</f>
        <v/>
      </c>
      <c r="E914" s="40" t="str">
        <f>IFERROR(INDEX(Personnel[Ogretmen],$K914),"")</f>
        <v/>
      </c>
      <c r="F914" s="41" t="str">
        <f>IFERROR(INDEX(Personnel[[Sinav ]],$K914),"")</f>
        <v/>
      </c>
      <c r="G914" s="41" t="str">
        <f>IFERROR(INDEX(Personnel[Egtim durumu],$K914),"")</f>
        <v/>
      </c>
      <c r="H914" s="41" t="str">
        <f>IFERROR(INDEX(Personnel[Shohruh Not],$K914),"")</f>
        <v/>
      </c>
      <c r="I914" s="40" t="str">
        <f>IFERROR(INDEX(Personnel[Дней в РФ],$K914),"")</f>
        <v/>
      </c>
      <c r="K914" s="23" t="str">
        <f t="array" ref="K914">IFERROR(_xlfn.AGGREGATE(15,6,(ROW(Personnel[Egtim durumu])-MIN(ROW(Personnel[Egtim durumu]))+1)/((Personnel[Egtim durumu]="Dil egitimi tamamlandi sinavdan gecti")),ROWS($K$7:K914)),"")</f>
        <v/>
      </c>
    </row>
    <row r="915" spans="1:11" x14ac:dyDescent="0.25">
      <c r="A915" s="18" t="str">
        <f>IFERROR(INDEX(Personnel[Sicil],$K915),"")</f>
        <v/>
      </c>
      <c r="B915" s="17" t="str">
        <f>IFERROR(INDEX(Personnel[Adi Soyadi],$K915),"")</f>
        <v/>
      </c>
      <c r="C915" s="18" t="str">
        <f>IFERROR(INDEX(Personnel[Vatandaslik],$K915),"")</f>
        <v/>
      </c>
      <c r="D915" s="18" t="str">
        <f>IFERROR(INDEX(Personnel[Santiye],$K915),"")</f>
        <v/>
      </c>
      <c r="E915" s="18" t="str">
        <f>IFERROR(INDEX(Personnel[Ogretmen],$K915),"")</f>
        <v/>
      </c>
      <c r="F915" s="17" t="str">
        <f>IFERROR(INDEX(Personnel[[Sinav ]],$K915),"")</f>
        <v/>
      </c>
      <c r="G915" s="17" t="str">
        <f>IFERROR(INDEX(Personnel[Egtim durumu],$K915),"")</f>
        <v/>
      </c>
      <c r="H915" s="17" t="str">
        <f>IFERROR(INDEX(Personnel[Shohruh Not],$K915),"")</f>
        <v/>
      </c>
      <c r="I915" s="18" t="str">
        <f>IFERROR(INDEX(Personnel[Дней в РФ],$K915),"")</f>
        <v/>
      </c>
      <c r="K915" s="23" t="str">
        <f t="array" ref="K915">IFERROR(_xlfn.AGGREGATE(15,6,(ROW(Personnel[Egtim durumu])-MIN(ROW(Personnel[Egtim durumu]))+1)/((Personnel[Egtim durumu]="Dil egitimi tamamlandi sinavdan gecti")),ROWS($K$7:K915)),"")</f>
        <v/>
      </c>
    </row>
    <row r="916" spans="1:11" x14ac:dyDescent="0.25">
      <c r="A916" s="40" t="str">
        <f>IFERROR(INDEX(Personnel[Sicil],$K916),"")</f>
        <v/>
      </c>
      <c r="B916" s="41" t="str">
        <f>IFERROR(INDEX(Personnel[Adi Soyadi],$K916),"")</f>
        <v/>
      </c>
      <c r="C916" s="40" t="str">
        <f>IFERROR(INDEX(Personnel[Vatandaslik],$K916),"")</f>
        <v/>
      </c>
      <c r="D916" s="40" t="str">
        <f>IFERROR(INDEX(Personnel[Santiye],$K916),"")</f>
        <v/>
      </c>
      <c r="E916" s="40" t="str">
        <f>IFERROR(INDEX(Personnel[Ogretmen],$K916),"")</f>
        <v/>
      </c>
      <c r="F916" s="41" t="str">
        <f>IFERROR(INDEX(Personnel[[Sinav ]],$K916),"")</f>
        <v/>
      </c>
      <c r="G916" s="41" t="str">
        <f>IFERROR(INDEX(Personnel[Egtim durumu],$K916),"")</f>
        <v/>
      </c>
      <c r="H916" s="41" t="str">
        <f>IFERROR(INDEX(Personnel[Shohruh Not],$K916),"")</f>
        <v/>
      </c>
      <c r="I916" s="40" t="str">
        <f>IFERROR(INDEX(Personnel[Дней в РФ],$K916),"")</f>
        <v/>
      </c>
      <c r="K916" s="23" t="str">
        <f t="array" ref="K916">IFERROR(_xlfn.AGGREGATE(15,6,(ROW(Personnel[Egtim durumu])-MIN(ROW(Personnel[Egtim durumu]))+1)/((Personnel[Egtim durumu]="Dil egitimi tamamlandi sinavdan gecti")),ROWS($K$7:K916)),"")</f>
        <v/>
      </c>
    </row>
    <row r="917" spans="1:11" x14ac:dyDescent="0.25">
      <c r="A917" s="18" t="str">
        <f>IFERROR(INDEX(Personnel[Sicil],$K917),"")</f>
        <v/>
      </c>
      <c r="B917" s="17" t="str">
        <f>IFERROR(INDEX(Personnel[Adi Soyadi],$K917),"")</f>
        <v/>
      </c>
      <c r="C917" s="18" t="str">
        <f>IFERROR(INDEX(Personnel[Vatandaslik],$K917),"")</f>
        <v/>
      </c>
      <c r="D917" s="18" t="str">
        <f>IFERROR(INDEX(Personnel[Santiye],$K917),"")</f>
        <v/>
      </c>
      <c r="E917" s="18" t="str">
        <f>IFERROR(INDEX(Personnel[Ogretmen],$K917),"")</f>
        <v/>
      </c>
      <c r="F917" s="17" t="str">
        <f>IFERROR(INDEX(Personnel[[Sinav ]],$K917),"")</f>
        <v/>
      </c>
      <c r="G917" s="17" t="str">
        <f>IFERROR(INDEX(Personnel[Egtim durumu],$K917),"")</f>
        <v/>
      </c>
      <c r="H917" s="17" t="str">
        <f>IFERROR(INDEX(Personnel[Shohruh Not],$K917),"")</f>
        <v/>
      </c>
      <c r="I917" s="18" t="str">
        <f>IFERROR(INDEX(Personnel[Дней в РФ],$K917),"")</f>
        <v/>
      </c>
      <c r="K917" s="23" t="str">
        <f t="array" ref="K917">IFERROR(_xlfn.AGGREGATE(15,6,(ROW(Personnel[Egtim durumu])-MIN(ROW(Personnel[Egtim durumu]))+1)/((Personnel[Egtim durumu]="Dil egitimi tamamlandi sinavdan gecti")),ROWS($K$7:K917)),"")</f>
        <v/>
      </c>
    </row>
    <row r="918" spans="1:11" x14ac:dyDescent="0.25">
      <c r="A918" s="40" t="str">
        <f>IFERROR(INDEX(Personnel[Sicil],$K918),"")</f>
        <v/>
      </c>
      <c r="B918" s="41" t="str">
        <f>IFERROR(INDEX(Personnel[Adi Soyadi],$K918),"")</f>
        <v/>
      </c>
      <c r="C918" s="40" t="str">
        <f>IFERROR(INDEX(Personnel[Vatandaslik],$K918),"")</f>
        <v/>
      </c>
      <c r="D918" s="40" t="str">
        <f>IFERROR(INDEX(Personnel[Santiye],$K918),"")</f>
        <v/>
      </c>
      <c r="E918" s="40" t="str">
        <f>IFERROR(INDEX(Personnel[Ogretmen],$K918),"")</f>
        <v/>
      </c>
      <c r="F918" s="41" t="str">
        <f>IFERROR(INDEX(Personnel[[Sinav ]],$K918),"")</f>
        <v/>
      </c>
      <c r="G918" s="41" t="str">
        <f>IFERROR(INDEX(Personnel[Egtim durumu],$K918),"")</f>
        <v/>
      </c>
      <c r="H918" s="41" t="str">
        <f>IFERROR(INDEX(Personnel[Shohruh Not],$K918),"")</f>
        <v/>
      </c>
      <c r="I918" s="40" t="str">
        <f>IFERROR(INDEX(Personnel[Дней в РФ],$K918),"")</f>
        <v/>
      </c>
      <c r="K918" s="23" t="str">
        <f t="array" ref="K918">IFERROR(_xlfn.AGGREGATE(15,6,(ROW(Personnel[Egtim durumu])-MIN(ROW(Personnel[Egtim durumu]))+1)/((Personnel[Egtim durumu]="Dil egitimi tamamlandi sinavdan gecti")),ROWS($K$7:K918)),"")</f>
        <v/>
      </c>
    </row>
    <row r="919" spans="1:11" x14ac:dyDescent="0.25">
      <c r="A919" s="18" t="str">
        <f>IFERROR(INDEX(Personnel[Sicil],$K919),"")</f>
        <v/>
      </c>
      <c r="B919" s="17" t="str">
        <f>IFERROR(INDEX(Personnel[Adi Soyadi],$K919),"")</f>
        <v/>
      </c>
      <c r="C919" s="18" t="str">
        <f>IFERROR(INDEX(Personnel[Vatandaslik],$K919),"")</f>
        <v/>
      </c>
      <c r="D919" s="18" t="str">
        <f>IFERROR(INDEX(Personnel[Santiye],$K919),"")</f>
        <v/>
      </c>
      <c r="E919" s="18" t="str">
        <f>IFERROR(INDEX(Personnel[Ogretmen],$K919),"")</f>
        <v/>
      </c>
      <c r="F919" s="17" t="str">
        <f>IFERROR(INDEX(Personnel[[Sinav ]],$K919),"")</f>
        <v/>
      </c>
      <c r="G919" s="17" t="str">
        <f>IFERROR(INDEX(Personnel[Egtim durumu],$K919),"")</f>
        <v/>
      </c>
      <c r="H919" s="17" t="str">
        <f>IFERROR(INDEX(Personnel[Shohruh Not],$K919),"")</f>
        <v/>
      </c>
      <c r="I919" s="18" t="str">
        <f>IFERROR(INDEX(Personnel[Дней в РФ],$K919),"")</f>
        <v/>
      </c>
      <c r="K919" s="23" t="str">
        <f t="array" ref="K919">IFERROR(_xlfn.AGGREGATE(15,6,(ROW(Personnel[Egtim durumu])-MIN(ROW(Personnel[Egtim durumu]))+1)/((Personnel[Egtim durumu]="Dil egitimi tamamlandi sinavdan gecti")),ROWS($K$7:K919)),"")</f>
        <v/>
      </c>
    </row>
    <row r="920" spans="1:11" x14ac:dyDescent="0.25">
      <c r="A920" s="40" t="str">
        <f>IFERROR(INDEX(Personnel[Sicil],$K920),"")</f>
        <v/>
      </c>
      <c r="B920" s="41" t="str">
        <f>IFERROR(INDEX(Personnel[Adi Soyadi],$K920),"")</f>
        <v/>
      </c>
      <c r="C920" s="40" t="str">
        <f>IFERROR(INDEX(Personnel[Vatandaslik],$K920),"")</f>
        <v/>
      </c>
      <c r="D920" s="40" t="str">
        <f>IFERROR(INDEX(Personnel[Santiye],$K920),"")</f>
        <v/>
      </c>
      <c r="E920" s="40" t="str">
        <f>IFERROR(INDEX(Personnel[Ogretmen],$K920),"")</f>
        <v/>
      </c>
      <c r="F920" s="41" t="str">
        <f>IFERROR(INDEX(Personnel[[Sinav ]],$K920),"")</f>
        <v/>
      </c>
      <c r="G920" s="41" t="str">
        <f>IFERROR(INDEX(Personnel[Egtim durumu],$K920),"")</f>
        <v/>
      </c>
      <c r="H920" s="41" t="str">
        <f>IFERROR(INDEX(Personnel[Shohruh Not],$K920),"")</f>
        <v/>
      </c>
      <c r="I920" s="40" t="str">
        <f>IFERROR(INDEX(Personnel[Дней в РФ],$K920),"")</f>
        <v/>
      </c>
      <c r="K920" s="23" t="str">
        <f t="array" ref="K920">IFERROR(_xlfn.AGGREGATE(15,6,(ROW(Personnel[Egtim durumu])-MIN(ROW(Personnel[Egtim durumu]))+1)/((Personnel[Egtim durumu]="Dil egitimi tamamlandi sinavdan gecti")),ROWS($K$7:K920)),"")</f>
        <v/>
      </c>
    </row>
    <row r="921" spans="1:11" x14ac:dyDescent="0.25">
      <c r="A921" s="18" t="str">
        <f>IFERROR(INDEX(Personnel[Sicil],$K921),"")</f>
        <v/>
      </c>
      <c r="B921" s="17" t="str">
        <f>IFERROR(INDEX(Personnel[Adi Soyadi],$K921),"")</f>
        <v/>
      </c>
      <c r="C921" s="18" t="str">
        <f>IFERROR(INDEX(Personnel[Vatandaslik],$K921),"")</f>
        <v/>
      </c>
      <c r="D921" s="18" t="str">
        <f>IFERROR(INDEX(Personnel[Santiye],$K921),"")</f>
        <v/>
      </c>
      <c r="E921" s="18" t="str">
        <f>IFERROR(INDEX(Personnel[Ogretmen],$K921),"")</f>
        <v/>
      </c>
      <c r="F921" s="17" t="str">
        <f>IFERROR(INDEX(Personnel[[Sinav ]],$K921),"")</f>
        <v/>
      </c>
      <c r="G921" s="17" t="str">
        <f>IFERROR(INDEX(Personnel[Egtim durumu],$K921),"")</f>
        <v/>
      </c>
      <c r="H921" s="17" t="str">
        <f>IFERROR(INDEX(Personnel[Shohruh Not],$K921),"")</f>
        <v/>
      </c>
      <c r="I921" s="18" t="str">
        <f>IFERROR(INDEX(Personnel[Дней в РФ],$K921),"")</f>
        <v/>
      </c>
      <c r="K921" s="23" t="str">
        <f t="array" ref="K921">IFERROR(_xlfn.AGGREGATE(15,6,(ROW(Personnel[Egtim durumu])-MIN(ROW(Personnel[Egtim durumu]))+1)/((Personnel[Egtim durumu]="Dil egitimi tamamlandi sinavdan gecti")),ROWS($K$7:K921)),"")</f>
        <v/>
      </c>
    </row>
    <row r="922" spans="1:11" x14ac:dyDescent="0.25">
      <c r="A922" s="40" t="str">
        <f>IFERROR(INDEX(Personnel[Sicil],$K922),"")</f>
        <v/>
      </c>
      <c r="B922" s="41" t="str">
        <f>IFERROR(INDEX(Personnel[Adi Soyadi],$K922),"")</f>
        <v/>
      </c>
      <c r="C922" s="40" t="str">
        <f>IFERROR(INDEX(Personnel[Vatandaslik],$K922),"")</f>
        <v/>
      </c>
      <c r="D922" s="40" t="str">
        <f>IFERROR(INDEX(Personnel[Santiye],$K922),"")</f>
        <v/>
      </c>
      <c r="E922" s="40" t="str">
        <f>IFERROR(INDEX(Personnel[Ogretmen],$K922),"")</f>
        <v/>
      </c>
      <c r="F922" s="41" t="str">
        <f>IFERROR(INDEX(Personnel[[Sinav ]],$K922),"")</f>
        <v/>
      </c>
      <c r="G922" s="41" t="str">
        <f>IFERROR(INDEX(Personnel[Egtim durumu],$K922),"")</f>
        <v/>
      </c>
      <c r="H922" s="41" t="str">
        <f>IFERROR(INDEX(Personnel[Shohruh Not],$K922),"")</f>
        <v/>
      </c>
      <c r="I922" s="40" t="str">
        <f>IFERROR(INDEX(Personnel[Дней в РФ],$K922),"")</f>
        <v/>
      </c>
      <c r="K922" s="23" t="str">
        <f t="array" ref="K922">IFERROR(_xlfn.AGGREGATE(15,6,(ROW(Personnel[Egtim durumu])-MIN(ROW(Personnel[Egtim durumu]))+1)/((Personnel[Egtim durumu]="Dil egitimi tamamlandi sinavdan gecti")),ROWS($K$7:K922)),"")</f>
        <v/>
      </c>
    </row>
    <row r="923" spans="1:11" x14ac:dyDescent="0.25">
      <c r="A923" s="18" t="str">
        <f>IFERROR(INDEX(Personnel[Sicil],$K923),"")</f>
        <v/>
      </c>
      <c r="B923" s="17" t="str">
        <f>IFERROR(INDEX(Personnel[Adi Soyadi],$K923),"")</f>
        <v/>
      </c>
      <c r="C923" s="18" t="str">
        <f>IFERROR(INDEX(Personnel[Vatandaslik],$K923),"")</f>
        <v/>
      </c>
      <c r="D923" s="18" t="str">
        <f>IFERROR(INDEX(Personnel[Santiye],$K923),"")</f>
        <v/>
      </c>
      <c r="E923" s="18" t="str">
        <f>IFERROR(INDEX(Personnel[Ogretmen],$K923),"")</f>
        <v/>
      </c>
      <c r="F923" s="17" t="str">
        <f>IFERROR(INDEX(Personnel[[Sinav ]],$K923),"")</f>
        <v/>
      </c>
      <c r="G923" s="17" t="str">
        <f>IFERROR(INDEX(Personnel[Egtim durumu],$K923),"")</f>
        <v/>
      </c>
      <c r="H923" s="17" t="str">
        <f>IFERROR(INDEX(Personnel[Shohruh Not],$K923),"")</f>
        <v/>
      </c>
      <c r="I923" s="18" t="str">
        <f>IFERROR(INDEX(Personnel[Дней в РФ],$K923),"")</f>
        <v/>
      </c>
      <c r="K923" s="23" t="str">
        <f t="array" ref="K923">IFERROR(_xlfn.AGGREGATE(15,6,(ROW(Personnel[Egtim durumu])-MIN(ROW(Personnel[Egtim durumu]))+1)/((Personnel[Egtim durumu]="Dil egitimi tamamlandi sinavdan gecti")),ROWS($K$7:K923)),"")</f>
        <v/>
      </c>
    </row>
    <row r="924" spans="1:11" x14ac:dyDescent="0.25">
      <c r="A924" s="40" t="str">
        <f>IFERROR(INDEX(Personnel[Sicil],$K924),"")</f>
        <v/>
      </c>
      <c r="B924" s="41" t="str">
        <f>IFERROR(INDEX(Personnel[Adi Soyadi],$K924),"")</f>
        <v/>
      </c>
      <c r="C924" s="40" t="str">
        <f>IFERROR(INDEX(Personnel[Vatandaslik],$K924),"")</f>
        <v/>
      </c>
      <c r="D924" s="40" t="str">
        <f>IFERROR(INDEX(Personnel[Santiye],$K924),"")</f>
        <v/>
      </c>
      <c r="E924" s="40" t="str">
        <f>IFERROR(INDEX(Personnel[Ogretmen],$K924),"")</f>
        <v/>
      </c>
      <c r="F924" s="41" t="str">
        <f>IFERROR(INDEX(Personnel[[Sinav ]],$K924),"")</f>
        <v/>
      </c>
      <c r="G924" s="41" t="str">
        <f>IFERROR(INDEX(Personnel[Egtim durumu],$K924),"")</f>
        <v/>
      </c>
      <c r="H924" s="41" t="str">
        <f>IFERROR(INDEX(Personnel[Shohruh Not],$K924),"")</f>
        <v/>
      </c>
      <c r="I924" s="40" t="str">
        <f>IFERROR(INDEX(Personnel[Дней в РФ],$K924),"")</f>
        <v/>
      </c>
      <c r="K924" s="23" t="str">
        <f t="array" ref="K924">IFERROR(_xlfn.AGGREGATE(15,6,(ROW(Personnel[Egtim durumu])-MIN(ROW(Personnel[Egtim durumu]))+1)/((Personnel[Egtim durumu]="Dil egitimi tamamlandi sinavdan gecti")),ROWS($K$7:K924)),"")</f>
        <v/>
      </c>
    </row>
    <row r="925" spans="1:11" x14ac:dyDescent="0.25">
      <c r="A925" s="18" t="str">
        <f>IFERROR(INDEX(Personnel[Sicil],$K925),"")</f>
        <v/>
      </c>
      <c r="B925" s="17" t="str">
        <f>IFERROR(INDEX(Personnel[Adi Soyadi],$K925),"")</f>
        <v/>
      </c>
      <c r="C925" s="18" t="str">
        <f>IFERROR(INDEX(Personnel[Vatandaslik],$K925),"")</f>
        <v/>
      </c>
      <c r="D925" s="18" t="str">
        <f>IFERROR(INDEX(Personnel[Santiye],$K925),"")</f>
        <v/>
      </c>
      <c r="E925" s="18" t="str">
        <f>IFERROR(INDEX(Personnel[Ogretmen],$K925),"")</f>
        <v/>
      </c>
      <c r="F925" s="17" t="str">
        <f>IFERROR(INDEX(Personnel[[Sinav ]],$K925),"")</f>
        <v/>
      </c>
      <c r="G925" s="17" t="str">
        <f>IFERROR(INDEX(Personnel[Egtim durumu],$K925),"")</f>
        <v/>
      </c>
      <c r="H925" s="17" t="str">
        <f>IFERROR(INDEX(Personnel[Shohruh Not],$K925),"")</f>
        <v/>
      </c>
      <c r="I925" s="18" t="str">
        <f>IFERROR(INDEX(Personnel[Дней в РФ],$K925),"")</f>
        <v/>
      </c>
      <c r="K925" s="23" t="str">
        <f t="array" ref="K925">IFERROR(_xlfn.AGGREGATE(15,6,(ROW(Personnel[Egtim durumu])-MIN(ROW(Personnel[Egtim durumu]))+1)/((Personnel[Egtim durumu]="Dil egitimi tamamlandi sinavdan gecti")),ROWS($K$7:K925)),"")</f>
        <v/>
      </c>
    </row>
    <row r="926" spans="1:11" x14ac:dyDescent="0.25">
      <c r="A926" s="40" t="str">
        <f>IFERROR(INDEX(Personnel[Sicil],$K926),"")</f>
        <v/>
      </c>
      <c r="B926" s="41" t="str">
        <f>IFERROR(INDEX(Personnel[Adi Soyadi],$K926),"")</f>
        <v/>
      </c>
      <c r="C926" s="40" t="str">
        <f>IFERROR(INDEX(Personnel[Vatandaslik],$K926),"")</f>
        <v/>
      </c>
      <c r="D926" s="40" t="str">
        <f>IFERROR(INDEX(Personnel[Santiye],$K926),"")</f>
        <v/>
      </c>
      <c r="E926" s="40" t="str">
        <f>IFERROR(INDEX(Personnel[Ogretmen],$K926),"")</f>
        <v/>
      </c>
      <c r="F926" s="41" t="str">
        <f>IFERROR(INDEX(Personnel[[Sinav ]],$K926),"")</f>
        <v/>
      </c>
      <c r="G926" s="41" t="str">
        <f>IFERROR(INDEX(Personnel[Egtim durumu],$K926),"")</f>
        <v/>
      </c>
      <c r="H926" s="41" t="str">
        <f>IFERROR(INDEX(Personnel[Shohruh Not],$K926),"")</f>
        <v/>
      </c>
      <c r="I926" s="40" t="str">
        <f>IFERROR(INDEX(Personnel[Дней в РФ],$K926),"")</f>
        <v/>
      </c>
      <c r="K926" s="23" t="str">
        <f t="array" ref="K926">IFERROR(_xlfn.AGGREGATE(15,6,(ROW(Personnel[Egtim durumu])-MIN(ROW(Personnel[Egtim durumu]))+1)/((Personnel[Egtim durumu]="Dil egitimi tamamlandi sinavdan gecti")),ROWS($K$7:K926)),"")</f>
        <v/>
      </c>
    </row>
    <row r="927" spans="1:11" x14ac:dyDescent="0.25">
      <c r="A927" s="18" t="str">
        <f>IFERROR(INDEX(Personnel[Sicil],$K927),"")</f>
        <v/>
      </c>
      <c r="B927" s="17" t="str">
        <f>IFERROR(INDEX(Personnel[Adi Soyadi],$K927),"")</f>
        <v/>
      </c>
      <c r="C927" s="18" t="str">
        <f>IFERROR(INDEX(Personnel[Vatandaslik],$K927),"")</f>
        <v/>
      </c>
      <c r="D927" s="18" t="str">
        <f>IFERROR(INDEX(Personnel[Santiye],$K927),"")</f>
        <v/>
      </c>
      <c r="E927" s="18" t="str">
        <f>IFERROR(INDEX(Personnel[Ogretmen],$K927),"")</f>
        <v/>
      </c>
      <c r="F927" s="17" t="str">
        <f>IFERROR(INDEX(Personnel[[Sinav ]],$K927),"")</f>
        <v/>
      </c>
      <c r="G927" s="17" t="str">
        <f>IFERROR(INDEX(Personnel[Egtim durumu],$K927),"")</f>
        <v/>
      </c>
      <c r="H927" s="17" t="str">
        <f>IFERROR(INDEX(Personnel[Shohruh Not],$K927),"")</f>
        <v/>
      </c>
      <c r="I927" s="18" t="str">
        <f>IFERROR(INDEX(Personnel[Дней в РФ],$K927),"")</f>
        <v/>
      </c>
      <c r="K927" s="23" t="str">
        <f t="array" ref="K927">IFERROR(_xlfn.AGGREGATE(15,6,(ROW(Personnel[Egtim durumu])-MIN(ROW(Personnel[Egtim durumu]))+1)/((Personnel[Egtim durumu]="Dil egitimi tamamlandi sinavdan gecti")),ROWS($K$7:K927)),"")</f>
        <v/>
      </c>
    </row>
    <row r="928" spans="1:11" x14ac:dyDescent="0.25">
      <c r="A928" s="40" t="str">
        <f>IFERROR(INDEX(Personnel[Sicil],$K928),"")</f>
        <v/>
      </c>
      <c r="B928" s="41" t="str">
        <f>IFERROR(INDEX(Personnel[Adi Soyadi],$K928),"")</f>
        <v/>
      </c>
      <c r="C928" s="40" t="str">
        <f>IFERROR(INDEX(Personnel[Vatandaslik],$K928),"")</f>
        <v/>
      </c>
      <c r="D928" s="40" t="str">
        <f>IFERROR(INDEX(Personnel[Santiye],$K928),"")</f>
        <v/>
      </c>
      <c r="E928" s="40" t="str">
        <f>IFERROR(INDEX(Personnel[Ogretmen],$K928),"")</f>
        <v/>
      </c>
      <c r="F928" s="41" t="str">
        <f>IFERROR(INDEX(Personnel[[Sinav ]],$K928),"")</f>
        <v/>
      </c>
      <c r="G928" s="41" t="str">
        <f>IFERROR(INDEX(Personnel[Egtim durumu],$K928),"")</f>
        <v/>
      </c>
      <c r="H928" s="41" t="str">
        <f>IFERROR(INDEX(Personnel[Shohruh Not],$K928),"")</f>
        <v/>
      </c>
      <c r="I928" s="40" t="str">
        <f>IFERROR(INDEX(Personnel[Дней в РФ],$K928),"")</f>
        <v/>
      </c>
      <c r="K928" s="23" t="str">
        <f t="array" ref="K928">IFERROR(_xlfn.AGGREGATE(15,6,(ROW(Personnel[Egtim durumu])-MIN(ROW(Personnel[Egtim durumu]))+1)/((Personnel[Egtim durumu]="Dil egitimi tamamlandi sinavdan gecti")),ROWS($K$7:K928)),"")</f>
        <v/>
      </c>
    </row>
    <row r="929" spans="1:11" x14ac:dyDescent="0.25">
      <c r="A929" s="18" t="str">
        <f>IFERROR(INDEX(Personnel[Sicil],$K929),"")</f>
        <v/>
      </c>
      <c r="B929" s="17" t="str">
        <f>IFERROR(INDEX(Personnel[Adi Soyadi],$K929),"")</f>
        <v/>
      </c>
      <c r="C929" s="18" t="str">
        <f>IFERROR(INDEX(Personnel[Vatandaslik],$K929),"")</f>
        <v/>
      </c>
      <c r="D929" s="18" t="str">
        <f>IFERROR(INDEX(Personnel[Santiye],$K929),"")</f>
        <v/>
      </c>
      <c r="E929" s="18" t="str">
        <f>IFERROR(INDEX(Personnel[Ogretmen],$K929),"")</f>
        <v/>
      </c>
      <c r="F929" s="17" t="str">
        <f>IFERROR(INDEX(Personnel[[Sinav ]],$K929),"")</f>
        <v/>
      </c>
      <c r="G929" s="17" t="str">
        <f>IFERROR(INDEX(Personnel[Egtim durumu],$K929),"")</f>
        <v/>
      </c>
      <c r="H929" s="17" t="str">
        <f>IFERROR(INDEX(Personnel[Shohruh Not],$K929),"")</f>
        <v/>
      </c>
      <c r="I929" s="18" t="str">
        <f>IFERROR(INDEX(Personnel[Дней в РФ],$K929),"")</f>
        <v/>
      </c>
      <c r="K929" s="23" t="str">
        <f t="array" ref="K929">IFERROR(_xlfn.AGGREGATE(15,6,(ROW(Personnel[Egtim durumu])-MIN(ROW(Personnel[Egtim durumu]))+1)/((Personnel[Egtim durumu]="Dil egitimi tamamlandi sinavdan gecti")),ROWS($K$7:K929)),"")</f>
        <v/>
      </c>
    </row>
    <row r="930" spans="1:11" x14ac:dyDescent="0.25">
      <c r="A930" s="40" t="str">
        <f>IFERROR(INDEX(Personnel[Sicil],$K930),"")</f>
        <v/>
      </c>
      <c r="B930" s="41" t="str">
        <f>IFERROR(INDEX(Personnel[Adi Soyadi],$K930),"")</f>
        <v/>
      </c>
      <c r="C930" s="40" t="str">
        <f>IFERROR(INDEX(Personnel[Vatandaslik],$K930),"")</f>
        <v/>
      </c>
      <c r="D930" s="40" t="str">
        <f>IFERROR(INDEX(Personnel[Santiye],$K930),"")</f>
        <v/>
      </c>
      <c r="E930" s="40" t="str">
        <f>IFERROR(INDEX(Personnel[Ogretmen],$K930),"")</f>
        <v/>
      </c>
      <c r="F930" s="41" t="str">
        <f>IFERROR(INDEX(Personnel[[Sinav ]],$K930),"")</f>
        <v/>
      </c>
      <c r="G930" s="41" t="str">
        <f>IFERROR(INDEX(Personnel[Egtim durumu],$K930),"")</f>
        <v/>
      </c>
      <c r="H930" s="41" t="str">
        <f>IFERROR(INDEX(Personnel[Shohruh Not],$K930),"")</f>
        <v/>
      </c>
      <c r="I930" s="40" t="str">
        <f>IFERROR(INDEX(Personnel[Дней в РФ],$K930),"")</f>
        <v/>
      </c>
      <c r="K930" s="23" t="str">
        <f t="array" ref="K930">IFERROR(_xlfn.AGGREGATE(15,6,(ROW(Personnel[Egtim durumu])-MIN(ROW(Personnel[Egtim durumu]))+1)/((Personnel[Egtim durumu]="Dil egitimi tamamlandi sinavdan gecti")),ROWS($K$7:K930)),"")</f>
        <v/>
      </c>
    </row>
    <row r="931" spans="1:11" x14ac:dyDescent="0.25">
      <c r="A931" s="18" t="str">
        <f>IFERROR(INDEX(Personnel[Sicil],$K931),"")</f>
        <v/>
      </c>
      <c r="B931" s="17" t="str">
        <f>IFERROR(INDEX(Personnel[Adi Soyadi],$K931),"")</f>
        <v/>
      </c>
      <c r="C931" s="18" t="str">
        <f>IFERROR(INDEX(Personnel[Vatandaslik],$K931),"")</f>
        <v/>
      </c>
      <c r="D931" s="18" t="str">
        <f>IFERROR(INDEX(Personnel[Santiye],$K931),"")</f>
        <v/>
      </c>
      <c r="E931" s="18" t="str">
        <f>IFERROR(INDEX(Personnel[Ogretmen],$K931),"")</f>
        <v/>
      </c>
      <c r="F931" s="17" t="str">
        <f>IFERROR(INDEX(Personnel[[Sinav ]],$K931),"")</f>
        <v/>
      </c>
      <c r="G931" s="17" t="str">
        <f>IFERROR(INDEX(Personnel[Egtim durumu],$K931),"")</f>
        <v/>
      </c>
      <c r="H931" s="17" t="str">
        <f>IFERROR(INDEX(Personnel[Shohruh Not],$K931),"")</f>
        <v/>
      </c>
      <c r="I931" s="18" t="str">
        <f>IFERROR(INDEX(Personnel[Дней в РФ],$K931),"")</f>
        <v/>
      </c>
      <c r="K931" s="23" t="str">
        <f t="array" ref="K931">IFERROR(_xlfn.AGGREGATE(15,6,(ROW(Personnel[Egtim durumu])-MIN(ROW(Personnel[Egtim durumu]))+1)/((Personnel[Egtim durumu]="Dil egitimi tamamlandi sinavdan gecti")),ROWS($K$7:K931)),"")</f>
        <v/>
      </c>
    </row>
    <row r="932" spans="1:11" x14ac:dyDescent="0.25">
      <c r="A932" s="40" t="str">
        <f>IFERROR(INDEX(Personnel[Sicil],$K932),"")</f>
        <v/>
      </c>
      <c r="B932" s="41" t="str">
        <f>IFERROR(INDEX(Personnel[Adi Soyadi],$K932),"")</f>
        <v/>
      </c>
      <c r="C932" s="40" t="str">
        <f>IFERROR(INDEX(Personnel[Vatandaslik],$K932),"")</f>
        <v/>
      </c>
      <c r="D932" s="40" t="str">
        <f>IFERROR(INDEX(Personnel[Santiye],$K932),"")</f>
        <v/>
      </c>
      <c r="E932" s="40" t="str">
        <f>IFERROR(INDEX(Personnel[Ogretmen],$K932),"")</f>
        <v/>
      </c>
      <c r="F932" s="41" t="str">
        <f>IFERROR(INDEX(Personnel[[Sinav ]],$K932),"")</f>
        <v/>
      </c>
      <c r="G932" s="41" t="str">
        <f>IFERROR(INDEX(Personnel[Egtim durumu],$K932),"")</f>
        <v/>
      </c>
      <c r="H932" s="41" t="str">
        <f>IFERROR(INDEX(Personnel[Shohruh Not],$K932),"")</f>
        <v/>
      </c>
      <c r="I932" s="40" t="str">
        <f>IFERROR(INDEX(Personnel[Дней в РФ],$K932),"")</f>
        <v/>
      </c>
      <c r="K932" s="23" t="str">
        <f t="array" ref="K932">IFERROR(_xlfn.AGGREGATE(15,6,(ROW(Personnel[Egtim durumu])-MIN(ROW(Personnel[Egtim durumu]))+1)/((Personnel[Egtim durumu]="Dil egitimi tamamlandi sinavdan gecti")),ROWS($K$7:K932)),"")</f>
        <v/>
      </c>
    </row>
    <row r="933" spans="1:11" x14ac:dyDescent="0.25">
      <c r="A933" s="18" t="str">
        <f>IFERROR(INDEX(Personnel[Sicil],$K933),"")</f>
        <v/>
      </c>
      <c r="B933" s="17" t="str">
        <f>IFERROR(INDEX(Personnel[Adi Soyadi],$K933),"")</f>
        <v/>
      </c>
      <c r="C933" s="18" t="str">
        <f>IFERROR(INDEX(Personnel[Vatandaslik],$K933),"")</f>
        <v/>
      </c>
      <c r="D933" s="18" t="str">
        <f>IFERROR(INDEX(Personnel[Santiye],$K933),"")</f>
        <v/>
      </c>
      <c r="E933" s="18" t="str">
        <f>IFERROR(INDEX(Personnel[Ogretmen],$K933),"")</f>
        <v/>
      </c>
      <c r="F933" s="17" t="str">
        <f>IFERROR(INDEX(Personnel[[Sinav ]],$K933),"")</f>
        <v/>
      </c>
      <c r="G933" s="17" t="str">
        <f>IFERROR(INDEX(Personnel[Egtim durumu],$K933),"")</f>
        <v/>
      </c>
      <c r="H933" s="17" t="str">
        <f>IFERROR(INDEX(Personnel[Shohruh Not],$K933),"")</f>
        <v/>
      </c>
      <c r="I933" s="18" t="str">
        <f>IFERROR(INDEX(Personnel[Дней в РФ],$K933),"")</f>
        <v/>
      </c>
      <c r="K933" s="23" t="str">
        <f t="array" ref="K933">IFERROR(_xlfn.AGGREGATE(15,6,(ROW(Personnel[Egtim durumu])-MIN(ROW(Personnel[Egtim durumu]))+1)/((Personnel[Egtim durumu]="Dil egitimi tamamlandi sinavdan gecti")),ROWS($K$7:K933)),"")</f>
        <v/>
      </c>
    </row>
    <row r="934" spans="1:11" x14ac:dyDescent="0.25">
      <c r="A934" s="40" t="str">
        <f>IFERROR(INDEX(Personnel[Sicil],$K934),"")</f>
        <v/>
      </c>
      <c r="B934" s="41" t="str">
        <f>IFERROR(INDEX(Personnel[Adi Soyadi],$K934),"")</f>
        <v/>
      </c>
      <c r="C934" s="40" t="str">
        <f>IFERROR(INDEX(Personnel[Vatandaslik],$K934),"")</f>
        <v/>
      </c>
      <c r="D934" s="40" t="str">
        <f>IFERROR(INDEX(Personnel[Santiye],$K934),"")</f>
        <v/>
      </c>
      <c r="E934" s="40" t="str">
        <f>IFERROR(INDEX(Personnel[Ogretmen],$K934),"")</f>
        <v/>
      </c>
      <c r="F934" s="41" t="str">
        <f>IFERROR(INDEX(Personnel[[Sinav ]],$K934),"")</f>
        <v/>
      </c>
      <c r="G934" s="41" t="str">
        <f>IFERROR(INDEX(Personnel[Egtim durumu],$K934),"")</f>
        <v/>
      </c>
      <c r="H934" s="41" t="str">
        <f>IFERROR(INDEX(Personnel[Shohruh Not],$K934),"")</f>
        <v/>
      </c>
      <c r="I934" s="40" t="str">
        <f>IFERROR(INDEX(Personnel[Дней в РФ],$K934),"")</f>
        <v/>
      </c>
      <c r="K934" s="23" t="str">
        <f t="array" ref="K934">IFERROR(_xlfn.AGGREGATE(15,6,(ROW(Personnel[Egtim durumu])-MIN(ROW(Personnel[Egtim durumu]))+1)/((Personnel[Egtim durumu]="Dil egitimi tamamlandi sinavdan gecti")),ROWS($K$7:K934)),"")</f>
        <v/>
      </c>
    </row>
    <row r="935" spans="1:11" x14ac:dyDescent="0.25">
      <c r="A935" s="18" t="str">
        <f>IFERROR(INDEX(Personnel[Sicil],$K935),"")</f>
        <v/>
      </c>
      <c r="B935" s="17" t="str">
        <f>IFERROR(INDEX(Personnel[Adi Soyadi],$K935),"")</f>
        <v/>
      </c>
      <c r="C935" s="18" t="str">
        <f>IFERROR(INDEX(Personnel[Vatandaslik],$K935),"")</f>
        <v/>
      </c>
      <c r="D935" s="18" t="str">
        <f>IFERROR(INDEX(Personnel[Santiye],$K935),"")</f>
        <v/>
      </c>
      <c r="E935" s="18" t="str">
        <f>IFERROR(INDEX(Personnel[Ogretmen],$K935),"")</f>
        <v/>
      </c>
      <c r="F935" s="17" t="str">
        <f>IFERROR(INDEX(Personnel[[Sinav ]],$K935),"")</f>
        <v/>
      </c>
      <c r="G935" s="17" t="str">
        <f>IFERROR(INDEX(Personnel[Egtim durumu],$K935),"")</f>
        <v/>
      </c>
      <c r="H935" s="17" t="str">
        <f>IFERROR(INDEX(Personnel[Shohruh Not],$K935),"")</f>
        <v/>
      </c>
      <c r="I935" s="18" t="str">
        <f>IFERROR(INDEX(Personnel[Дней в РФ],$K935),"")</f>
        <v/>
      </c>
      <c r="K935" s="23" t="str">
        <f t="array" ref="K935">IFERROR(_xlfn.AGGREGATE(15,6,(ROW(Personnel[Egtim durumu])-MIN(ROW(Personnel[Egtim durumu]))+1)/((Personnel[Egtim durumu]="Dil egitimi tamamlandi sinavdan gecti")),ROWS($K$7:K935)),"")</f>
        <v/>
      </c>
    </row>
    <row r="936" spans="1:11" x14ac:dyDescent="0.25">
      <c r="A936" s="40" t="str">
        <f>IFERROR(INDEX(Personnel[Sicil],$K936),"")</f>
        <v/>
      </c>
      <c r="B936" s="41" t="str">
        <f>IFERROR(INDEX(Personnel[Adi Soyadi],$K936),"")</f>
        <v/>
      </c>
      <c r="C936" s="40" t="str">
        <f>IFERROR(INDEX(Personnel[Vatandaslik],$K936),"")</f>
        <v/>
      </c>
      <c r="D936" s="40" t="str">
        <f>IFERROR(INDEX(Personnel[Santiye],$K936),"")</f>
        <v/>
      </c>
      <c r="E936" s="40" t="str">
        <f>IFERROR(INDEX(Personnel[Ogretmen],$K936),"")</f>
        <v/>
      </c>
      <c r="F936" s="41" t="str">
        <f>IFERROR(INDEX(Personnel[[Sinav ]],$K936),"")</f>
        <v/>
      </c>
      <c r="G936" s="41" t="str">
        <f>IFERROR(INDEX(Personnel[Egtim durumu],$K936),"")</f>
        <v/>
      </c>
      <c r="H936" s="41" t="str">
        <f>IFERROR(INDEX(Personnel[Shohruh Not],$K936),"")</f>
        <v/>
      </c>
      <c r="I936" s="40" t="str">
        <f>IFERROR(INDEX(Personnel[Дней в РФ],$K936),"")</f>
        <v/>
      </c>
      <c r="K936" s="23" t="str">
        <f t="array" ref="K936">IFERROR(_xlfn.AGGREGATE(15,6,(ROW(Personnel[Egtim durumu])-MIN(ROW(Personnel[Egtim durumu]))+1)/((Personnel[Egtim durumu]="Dil egitimi tamamlandi sinavdan gecti")),ROWS($K$7:K936)),"")</f>
        <v/>
      </c>
    </row>
    <row r="937" spans="1:11" x14ac:dyDescent="0.25">
      <c r="A937" s="18" t="str">
        <f>IFERROR(INDEX(Personnel[Sicil],$K937),"")</f>
        <v/>
      </c>
      <c r="B937" s="17" t="str">
        <f>IFERROR(INDEX(Personnel[Adi Soyadi],$K937),"")</f>
        <v/>
      </c>
      <c r="C937" s="18" t="str">
        <f>IFERROR(INDEX(Personnel[Vatandaslik],$K937),"")</f>
        <v/>
      </c>
      <c r="D937" s="18" t="str">
        <f>IFERROR(INDEX(Personnel[Santiye],$K937),"")</f>
        <v/>
      </c>
      <c r="E937" s="18" t="str">
        <f>IFERROR(INDEX(Personnel[Ogretmen],$K937),"")</f>
        <v/>
      </c>
      <c r="F937" s="17" t="str">
        <f>IFERROR(INDEX(Personnel[[Sinav ]],$K937),"")</f>
        <v/>
      </c>
      <c r="G937" s="17" t="str">
        <f>IFERROR(INDEX(Personnel[Egtim durumu],$K937),"")</f>
        <v/>
      </c>
      <c r="H937" s="17" t="str">
        <f>IFERROR(INDEX(Personnel[Shohruh Not],$K937),"")</f>
        <v/>
      </c>
      <c r="I937" s="18" t="str">
        <f>IFERROR(INDEX(Personnel[Дней в РФ],$K937),"")</f>
        <v/>
      </c>
      <c r="K937" s="23" t="str">
        <f t="array" ref="K937">IFERROR(_xlfn.AGGREGATE(15,6,(ROW(Personnel[Egtim durumu])-MIN(ROW(Personnel[Egtim durumu]))+1)/((Personnel[Egtim durumu]="Dil egitimi tamamlandi sinavdan gecti")),ROWS($K$7:K937)),"")</f>
        <v/>
      </c>
    </row>
    <row r="938" spans="1:11" x14ac:dyDescent="0.25">
      <c r="A938" s="40" t="str">
        <f>IFERROR(INDEX(Personnel[Sicil],$K938),"")</f>
        <v/>
      </c>
      <c r="B938" s="41" t="str">
        <f>IFERROR(INDEX(Personnel[Adi Soyadi],$K938),"")</f>
        <v/>
      </c>
      <c r="C938" s="40" t="str">
        <f>IFERROR(INDEX(Personnel[Vatandaslik],$K938),"")</f>
        <v/>
      </c>
      <c r="D938" s="40" t="str">
        <f>IFERROR(INDEX(Personnel[Santiye],$K938),"")</f>
        <v/>
      </c>
      <c r="E938" s="40" t="str">
        <f>IFERROR(INDEX(Personnel[Ogretmen],$K938),"")</f>
        <v/>
      </c>
      <c r="F938" s="41" t="str">
        <f>IFERROR(INDEX(Personnel[[Sinav ]],$K938),"")</f>
        <v/>
      </c>
      <c r="G938" s="41" t="str">
        <f>IFERROR(INDEX(Personnel[Egtim durumu],$K938),"")</f>
        <v/>
      </c>
      <c r="H938" s="41" t="str">
        <f>IFERROR(INDEX(Personnel[Shohruh Not],$K938),"")</f>
        <v/>
      </c>
      <c r="I938" s="40" t="str">
        <f>IFERROR(INDEX(Personnel[Дней в РФ],$K938),"")</f>
        <v/>
      </c>
      <c r="K938" s="23" t="str">
        <f t="array" ref="K938">IFERROR(_xlfn.AGGREGATE(15,6,(ROW(Personnel[Egtim durumu])-MIN(ROW(Personnel[Egtim durumu]))+1)/((Personnel[Egtim durumu]="Dil egitimi tamamlandi sinavdan gecti")),ROWS($K$7:K938)),"")</f>
        <v/>
      </c>
    </row>
    <row r="939" spans="1:11" x14ac:dyDescent="0.25">
      <c r="A939" s="18" t="str">
        <f>IFERROR(INDEX(Personnel[Sicil],$K939),"")</f>
        <v/>
      </c>
      <c r="B939" s="17" t="str">
        <f>IFERROR(INDEX(Personnel[Adi Soyadi],$K939),"")</f>
        <v/>
      </c>
      <c r="C939" s="18" t="str">
        <f>IFERROR(INDEX(Personnel[Vatandaslik],$K939),"")</f>
        <v/>
      </c>
      <c r="D939" s="18" t="str">
        <f>IFERROR(INDEX(Personnel[Santiye],$K939),"")</f>
        <v/>
      </c>
      <c r="E939" s="18" t="str">
        <f>IFERROR(INDEX(Personnel[Ogretmen],$K939),"")</f>
        <v/>
      </c>
      <c r="F939" s="17" t="str">
        <f>IFERROR(INDEX(Personnel[[Sinav ]],$K939),"")</f>
        <v/>
      </c>
      <c r="G939" s="17" t="str">
        <f>IFERROR(INDEX(Personnel[Egtim durumu],$K939),"")</f>
        <v/>
      </c>
      <c r="H939" s="17" t="str">
        <f>IFERROR(INDEX(Personnel[Shohruh Not],$K939),"")</f>
        <v/>
      </c>
      <c r="I939" s="18" t="str">
        <f>IFERROR(INDEX(Personnel[Дней в РФ],$K939),"")</f>
        <v/>
      </c>
      <c r="K939" s="23" t="str">
        <f t="array" ref="K939">IFERROR(_xlfn.AGGREGATE(15,6,(ROW(Personnel[Egtim durumu])-MIN(ROW(Personnel[Egtim durumu]))+1)/((Personnel[Egtim durumu]="Dil egitimi tamamlandi sinavdan gecti")),ROWS($K$7:K939)),"")</f>
        <v/>
      </c>
    </row>
    <row r="940" spans="1:11" x14ac:dyDescent="0.25">
      <c r="A940" s="40" t="str">
        <f>IFERROR(INDEX(Personnel[Sicil],$K940),"")</f>
        <v/>
      </c>
      <c r="B940" s="41" t="str">
        <f>IFERROR(INDEX(Personnel[Adi Soyadi],$K940),"")</f>
        <v/>
      </c>
      <c r="C940" s="40" t="str">
        <f>IFERROR(INDEX(Personnel[Vatandaslik],$K940),"")</f>
        <v/>
      </c>
      <c r="D940" s="40" t="str">
        <f>IFERROR(INDEX(Personnel[Santiye],$K940),"")</f>
        <v/>
      </c>
      <c r="E940" s="40" t="str">
        <f>IFERROR(INDEX(Personnel[Ogretmen],$K940),"")</f>
        <v/>
      </c>
      <c r="F940" s="41" t="str">
        <f>IFERROR(INDEX(Personnel[[Sinav ]],$K940),"")</f>
        <v/>
      </c>
      <c r="G940" s="41" t="str">
        <f>IFERROR(INDEX(Personnel[Egtim durumu],$K940),"")</f>
        <v/>
      </c>
      <c r="H940" s="41" t="str">
        <f>IFERROR(INDEX(Personnel[Shohruh Not],$K940),"")</f>
        <v/>
      </c>
      <c r="I940" s="40" t="str">
        <f>IFERROR(INDEX(Personnel[Дней в РФ],$K940),"")</f>
        <v/>
      </c>
      <c r="K940" s="23" t="str">
        <f t="array" ref="K940">IFERROR(_xlfn.AGGREGATE(15,6,(ROW(Personnel[Egtim durumu])-MIN(ROW(Personnel[Egtim durumu]))+1)/((Personnel[Egtim durumu]="Dil egitimi tamamlandi sinavdan gecti")),ROWS($K$7:K940)),"")</f>
        <v/>
      </c>
    </row>
    <row r="941" spans="1:11" x14ac:dyDescent="0.25">
      <c r="A941" s="18" t="str">
        <f>IFERROR(INDEX(Personnel[Sicil],$K941),"")</f>
        <v/>
      </c>
      <c r="B941" s="17" t="str">
        <f>IFERROR(INDEX(Personnel[Adi Soyadi],$K941),"")</f>
        <v/>
      </c>
      <c r="C941" s="18" t="str">
        <f>IFERROR(INDEX(Personnel[Vatandaslik],$K941),"")</f>
        <v/>
      </c>
      <c r="D941" s="18" t="str">
        <f>IFERROR(INDEX(Personnel[Santiye],$K941),"")</f>
        <v/>
      </c>
      <c r="E941" s="18" t="str">
        <f>IFERROR(INDEX(Personnel[Ogretmen],$K941),"")</f>
        <v/>
      </c>
      <c r="F941" s="17" t="str">
        <f>IFERROR(INDEX(Personnel[[Sinav ]],$K941),"")</f>
        <v/>
      </c>
      <c r="G941" s="17" t="str">
        <f>IFERROR(INDEX(Personnel[Egtim durumu],$K941),"")</f>
        <v/>
      </c>
      <c r="H941" s="17" t="str">
        <f>IFERROR(INDEX(Personnel[Shohruh Not],$K941),"")</f>
        <v/>
      </c>
      <c r="I941" s="18" t="str">
        <f>IFERROR(INDEX(Personnel[Дней в РФ],$K941),"")</f>
        <v/>
      </c>
      <c r="K941" s="23" t="str">
        <f t="array" ref="K941">IFERROR(_xlfn.AGGREGATE(15,6,(ROW(Personnel[Egtim durumu])-MIN(ROW(Personnel[Egtim durumu]))+1)/((Personnel[Egtim durumu]="Dil egitimi tamamlandi sinavdan gecti")),ROWS($K$7:K941)),"")</f>
        <v/>
      </c>
    </row>
    <row r="942" spans="1:11" x14ac:dyDescent="0.25">
      <c r="A942" s="40" t="str">
        <f>IFERROR(INDEX(Personnel[Sicil],$K942),"")</f>
        <v/>
      </c>
      <c r="B942" s="41" t="str">
        <f>IFERROR(INDEX(Personnel[Adi Soyadi],$K942),"")</f>
        <v/>
      </c>
      <c r="C942" s="40" t="str">
        <f>IFERROR(INDEX(Personnel[Vatandaslik],$K942),"")</f>
        <v/>
      </c>
      <c r="D942" s="40" t="str">
        <f>IFERROR(INDEX(Personnel[Santiye],$K942),"")</f>
        <v/>
      </c>
      <c r="E942" s="40" t="str">
        <f>IFERROR(INDEX(Personnel[Ogretmen],$K942),"")</f>
        <v/>
      </c>
      <c r="F942" s="41" t="str">
        <f>IFERROR(INDEX(Personnel[[Sinav ]],$K942),"")</f>
        <v/>
      </c>
      <c r="G942" s="41" t="str">
        <f>IFERROR(INDEX(Personnel[Egtim durumu],$K942),"")</f>
        <v/>
      </c>
      <c r="H942" s="41" t="str">
        <f>IFERROR(INDEX(Personnel[Shohruh Not],$K942),"")</f>
        <v/>
      </c>
      <c r="I942" s="40" t="str">
        <f>IFERROR(INDEX(Personnel[Дней в РФ],$K942),"")</f>
        <v/>
      </c>
      <c r="K942" s="23" t="str">
        <f t="array" ref="K942">IFERROR(_xlfn.AGGREGATE(15,6,(ROW(Personnel[Egtim durumu])-MIN(ROW(Personnel[Egtim durumu]))+1)/((Personnel[Egtim durumu]="Dil egitimi tamamlandi sinavdan gecti")),ROWS($K$7:K942)),"")</f>
        <v/>
      </c>
    </row>
    <row r="943" spans="1:11" x14ac:dyDescent="0.25">
      <c r="A943" s="18" t="str">
        <f>IFERROR(INDEX(Personnel[Sicil],$K943),"")</f>
        <v/>
      </c>
      <c r="B943" s="17" t="str">
        <f>IFERROR(INDEX(Personnel[Adi Soyadi],$K943),"")</f>
        <v/>
      </c>
      <c r="C943" s="18" t="str">
        <f>IFERROR(INDEX(Personnel[Vatandaslik],$K943),"")</f>
        <v/>
      </c>
      <c r="D943" s="18" t="str">
        <f>IFERROR(INDEX(Personnel[Santiye],$K943),"")</f>
        <v/>
      </c>
      <c r="E943" s="18" t="str">
        <f>IFERROR(INDEX(Personnel[Ogretmen],$K943),"")</f>
        <v/>
      </c>
      <c r="F943" s="17" t="str">
        <f>IFERROR(INDEX(Personnel[[Sinav ]],$K943),"")</f>
        <v/>
      </c>
      <c r="G943" s="17" t="str">
        <f>IFERROR(INDEX(Personnel[Egtim durumu],$K943),"")</f>
        <v/>
      </c>
      <c r="H943" s="17" t="str">
        <f>IFERROR(INDEX(Personnel[Shohruh Not],$K943),"")</f>
        <v/>
      </c>
      <c r="I943" s="18" t="str">
        <f>IFERROR(INDEX(Personnel[Дней в РФ],$K943),"")</f>
        <v/>
      </c>
      <c r="K943" s="23" t="str">
        <f t="array" ref="K943">IFERROR(_xlfn.AGGREGATE(15,6,(ROW(Personnel[Egtim durumu])-MIN(ROW(Personnel[Egtim durumu]))+1)/((Personnel[Egtim durumu]="Dil egitimi tamamlandi sinavdan gecti")),ROWS($K$7:K943)),"")</f>
        <v/>
      </c>
    </row>
    <row r="944" spans="1:11" x14ac:dyDescent="0.25">
      <c r="A944" s="40" t="str">
        <f>IFERROR(INDEX(Personnel[Sicil],$K944),"")</f>
        <v/>
      </c>
      <c r="B944" s="41" t="str">
        <f>IFERROR(INDEX(Personnel[Adi Soyadi],$K944),"")</f>
        <v/>
      </c>
      <c r="C944" s="40" t="str">
        <f>IFERROR(INDEX(Personnel[Vatandaslik],$K944),"")</f>
        <v/>
      </c>
      <c r="D944" s="40" t="str">
        <f>IFERROR(INDEX(Personnel[Santiye],$K944),"")</f>
        <v/>
      </c>
      <c r="E944" s="40" t="str">
        <f>IFERROR(INDEX(Personnel[Ogretmen],$K944),"")</f>
        <v/>
      </c>
      <c r="F944" s="41" t="str">
        <f>IFERROR(INDEX(Personnel[[Sinav ]],$K944),"")</f>
        <v/>
      </c>
      <c r="G944" s="41" t="str">
        <f>IFERROR(INDEX(Personnel[Egtim durumu],$K944),"")</f>
        <v/>
      </c>
      <c r="H944" s="41" t="str">
        <f>IFERROR(INDEX(Personnel[Shohruh Not],$K944),"")</f>
        <v/>
      </c>
      <c r="I944" s="40" t="str">
        <f>IFERROR(INDEX(Personnel[Дней в РФ],$K944),"")</f>
        <v/>
      </c>
      <c r="K944" s="23" t="str">
        <f t="array" ref="K944">IFERROR(_xlfn.AGGREGATE(15,6,(ROW(Personnel[Egtim durumu])-MIN(ROW(Personnel[Egtim durumu]))+1)/((Personnel[Egtim durumu]="Dil egitimi tamamlandi sinavdan gecti")),ROWS($K$7:K944)),"")</f>
        <v/>
      </c>
    </row>
    <row r="945" spans="1:11" x14ac:dyDescent="0.25">
      <c r="A945" s="18" t="str">
        <f>IFERROR(INDEX(Personnel[Sicil],$K945),"")</f>
        <v/>
      </c>
      <c r="B945" s="17" t="str">
        <f>IFERROR(INDEX(Personnel[Adi Soyadi],$K945),"")</f>
        <v/>
      </c>
      <c r="C945" s="18" t="str">
        <f>IFERROR(INDEX(Personnel[Vatandaslik],$K945),"")</f>
        <v/>
      </c>
      <c r="D945" s="18" t="str">
        <f>IFERROR(INDEX(Personnel[Santiye],$K945),"")</f>
        <v/>
      </c>
      <c r="E945" s="18" t="str">
        <f>IFERROR(INDEX(Personnel[Ogretmen],$K945),"")</f>
        <v/>
      </c>
      <c r="F945" s="17" t="str">
        <f>IFERROR(INDEX(Personnel[[Sinav ]],$K945),"")</f>
        <v/>
      </c>
      <c r="G945" s="17" t="str">
        <f>IFERROR(INDEX(Personnel[Egtim durumu],$K945),"")</f>
        <v/>
      </c>
      <c r="H945" s="17" t="str">
        <f>IFERROR(INDEX(Personnel[Shohruh Not],$K945),"")</f>
        <v/>
      </c>
      <c r="I945" s="18" t="str">
        <f>IFERROR(INDEX(Personnel[Дней в РФ],$K945),"")</f>
        <v/>
      </c>
      <c r="K945" s="23" t="str">
        <f t="array" ref="K945">IFERROR(_xlfn.AGGREGATE(15,6,(ROW(Personnel[Egtim durumu])-MIN(ROW(Personnel[Egtim durumu]))+1)/((Personnel[Egtim durumu]="Dil egitimi tamamlandi sinavdan gecti")),ROWS($K$7:K945)),"")</f>
        <v/>
      </c>
    </row>
    <row r="946" spans="1:11" x14ac:dyDescent="0.25">
      <c r="A946" s="40" t="str">
        <f>IFERROR(INDEX(Personnel[Sicil],$K946),"")</f>
        <v/>
      </c>
      <c r="B946" s="41" t="str">
        <f>IFERROR(INDEX(Personnel[Adi Soyadi],$K946),"")</f>
        <v/>
      </c>
      <c r="C946" s="40" t="str">
        <f>IFERROR(INDEX(Personnel[Vatandaslik],$K946),"")</f>
        <v/>
      </c>
      <c r="D946" s="40" t="str">
        <f>IFERROR(INDEX(Personnel[Santiye],$K946),"")</f>
        <v/>
      </c>
      <c r="E946" s="40" t="str">
        <f>IFERROR(INDEX(Personnel[Ogretmen],$K946),"")</f>
        <v/>
      </c>
      <c r="F946" s="41" t="str">
        <f>IFERROR(INDEX(Personnel[[Sinav ]],$K946),"")</f>
        <v/>
      </c>
      <c r="G946" s="41" t="str">
        <f>IFERROR(INDEX(Personnel[Egtim durumu],$K946),"")</f>
        <v/>
      </c>
      <c r="H946" s="41" t="str">
        <f>IFERROR(INDEX(Personnel[Shohruh Not],$K946),"")</f>
        <v/>
      </c>
      <c r="I946" s="40" t="str">
        <f>IFERROR(INDEX(Personnel[Дней в РФ],$K946),"")</f>
        <v/>
      </c>
      <c r="K946" s="23" t="str">
        <f t="array" ref="K946">IFERROR(_xlfn.AGGREGATE(15,6,(ROW(Personnel[Egtim durumu])-MIN(ROW(Personnel[Egtim durumu]))+1)/((Personnel[Egtim durumu]="Dil egitimi tamamlandi sinavdan gecti")),ROWS($K$7:K946)),"")</f>
        <v/>
      </c>
    </row>
    <row r="947" spans="1:11" x14ac:dyDescent="0.25">
      <c r="A947" s="18" t="str">
        <f>IFERROR(INDEX(Personnel[Sicil],$K947),"")</f>
        <v/>
      </c>
      <c r="B947" s="17" t="str">
        <f>IFERROR(INDEX(Personnel[Adi Soyadi],$K947),"")</f>
        <v/>
      </c>
      <c r="C947" s="18" t="str">
        <f>IFERROR(INDEX(Personnel[Vatandaslik],$K947),"")</f>
        <v/>
      </c>
      <c r="D947" s="18" t="str">
        <f>IFERROR(INDEX(Personnel[Santiye],$K947),"")</f>
        <v/>
      </c>
      <c r="E947" s="18" t="str">
        <f>IFERROR(INDEX(Personnel[Ogretmen],$K947),"")</f>
        <v/>
      </c>
      <c r="F947" s="17" t="str">
        <f>IFERROR(INDEX(Personnel[[Sinav ]],$K947),"")</f>
        <v/>
      </c>
      <c r="G947" s="17" t="str">
        <f>IFERROR(INDEX(Personnel[Egtim durumu],$K947),"")</f>
        <v/>
      </c>
      <c r="H947" s="17" t="str">
        <f>IFERROR(INDEX(Personnel[Shohruh Not],$K947),"")</f>
        <v/>
      </c>
      <c r="I947" s="18" t="str">
        <f>IFERROR(INDEX(Personnel[Дней в РФ],$K947),"")</f>
        <v/>
      </c>
      <c r="K947" s="23" t="str">
        <f t="array" ref="K947">IFERROR(_xlfn.AGGREGATE(15,6,(ROW(Personnel[Egtim durumu])-MIN(ROW(Personnel[Egtim durumu]))+1)/((Personnel[Egtim durumu]="Dil egitimi tamamlandi sinavdan gecti")),ROWS($K$7:K947)),"")</f>
        <v/>
      </c>
    </row>
    <row r="948" spans="1:11" x14ac:dyDescent="0.25">
      <c r="A948" s="40" t="str">
        <f>IFERROR(INDEX(Personnel[Sicil],$K948),"")</f>
        <v/>
      </c>
      <c r="B948" s="41" t="str">
        <f>IFERROR(INDEX(Personnel[Adi Soyadi],$K948),"")</f>
        <v/>
      </c>
      <c r="C948" s="40" t="str">
        <f>IFERROR(INDEX(Personnel[Vatandaslik],$K948),"")</f>
        <v/>
      </c>
      <c r="D948" s="40" t="str">
        <f>IFERROR(INDEX(Personnel[Santiye],$K948),"")</f>
        <v/>
      </c>
      <c r="E948" s="40" t="str">
        <f>IFERROR(INDEX(Personnel[Ogretmen],$K948),"")</f>
        <v/>
      </c>
      <c r="F948" s="41" t="str">
        <f>IFERROR(INDEX(Personnel[[Sinav ]],$K948),"")</f>
        <v/>
      </c>
      <c r="G948" s="41" t="str">
        <f>IFERROR(INDEX(Personnel[Egtim durumu],$K948),"")</f>
        <v/>
      </c>
      <c r="H948" s="41" t="str">
        <f>IFERROR(INDEX(Personnel[Shohruh Not],$K948),"")</f>
        <v/>
      </c>
      <c r="I948" s="40" t="str">
        <f>IFERROR(INDEX(Personnel[Дней в РФ],$K948),"")</f>
        <v/>
      </c>
      <c r="K948" s="23" t="str">
        <f t="array" ref="K948">IFERROR(_xlfn.AGGREGATE(15,6,(ROW(Personnel[Egtim durumu])-MIN(ROW(Personnel[Egtim durumu]))+1)/((Personnel[Egtim durumu]="Dil egitimi tamamlandi sinavdan gecti")),ROWS($K$7:K948)),"")</f>
        <v/>
      </c>
    </row>
    <row r="949" spans="1:11" x14ac:dyDescent="0.25">
      <c r="A949" s="18" t="str">
        <f>IFERROR(INDEX(Personnel[Sicil],$K949),"")</f>
        <v/>
      </c>
      <c r="B949" s="17" t="str">
        <f>IFERROR(INDEX(Personnel[Adi Soyadi],$K949),"")</f>
        <v/>
      </c>
      <c r="C949" s="18" t="str">
        <f>IFERROR(INDEX(Personnel[Vatandaslik],$K949),"")</f>
        <v/>
      </c>
      <c r="D949" s="18" t="str">
        <f>IFERROR(INDEX(Personnel[Santiye],$K949),"")</f>
        <v/>
      </c>
      <c r="E949" s="18" t="str">
        <f>IFERROR(INDEX(Personnel[Ogretmen],$K949),"")</f>
        <v/>
      </c>
      <c r="F949" s="17" t="str">
        <f>IFERROR(INDEX(Personnel[[Sinav ]],$K949),"")</f>
        <v/>
      </c>
      <c r="G949" s="17" t="str">
        <f>IFERROR(INDEX(Personnel[Egtim durumu],$K949),"")</f>
        <v/>
      </c>
      <c r="H949" s="17" t="str">
        <f>IFERROR(INDEX(Personnel[Shohruh Not],$K949),"")</f>
        <v/>
      </c>
      <c r="I949" s="18" t="str">
        <f>IFERROR(INDEX(Personnel[Дней в РФ],$K949),"")</f>
        <v/>
      </c>
      <c r="K949" s="23" t="str">
        <f t="array" ref="K949">IFERROR(_xlfn.AGGREGATE(15,6,(ROW(Personnel[Egtim durumu])-MIN(ROW(Personnel[Egtim durumu]))+1)/((Personnel[Egtim durumu]="Dil egitimi tamamlandi sinavdan gecti")),ROWS($K$7:K949)),"")</f>
        <v/>
      </c>
    </row>
    <row r="950" spans="1:11" x14ac:dyDescent="0.25">
      <c r="A950" s="40" t="str">
        <f>IFERROR(INDEX(Personnel[Sicil],$K950),"")</f>
        <v/>
      </c>
      <c r="B950" s="41" t="str">
        <f>IFERROR(INDEX(Personnel[Adi Soyadi],$K950),"")</f>
        <v/>
      </c>
      <c r="C950" s="40" t="str">
        <f>IFERROR(INDEX(Personnel[Vatandaslik],$K950),"")</f>
        <v/>
      </c>
      <c r="D950" s="40" t="str">
        <f>IFERROR(INDEX(Personnel[Santiye],$K950),"")</f>
        <v/>
      </c>
      <c r="E950" s="40" t="str">
        <f>IFERROR(INDEX(Personnel[Ogretmen],$K950),"")</f>
        <v/>
      </c>
      <c r="F950" s="41" t="str">
        <f>IFERROR(INDEX(Personnel[[Sinav ]],$K950),"")</f>
        <v/>
      </c>
      <c r="G950" s="41" t="str">
        <f>IFERROR(INDEX(Personnel[Egtim durumu],$K950),"")</f>
        <v/>
      </c>
      <c r="H950" s="41" t="str">
        <f>IFERROR(INDEX(Personnel[Shohruh Not],$K950),"")</f>
        <v/>
      </c>
      <c r="I950" s="40" t="str">
        <f>IFERROR(INDEX(Personnel[Дней в РФ],$K950),"")</f>
        <v/>
      </c>
      <c r="K950" s="23" t="str">
        <f t="array" ref="K950">IFERROR(_xlfn.AGGREGATE(15,6,(ROW(Personnel[Egtim durumu])-MIN(ROW(Personnel[Egtim durumu]))+1)/((Personnel[Egtim durumu]="Dil egitimi tamamlandi sinavdan gecti")),ROWS($K$7:K950)),"")</f>
        <v/>
      </c>
    </row>
    <row r="951" spans="1:11" x14ac:dyDescent="0.25">
      <c r="A951" s="18" t="str">
        <f>IFERROR(INDEX(Personnel[Sicil],$K951),"")</f>
        <v/>
      </c>
      <c r="B951" s="17" t="str">
        <f>IFERROR(INDEX(Personnel[Adi Soyadi],$K951),"")</f>
        <v/>
      </c>
      <c r="C951" s="18" t="str">
        <f>IFERROR(INDEX(Personnel[Vatandaslik],$K951),"")</f>
        <v/>
      </c>
      <c r="D951" s="18" t="str">
        <f>IFERROR(INDEX(Personnel[Santiye],$K951),"")</f>
        <v/>
      </c>
      <c r="E951" s="18" t="str">
        <f>IFERROR(INDEX(Personnel[Ogretmen],$K951),"")</f>
        <v/>
      </c>
      <c r="F951" s="17" t="str">
        <f>IFERROR(INDEX(Personnel[[Sinav ]],$K951),"")</f>
        <v/>
      </c>
      <c r="G951" s="17" t="str">
        <f>IFERROR(INDEX(Personnel[Egtim durumu],$K951),"")</f>
        <v/>
      </c>
      <c r="H951" s="17" t="str">
        <f>IFERROR(INDEX(Personnel[Shohruh Not],$K951),"")</f>
        <v/>
      </c>
      <c r="I951" s="18" t="str">
        <f>IFERROR(INDEX(Personnel[Дней в РФ],$K951),"")</f>
        <v/>
      </c>
      <c r="K951" s="23" t="str">
        <f t="array" ref="K951">IFERROR(_xlfn.AGGREGATE(15,6,(ROW(Personnel[Egtim durumu])-MIN(ROW(Personnel[Egtim durumu]))+1)/((Personnel[Egtim durumu]="Dil egitimi tamamlandi sinavdan gecti")),ROWS($K$7:K951)),"")</f>
        <v/>
      </c>
    </row>
    <row r="952" spans="1:11" x14ac:dyDescent="0.25">
      <c r="A952" s="40" t="str">
        <f>IFERROR(INDEX(Personnel[Sicil],$K952),"")</f>
        <v/>
      </c>
      <c r="B952" s="41" t="str">
        <f>IFERROR(INDEX(Personnel[Adi Soyadi],$K952),"")</f>
        <v/>
      </c>
      <c r="C952" s="40" t="str">
        <f>IFERROR(INDEX(Personnel[Vatandaslik],$K952),"")</f>
        <v/>
      </c>
      <c r="D952" s="40" t="str">
        <f>IFERROR(INDEX(Personnel[Santiye],$K952),"")</f>
        <v/>
      </c>
      <c r="E952" s="40" t="str">
        <f>IFERROR(INDEX(Personnel[Ogretmen],$K952),"")</f>
        <v/>
      </c>
      <c r="F952" s="41" t="str">
        <f>IFERROR(INDEX(Personnel[[Sinav ]],$K952),"")</f>
        <v/>
      </c>
      <c r="G952" s="41" t="str">
        <f>IFERROR(INDEX(Personnel[Egtim durumu],$K952),"")</f>
        <v/>
      </c>
      <c r="H952" s="41" t="str">
        <f>IFERROR(INDEX(Personnel[Shohruh Not],$K952),"")</f>
        <v/>
      </c>
      <c r="I952" s="40" t="str">
        <f>IFERROR(INDEX(Personnel[Дней в РФ],$K952),"")</f>
        <v/>
      </c>
      <c r="K952" s="23" t="str">
        <f t="array" ref="K952">IFERROR(_xlfn.AGGREGATE(15,6,(ROW(Personnel[Egtim durumu])-MIN(ROW(Personnel[Egtim durumu]))+1)/((Personnel[Egtim durumu]="Dil egitimi tamamlandi sinavdan gecti")),ROWS($K$7:K952)),"")</f>
        <v/>
      </c>
    </row>
    <row r="953" spans="1:11" x14ac:dyDescent="0.25">
      <c r="A953" s="18" t="str">
        <f>IFERROR(INDEX(Personnel[Sicil],$K953),"")</f>
        <v/>
      </c>
      <c r="B953" s="17" t="str">
        <f>IFERROR(INDEX(Personnel[Adi Soyadi],$K953),"")</f>
        <v/>
      </c>
      <c r="C953" s="18" t="str">
        <f>IFERROR(INDEX(Personnel[Vatandaslik],$K953),"")</f>
        <v/>
      </c>
      <c r="D953" s="18" t="str">
        <f>IFERROR(INDEX(Personnel[Santiye],$K953),"")</f>
        <v/>
      </c>
      <c r="E953" s="18" t="str">
        <f>IFERROR(INDEX(Personnel[Ogretmen],$K953),"")</f>
        <v/>
      </c>
      <c r="F953" s="17" t="str">
        <f>IFERROR(INDEX(Personnel[[Sinav ]],$K953),"")</f>
        <v/>
      </c>
      <c r="G953" s="17" t="str">
        <f>IFERROR(INDEX(Personnel[Egtim durumu],$K953),"")</f>
        <v/>
      </c>
      <c r="H953" s="17" t="str">
        <f>IFERROR(INDEX(Personnel[Shohruh Not],$K953),"")</f>
        <v/>
      </c>
      <c r="I953" s="18" t="str">
        <f>IFERROR(INDEX(Personnel[Дней в РФ],$K953),"")</f>
        <v/>
      </c>
      <c r="K953" s="23" t="str">
        <f t="array" ref="K953">IFERROR(_xlfn.AGGREGATE(15,6,(ROW(Personnel[Egtim durumu])-MIN(ROW(Personnel[Egtim durumu]))+1)/((Personnel[Egtim durumu]="Dil egitimi tamamlandi sinavdan gecti")),ROWS($K$7:K953)),"")</f>
        <v/>
      </c>
    </row>
    <row r="954" spans="1:11" x14ac:dyDescent="0.25">
      <c r="A954" s="40" t="str">
        <f>IFERROR(INDEX(Personnel[Sicil],$K954),"")</f>
        <v/>
      </c>
      <c r="B954" s="41" t="str">
        <f>IFERROR(INDEX(Personnel[Adi Soyadi],$K954),"")</f>
        <v/>
      </c>
      <c r="C954" s="40" t="str">
        <f>IFERROR(INDEX(Personnel[Vatandaslik],$K954),"")</f>
        <v/>
      </c>
      <c r="D954" s="40" t="str">
        <f>IFERROR(INDEX(Personnel[Santiye],$K954),"")</f>
        <v/>
      </c>
      <c r="E954" s="40" t="str">
        <f>IFERROR(INDEX(Personnel[Ogretmen],$K954),"")</f>
        <v/>
      </c>
      <c r="F954" s="41" t="str">
        <f>IFERROR(INDEX(Personnel[[Sinav ]],$K954),"")</f>
        <v/>
      </c>
      <c r="G954" s="41" t="str">
        <f>IFERROR(INDEX(Personnel[Egtim durumu],$K954),"")</f>
        <v/>
      </c>
      <c r="H954" s="41" t="str">
        <f>IFERROR(INDEX(Personnel[Shohruh Not],$K954),"")</f>
        <v/>
      </c>
      <c r="I954" s="40" t="str">
        <f>IFERROR(INDEX(Personnel[Дней в РФ],$K954),"")</f>
        <v/>
      </c>
      <c r="K954" s="23" t="str">
        <f t="array" ref="K954">IFERROR(_xlfn.AGGREGATE(15,6,(ROW(Personnel[Egtim durumu])-MIN(ROW(Personnel[Egtim durumu]))+1)/((Personnel[Egtim durumu]="Dil egitimi tamamlandi sinavdan gecti")),ROWS($K$7:K954)),"")</f>
        <v/>
      </c>
    </row>
    <row r="955" spans="1:11" x14ac:dyDescent="0.25">
      <c r="A955" s="18" t="str">
        <f>IFERROR(INDEX(Personnel[Sicil],$K955),"")</f>
        <v/>
      </c>
      <c r="B955" s="17" t="str">
        <f>IFERROR(INDEX(Personnel[Adi Soyadi],$K955),"")</f>
        <v/>
      </c>
      <c r="C955" s="18" t="str">
        <f>IFERROR(INDEX(Personnel[Vatandaslik],$K955),"")</f>
        <v/>
      </c>
      <c r="D955" s="18" t="str">
        <f>IFERROR(INDEX(Personnel[Santiye],$K955),"")</f>
        <v/>
      </c>
      <c r="E955" s="18" t="str">
        <f>IFERROR(INDEX(Personnel[Ogretmen],$K955),"")</f>
        <v/>
      </c>
      <c r="F955" s="17" t="str">
        <f>IFERROR(INDEX(Personnel[[Sinav ]],$K955),"")</f>
        <v/>
      </c>
      <c r="G955" s="17" t="str">
        <f>IFERROR(INDEX(Personnel[Egtim durumu],$K955),"")</f>
        <v/>
      </c>
      <c r="H955" s="17" t="str">
        <f>IFERROR(INDEX(Personnel[Shohruh Not],$K955),"")</f>
        <v/>
      </c>
      <c r="I955" s="18" t="str">
        <f>IFERROR(INDEX(Personnel[Дней в РФ],$K955),"")</f>
        <v/>
      </c>
      <c r="K955" s="23" t="str">
        <f t="array" ref="K955">IFERROR(_xlfn.AGGREGATE(15,6,(ROW(Personnel[Egtim durumu])-MIN(ROW(Personnel[Egtim durumu]))+1)/((Personnel[Egtim durumu]="Dil egitimi tamamlandi sinavdan gecti")),ROWS($K$7:K955)),"")</f>
        <v/>
      </c>
    </row>
    <row r="956" spans="1:11" x14ac:dyDescent="0.25">
      <c r="A956" s="40" t="str">
        <f>IFERROR(INDEX(Personnel[Sicil],$K956),"")</f>
        <v/>
      </c>
      <c r="B956" s="41" t="str">
        <f>IFERROR(INDEX(Personnel[Adi Soyadi],$K956),"")</f>
        <v/>
      </c>
      <c r="C956" s="40" t="str">
        <f>IFERROR(INDEX(Personnel[Vatandaslik],$K956),"")</f>
        <v/>
      </c>
      <c r="D956" s="40" t="str">
        <f>IFERROR(INDEX(Personnel[Santiye],$K956),"")</f>
        <v/>
      </c>
      <c r="E956" s="40" t="str">
        <f>IFERROR(INDEX(Personnel[Ogretmen],$K956),"")</f>
        <v/>
      </c>
      <c r="F956" s="41" t="str">
        <f>IFERROR(INDEX(Personnel[[Sinav ]],$K956),"")</f>
        <v/>
      </c>
      <c r="G956" s="41" t="str">
        <f>IFERROR(INDEX(Personnel[Egtim durumu],$K956),"")</f>
        <v/>
      </c>
      <c r="H956" s="41" t="str">
        <f>IFERROR(INDEX(Personnel[Shohruh Not],$K956),"")</f>
        <v/>
      </c>
      <c r="I956" s="40" t="str">
        <f>IFERROR(INDEX(Personnel[Дней в РФ],$K956),"")</f>
        <v/>
      </c>
      <c r="K956" s="23" t="str">
        <f t="array" ref="K956">IFERROR(_xlfn.AGGREGATE(15,6,(ROW(Personnel[Egtim durumu])-MIN(ROW(Personnel[Egtim durumu]))+1)/((Personnel[Egtim durumu]="Dil egitimi tamamlandi sinavdan gecti")),ROWS($K$7:K956)),"")</f>
        <v/>
      </c>
    </row>
    <row r="957" spans="1:11" x14ac:dyDescent="0.25">
      <c r="A957" s="18" t="str">
        <f>IFERROR(INDEX(Personnel[Sicil],$K957),"")</f>
        <v/>
      </c>
      <c r="B957" s="17" t="str">
        <f>IFERROR(INDEX(Personnel[Adi Soyadi],$K957),"")</f>
        <v/>
      </c>
      <c r="C957" s="18" t="str">
        <f>IFERROR(INDEX(Personnel[Vatandaslik],$K957),"")</f>
        <v/>
      </c>
      <c r="D957" s="18" t="str">
        <f>IFERROR(INDEX(Personnel[Santiye],$K957),"")</f>
        <v/>
      </c>
      <c r="E957" s="18" t="str">
        <f>IFERROR(INDEX(Personnel[Ogretmen],$K957),"")</f>
        <v/>
      </c>
      <c r="F957" s="17" t="str">
        <f>IFERROR(INDEX(Personnel[[Sinav ]],$K957),"")</f>
        <v/>
      </c>
      <c r="G957" s="17" t="str">
        <f>IFERROR(INDEX(Personnel[Egtim durumu],$K957),"")</f>
        <v/>
      </c>
      <c r="H957" s="17" t="str">
        <f>IFERROR(INDEX(Personnel[Shohruh Not],$K957),"")</f>
        <v/>
      </c>
      <c r="I957" s="18" t="str">
        <f>IFERROR(INDEX(Personnel[Дней в РФ],$K957),"")</f>
        <v/>
      </c>
      <c r="K957" s="23" t="str">
        <f t="array" ref="K957">IFERROR(_xlfn.AGGREGATE(15,6,(ROW(Personnel[Egtim durumu])-MIN(ROW(Personnel[Egtim durumu]))+1)/((Personnel[Egtim durumu]="Dil egitimi tamamlandi sinavdan gecti")),ROWS($K$7:K957)),"")</f>
        <v/>
      </c>
    </row>
    <row r="958" spans="1:11" x14ac:dyDescent="0.25">
      <c r="A958" s="40" t="str">
        <f>IFERROR(INDEX(Personnel[Sicil],$K958),"")</f>
        <v/>
      </c>
      <c r="B958" s="41" t="str">
        <f>IFERROR(INDEX(Personnel[Adi Soyadi],$K958),"")</f>
        <v/>
      </c>
      <c r="C958" s="40" t="str">
        <f>IFERROR(INDEX(Personnel[Vatandaslik],$K958),"")</f>
        <v/>
      </c>
      <c r="D958" s="40" t="str">
        <f>IFERROR(INDEX(Personnel[Santiye],$K958),"")</f>
        <v/>
      </c>
      <c r="E958" s="40" t="str">
        <f>IFERROR(INDEX(Personnel[Ogretmen],$K958),"")</f>
        <v/>
      </c>
      <c r="F958" s="41" t="str">
        <f>IFERROR(INDEX(Personnel[[Sinav ]],$K958),"")</f>
        <v/>
      </c>
      <c r="G958" s="41" t="str">
        <f>IFERROR(INDEX(Personnel[Egtim durumu],$K958),"")</f>
        <v/>
      </c>
      <c r="H958" s="41" t="str">
        <f>IFERROR(INDEX(Personnel[Shohruh Not],$K958),"")</f>
        <v/>
      </c>
      <c r="I958" s="40" t="str">
        <f>IFERROR(INDEX(Personnel[Дней в РФ],$K958),"")</f>
        <v/>
      </c>
      <c r="K958" s="23" t="str">
        <f t="array" ref="K958">IFERROR(_xlfn.AGGREGATE(15,6,(ROW(Personnel[Egtim durumu])-MIN(ROW(Personnel[Egtim durumu]))+1)/((Personnel[Egtim durumu]="Dil egitimi tamamlandi sinavdan gecti")),ROWS($K$7:K958)),"")</f>
        <v/>
      </c>
    </row>
    <row r="959" spans="1:11" x14ac:dyDescent="0.25">
      <c r="A959" s="18" t="str">
        <f>IFERROR(INDEX(Personnel[Sicil],$K959),"")</f>
        <v/>
      </c>
      <c r="B959" s="17" t="str">
        <f>IFERROR(INDEX(Personnel[Adi Soyadi],$K959),"")</f>
        <v/>
      </c>
      <c r="C959" s="18" t="str">
        <f>IFERROR(INDEX(Personnel[Vatandaslik],$K959),"")</f>
        <v/>
      </c>
      <c r="D959" s="18" t="str">
        <f>IFERROR(INDEX(Personnel[Santiye],$K959),"")</f>
        <v/>
      </c>
      <c r="E959" s="18" t="str">
        <f>IFERROR(INDEX(Personnel[Ogretmen],$K959),"")</f>
        <v/>
      </c>
      <c r="F959" s="17" t="str">
        <f>IFERROR(INDEX(Personnel[[Sinav ]],$K959),"")</f>
        <v/>
      </c>
      <c r="G959" s="17" t="str">
        <f>IFERROR(INDEX(Personnel[Egtim durumu],$K959),"")</f>
        <v/>
      </c>
      <c r="H959" s="17" t="str">
        <f>IFERROR(INDEX(Personnel[Shohruh Not],$K959),"")</f>
        <v/>
      </c>
      <c r="I959" s="18" t="str">
        <f>IFERROR(INDEX(Personnel[Дней в РФ],$K959),"")</f>
        <v/>
      </c>
      <c r="K959" s="23" t="str">
        <f t="array" ref="K959">IFERROR(_xlfn.AGGREGATE(15,6,(ROW(Personnel[Egtim durumu])-MIN(ROW(Personnel[Egtim durumu]))+1)/((Personnel[Egtim durumu]="Dil egitimi tamamlandi sinavdan gecti")),ROWS($K$7:K959)),"")</f>
        <v/>
      </c>
    </row>
    <row r="960" spans="1:11" x14ac:dyDescent="0.25">
      <c r="A960" s="40" t="str">
        <f>IFERROR(INDEX(Personnel[Sicil],$K960),"")</f>
        <v/>
      </c>
      <c r="B960" s="41" t="str">
        <f>IFERROR(INDEX(Personnel[Adi Soyadi],$K960),"")</f>
        <v/>
      </c>
      <c r="C960" s="40" t="str">
        <f>IFERROR(INDEX(Personnel[Vatandaslik],$K960),"")</f>
        <v/>
      </c>
      <c r="D960" s="40" t="str">
        <f>IFERROR(INDEX(Personnel[Santiye],$K960),"")</f>
        <v/>
      </c>
      <c r="E960" s="40" t="str">
        <f>IFERROR(INDEX(Personnel[Ogretmen],$K960),"")</f>
        <v/>
      </c>
      <c r="F960" s="41" t="str">
        <f>IFERROR(INDEX(Personnel[[Sinav ]],$K960),"")</f>
        <v/>
      </c>
      <c r="G960" s="41" t="str">
        <f>IFERROR(INDEX(Personnel[Egtim durumu],$K960),"")</f>
        <v/>
      </c>
      <c r="H960" s="41" t="str">
        <f>IFERROR(INDEX(Personnel[Shohruh Not],$K960),"")</f>
        <v/>
      </c>
      <c r="I960" s="40" t="str">
        <f>IFERROR(INDEX(Personnel[Дней в РФ],$K960),"")</f>
        <v/>
      </c>
      <c r="K960" s="23" t="str">
        <f t="array" ref="K960">IFERROR(_xlfn.AGGREGATE(15,6,(ROW(Personnel[Egtim durumu])-MIN(ROW(Personnel[Egtim durumu]))+1)/((Personnel[Egtim durumu]="Dil egitimi tamamlandi sinavdan gecti")),ROWS($K$7:K960)),"")</f>
        <v/>
      </c>
    </row>
    <row r="961" spans="1:11" x14ac:dyDescent="0.25">
      <c r="A961" s="18" t="str">
        <f>IFERROR(INDEX(Personnel[Sicil],$K961),"")</f>
        <v/>
      </c>
      <c r="B961" s="17" t="str">
        <f>IFERROR(INDEX(Personnel[Adi Soyadi],$K961),"")</f>
        <v/>
      </c>
      <c r="C961" s="18" t="str">
        <f>IFERROR(INDEX(Personnel[Vatandaslik],$K961),"")</f>
        <v/>
      </c>
      <c r="D961" s="18" t="str">
        <f>IFERROR(INDEX(Personnel[Santiye],$K961),"")</f>
        <v/>
      </c>
      <c r="E961" s="18" t="str">
        <f>IFERROR(INDEX(Personnel[Ogretmen],$K961),"")</f>
        <v/>
      </c>
      <c r="F961" s="17" t="str">
        <f>IFERROR(INDEX(Personnel[[Sinav ]],$K961),"")</f>
        <v/>
      </c>
      <c r="G961" s="17" t="str">
        <f>IFERROR(INDEX(Personnel[Egtim durumu],$K961),"")</f>
        <v/>
      </c>
      <c r="H961" s="17" t="str">
        <f>IFERROR(INDEX(Personnel[Shohruh Not],$K961),"")</f>
        <v/>
      </c>
      <c r="I961" s="18" t="str">
        <f>IFERROR(INDEX(Personnel[Дней в РФ],$K961),"")</f>
        <v/>
      </c>
      <c r="K961" s="23" t="str">
        <f t="array" ref="K961">IFERROR(_xlfn.AGGREGATE(15,6,(ROW(Personnel[Egtim durumu])-MIN(ROW(Personnel[Egtim durumu]))+1)/((Personnel[Egtim durumu]="Dil egitimi tamamlandi sinavdan gecti")),ROWS($K$7:K961)),"")</f>
        <v/>
      </c>
    </row>
    <row r="962" spans="1:11" x14ac:dyDescent="0.25">
      <c r="A962" s="40" t="str">
        <f>IFERROR(INDEX(Personnel[Sicil],$K962),"")</f>
        <v/>
      </c>
      <c r="B962" s="41" t="str">
        <f>IFERROR(INDEX(Personnel[Adi Soyadi],$K962),"")</f>
        <v/>
      </c>
      <c r="C962" s="40" t="str">
        <f>IFERROR(INDEX(Personnel[Vatandaslik],$K962),"")</f>
        <v/>
      </c>
      <c r="D962" s="40" t="str">
        <f>IFERROR(INDEX(Personnel[Santiye],$K962),"")</f>
        <v/>
      </c>
      <c r="E962" s="40" t="str">
        <f>IFERROR(INDEX(Personnel[Ogretmen],$K962),"")</f>
        <v/>
      </c>
      <c r="F962" s="41" t="str">
        <f>IFERROR(INDEX(Personnel[[Sinav ]],$K962),"")</f>
        <v/>
      </c>
      <c r="G962" s="41" t="str">
        <f>IFERROR(INDEX(Personnel[Egtim durumu],$K962),"")</f>
        <v/>
      </c>
      <c r="H962" s="41" t="str">
        <f>IFERROR(INDEX(Personnel[Shohruh Not],$K962),"")</f>
        <v/>
      </c>
      <c r="I962" s="40" t="str">
        <f>IFERROR(INDEX(Personnel[Дней в РФ],$K962),"")</f>
        <v/>
      </c>
      <c r="K962" s="23" t="str">
        <f t="array" ref="K962">IFERROR(_xlfn.AGGREGATE(15,6,(ROW(Personnel[Egtim durumu])-MIN(ROW(Personnel[Egtim durumu]))+1)/((Personnel[Egtim durumu]="Dil egitimi tamamlandi sinavdan gecti")),ROWS($K$7:K962)),"")</f>
        <v/>
      </c>
    </row>
    <row r="963" spans="1:11" x14ac:dyDescent="0.25">
      <c r="A963" s="18" t="str">
        <f>IFERROR(INDEX(Personnel[Sicil],$K963),"")</f>
        <v/>
      </c>
      <c r="B963" s="17" t="str">
        <f>IFERROR(INDEX(Personnel[Adi Soyadi],$K963),"")</f>
        <v/>
      </c>
      <c r="C963" s="18" t="str">
        <f>IFERROR(INDEX(Personnel[Vatandaslik],$K963),"")</f>
        <v/>
      </c>
      <c r="D963" s="18" t="str">
        <f>IFERROR(INDEX(Personnel[Santiye],$K963),"")</f>
        <v/>
      </c>
      <c r="E963" s="18" t="str">
        <f>IFERROR(INDEX(Personnel[Ogretmen],$K963),"")</f>
        <v/>
      </c>
      <c r="F963" s="17" t="str">
        <f>IFERROR(INDEX(Personnel[[Sinav ]],$K963),"")</f>
        <v/>
      </c>
      <c r="G963" s="17" t="str">
        <f>IFERROR(INDEX(Personnel[Egtim durumu],$K963),"")</f>
        <v/>
      </c>
      <c r="H963" s="17" t="str">
        <f>IFERROR(INDEX(Personnel[Shohruh Not],$K963),"")</f>
        <v/>
      </c>
      <c r="I963" s="18" t="str">
        <f>IFERROR(INDEX(Personnel[Дней в РФ],$K963),"")</f>
        <v/>
      </c>
      <c r="K963" s="23" t="str">
        <f t="array" ref="K963">IFERROR(_xlfn.AGGREGATE(15,6,(ROW(Personnel[Egtim durumu])-MIN(ROW(Personnel[Egtim durumu]))+1)/((Personnel[Egtim durumu]="Dil egitimi tamamlandi sinavdan gecti")),ROWS($K$7:K963)),"")</f>
        <v/>
      </c>
    </row>
    <row r="964" spans="1:11" x14ac:dyDescent="0.25">
      <c r="A964" s="40" t="str">
        <f>IFERROR(INDEX(Personnel[Sicil],$K964),"")</f>
        <v/>
      </c>
      <c r="B964" s="41" t="str">
        <f>IFERROR(INDEX(Personnel[Adi Soyadi],$K964),"")</f>
        <v/>
      </c>
      <c r="C964" s="40" t="str">
        <f>IFERROR(INDEX(Personnel[Vatandaslik],$K964),"")</f>
        <v/>
      </c>
      <c r="D964" s="40" t="str">
        <f>IFERROR(INDEX(Personnel[Santiye],$K964),"")</f>
        <v/>
      </c>
      <c r="E964" s="40" t="str">
        <f>IFERROR(INDEX(Personnel[Ogretmen],$K964),"")</f>
        <v/>
      </c>
      <c r="F964" s="41" t="str">
        <f>IFERROR(INDEX(Personnel[[Sinav ]],$K964),"")</f>
        <v/>
      </c>
      <c r="G964" s="41" t="str">
        <f>IFERROR(INDEX(Personnel[Egtim durumu],$K964),"")</f>
        <v/>
      </c>
      <c r="H964" s="41" t="str">
        <f>IFERROR(INDEX(Personnel[Shohruh Not],$K964),"")</f>
        <v/>
      </c>
      <c r="I964" s="40" t="str">
        <f>IFERROR(INDEX(Personnel[Дней в РФ],$K964),"")</f>
        <v/>
      </c>
      <c r="K964" s="23" t="str">
        <f t="array" ref="K964">IFERROR(_xlfn.AGGREGATE(15,6,(ROW(Personnel[Egtim durumu])-MIN(ROW(Personnel[Egtim durumu]))+1)/((Personnel[Egtim durumu]="Dil egitimi tamamlandi sinavdan gecti")),ROWS($K$7:K964)),"")</f>
        <v/>
      </c>
    </row>
    <row r="965" spans="1:11" x14ac:dyDescent="0.25">
      <c r="A965" s="18" t="str">
        <f>IFERROR(INDEX(Personnel[Sicil],$K965),"")</f>
        <v/>
      </c>
      <c r="B965" s="17" t="str">
        <f>IFERROR(INDEX(Personnel[Adi Soyadi],$K965),"")</f>
        <v/>
      </c>
      <c r="C965" s="18" t="str">
        <f>IFERROR(INDEX(Personnel[Vatandaslik],$K965),"")</f>
        <v/>
      </c>
      <c r="D965" s="18" t="str">
        <f>IFERROR(INDEX(Personnel[Santiye],$K965),"")</f>
        <v/>
      </c>
      <c r="E965" s="18" t="str">
        <f>IFERROR(INDEX(Personnel[Ogretmen],$K965),"")</f>
        <v/>
      </c>
      <c r="F965" s="17" t="str">
        <f>IFERROR(INDEX(Personnel[[Sinav ]],$K965),"")</f>
        <v/>
      </c>
      <c r="G965" s="17" t="str">
        <f>IFERROR(INDEX(Personnel[Egtim durumu],$K965),"")</f>
        <v/>
      </c>
      <c r="H965" s="17" t="str">
        <f>IFERROR(INDEX(Personnel[Shohruh Not],$K965),"")</f>
        <v/>
      </c>
      <c r="I965" s="18" t="str">
        <f>IFERROR(INDEX(Personnel[Дней в РФ],$K965),"")</f>
        <v/>
      </c>
      <c r="K965" s="23" t="str">
        <f t="array" ref="K965">IFERROR(_xlfn.AGGREGATE(15,6,(ROW(Personnel[Egtim durumu])-MIN(ROW(Personnel[Egtim durumu]))+1)/((Personnel[Egtim durumu]="Dil egitimi tamamlandi sinavdan gecti")),ROWS($K$7:K965)),"")</f>
        <v/>
      </c>
    </row>
    <row r="966" spans="1:11" x14ac:dyDescent="0.25">
      <c r="A966" s="40" t="str">
        <f>IFERROR(INDEX(Personnel[Sicil],$K966),"")</f>
        <v/>
      </c>
      <c r="B966" s="41" t="str">
        <f>IFERROR(INDEX(Personnel[Adi Soyadi],$K966),"")</f>
        <v/>
      </c>
      <c r="C966" s="40" t="str">
        <f>IFERROR(INDEX(Personnel[Vatandaslik],$K966),"")</f>
        <v/>
      </c>
      <c r="D966" s="40" t="str">
        <f>IFERROR(INDEX(Personnel[Santiye],$K966),"")</f>
        <v/>
      </c>
      <c r="E966" s="40" t="str">
        <f>IFERROR(INDEX(Personnel[Ogretmen],$K966),"")</f>
        <v/>
      </c>
      <c r="F966" s="41" t="str">
        <f>IFERROR(INDEX(Personnel[[Sinav ]],$K966),"")</f>
        <v/>
      </c>
      <c r="G966" s="41" t="str">
        <f>IFERROR(INDEX(Personnel[Egtim durumu],$K966),"")</f>
        <v/>
      </c>
      <c r="H966" s="41" t="str">
        <f>IFERROR(INDEX(Personnel[Shohruh Not],$K966),"")</f>
        <v/>
      </c>
      <c r="I966" s="40" t="str">
        <f>IFERROR(INDEX(Personnel[Дней в РФ],$K966),"")</f>
        <v/>
      </c>
      <c r="K966" s="23" t="str">
        <f t="array" ref="K966">IFERROR(_xlfn.AGGREGATE(15,6,(ROW(Personnel[Egtim durumu])-MIN(ROW(Personnel[Egtim durumu]))+1)/((Personnel[Egtim durumu]="Dil egitimi tamamlandi sinavdan gecti")),ROWS($K$7:K966)),"")</f>
        <v/>
      </c>
    </row>
    <row r="967" spans="1:11" x14ac:dyDescent="0.25">
      <c r="A967" s="18" t="str">
        <f>IFERROR(INDEX(Personnel[Sicil],$K967),"")</f>
        <v/>
      </c>
      <c r="B967" s="17" t="str">
        <f>IFERROR(INDEX(Personnel[Adi Soyadi],$K967),"")</f>
        <v/>
      </c>
      <c r="C967" s="18" t="str">
        <f>IFERROR(INDEX(Personnel[Vatandaslik],$K967),"")</f>
        <v/>
      </c>
      <c r="D967" s="18" t="str">
        <f>IFERROR(INDEX(Personnel[Santiye],$K967),"")</f>
        <v/>
      </c>
      <c r="E967" s="18" t="str">
        <f>IFERROR(INDEX(Personnel[Ogretmen],$K967),"")</f>
        <v/>
      </c>
      <c r="F967" s="17" t="str">
        <f>IFERROR(INDEX(Personnel[[Sinav ]],$K967),"")</f>
        <v/>
      </c>
      <c r="G967" s="17" t="str">
        <f>IFERROR(INDEX(Personnel[Egtim durumu],$K967),"")</f>
        <v/>
      </c>
      <c r="H967" s="17" t="str">
        <f>IFERROR(INDEX(Personnel[Shohruh Not],$K967),"")</f>
        <v/>
      </c>
      <c r="I967" s="18" t="str">
        <f>IFERROR(INDEX(Personnel[Дней в РФ],$K967),"")</f>
        <v/>
      </c>
      <c r="K967" s="23" t="str">
        <f t="array" ref="K967">IFERROR(_xlfn.AGGREGATE(15,6,(ROW(Personnel[Egtim durumu])-MIN(ROW(Personnel[Egtim durumu]))+1)/((Personnel[Egtim durumu]="Dil egitimi tamamlandi sinavdan gecti")),ROWS($K$7:K967)),"")</f>
        <v/>
      </c>
    </row>
    <row r="968" spans="1:11" x14ac:dyDescent="0.25">
      <c r="A968" s="40" t="str">
        <f>IFERROR(INDEX(Personnel[Sicil],$K968),"")</f>
        <v/>
      </c>
      <c r="B968" s="41" t="str">
        <f>IFERROR(INDEX(Personnel[Adi Soyadi],$K968),"")</f>
        <v/>
      </c>
      <c r="C968" s="40" t="str">
        <f>IFERROR(INDEX(Personnel[Vatandaslik],$K968),"")</f>
        <v/>
      </c>
      <c r="D968" s="40" t="str">
        <f>IFERROR(INDEX(Personnel[Santiye],$K968),"")</f>
        <v/>
      </c>
      <c r="E968" s="40" t="str">
        <f>IFERROR(INDEX(Personnel[Ogretmen],$K968),"")</f>
        <v/>
      </c>
      <c r="F968" s="41" t="str">
        <f>IFERROR(INDEX(Personnel[[Sinav ]],$K968),"")</f>
        <v/>
      </c>
      <c r="G968" s="41" t="str">
        <f>IFERROR(INDEX(Personnel[Egtim durumu],$K968),"")</f>
        <v/>
      </c>
      <c r="H968" s="41" t="str">
        <f>IFERROR(INDEX(Personnel[Shohruh Not],$K968),"")</f>
        <v/>
      </c>
      <c r="I968" s="40" t="str">
        <f>IFERROR(INDEX(Personnel[Дней в РФ],$K968),"")</f>
        <v/>
      </c>
      <c r="K968" s="23" t="str">
        <f t="array" ref="K968">IFERROR(_xlfn.AGGREGATE(15,6,(ROW(Personnel[Egtim durumu])-MIN(ROW(Personnel[Egtim durumu]))+1)/((Personnel[Egtim durumu]="Dil egitimi tamamlandi sinavdan gecti")),ROWS($K$7:K968)),"")</f>
        <v/>
      </c>
    </row>
    <row r="969" spans="1:11" x14ac:dyDescent="0.25">
      <c r="A969" s="18" t="str">
        <f>IFERROR(INDEX(Personnel[Sicil],$K969),"")</f>
        <v/>
      </c>
      <c r="B969" s="17" t="str">
        <f>IFERROR(INDEX(Personnel[Adi Soyadi],$K969),"")</f>
        <v/>
      </c>
      <c r="C969" s="18" t="str">
        <f>IFERROR(INDEX(Personnel[Vatandaslik],$K969),"")</f>
        <v/>
      </c>
      <c r="D969" s="18" t="str">
        <f>IFERROR(INDEX(Personnel[Santiye],$K969),"")</f>
        <v/>
      </c>
      <c r="E969" s="18" t="str">
        <f>IFERROR(INDEX(Personnel[Ogretmen],$K969),"")</f>
        <v/>
      </c>
      <c r="F969" s="17" t="str">
        <f>IFERROR(INDEX(Personnel[[Sinav ]],$K969),"")</f>
        <v/>
      </c>
      <c r="G969" s="17" t="str">
        <f>IFERROR(INDEX(Personnel[Egtim durumu],$K969),"")</f>
        <v/>
      </c>
      <c r="H969" s="17" t="str">
        <f>IFERROR(INDEX(Personnel[Shohruh Not],$K969),"")</f>
        <v/>
      </c>
      <c r="I969" s="18" t="str">
        <f>IFERROR(INDEX(Personnel[Дней в РФ],$K969),"")</f>
        <v/>
      </c>
      <c r="K969" s="23" t="str">
        <f t="array" ref="K969">IFERROR(_xlfn.AGGREGATE(15,6,(ROW(Personnel[Egtim durumu])-MIN(ROW(Personnel[Egtim durumu]))+1)/((Personnel[Egtim durumu]="Dil egitimi tamamlandi sinavdan gecti")),ROWS($K$7:K969)),"")</f>
        <v/>
      </c>
    </row>
    <row r="970" spans="1:11" x14ac:dyDescent="0.25">
      <c r="A970" s="40" t="str">
        <f>IFERROR(INDEX(Personnel[Sicil],$K970),"")</f>
        <v/>
      </c>
      <c r="B970" s="41" t="str">
        <f>IFERROR(INDEX(Personnel[Adi Soyadi],$K970),"")</f>
        <v/>
      </c>
      <c r="C970" s="40" t="str">
        <f>IFERROR(INDEX(Personnel[Vatandaslik],$K970),"")</f>
        <v/>
      </c>
      <c r="D970" s="40" t="str">
        <f>IFERROR(INDEX(Personnel[Santiye],$K970),"")</f>
        <v/>
      </c>
      <c r="E970" s="40" t="str">
        <f>IFERROR(INDEX(Personnel[Ogretmen],$K970),"")</f>
        <v/>
      </c>
      <c r="F970" s="41" t="str">
        <f>IFERROR(INDEX(Personnel[[Sinav ]],$K970),"")</f>
        <v/>
      </c>
      <c r="G970" s="41" t="str">
        <f>IFERROR(INDEX(Personnel[Egtim durumu],$K970),"")</f>
        <v/>
      </c>
      <c r="H970" s="41" t="str">
        <f>IFERROR(INDEX(Personnel[Shohruh Not],$K970),"")</f>
        <v/>
      </c>
      <c r="I970" s="40" t="str">
        <f>IFERROR(INDEX(Personnel[Дней в РФ],$K970),"")</f>
        <v/>
      </c>
      <c r="K970" s="23" t="str">
        <f t="array" ref="K970">IFERROR(_xlfn.AGGREGATE(15,6,(ROW(Personnel[Egtim durumu])-MIN(ROW(Personnel[Egtim durumu]))+1)/((Personnel[Egtim durumu]="Dil egitimi tamamlandi sinavdan gecti")),ROWS($K$7:K970)),"")</f>
        <v/>
      </c>
    </row>
    <row r="971" spans="1:11" x14ac:dyDescent="0.25">
      <c r="A971" s="18" t="str">
        <f>IFERROR(INDEX(Personnel[Sicil],$K971),"")</f>
        <v/>
      </c>
      <c r="B971" s="17" t="str">
        <f>IFERROR(INDEX(Personnel[Adi Soyadi],$K971),"")</f>
        <v/>
      </c>
      <c r="C971" s="18" t="str">
        <f>IFERROR(INDEX(Personnel[Vatandaslik],$K971),"")</f>
        <v/>
      </c>
      <c r="D971" s="18" t="str">
        <f>IFERROR(INDEX(Personnel[Santiye],$K971),"")</f>
        <v/>
      </c>
      <c r="E971" s="18" t="str">
        <f>IFERROR(INDEX(Personnel[Ogretmen],$K971),"")</f>
        <v/>
      </c>
      <c r="F971" s="17" t="str">
        <f>IFERROR(INDEX(Personnel[[Sinav ]],$K971),"")</f>
        <v/>
      </c>
      <c r="G971" s="17" t="str">
        <f>IFERROR(INDEX(Personnel[Egtim durumu],$K971),"")</f>
        <v/>
      </c>
      <c r="H971" s="17" t="str">
        <f>IFERROR(INDEX(Personnel[Shohruh Not],$K971),"")</f>
        <v/>
      </c>
      <c r="I971" s="18" t="str">
        <f>IFERROR(INDEX(Personnel[Дней в РФ],$K971),"")</f>
        <v/>
      </c>
      <c r="K971" s="23" t="str">
        <f t="array" ref="K971">IFERROR(_xlfn.AGGREGATE(15,6,(ROW(Personnel[Egtim durumu])-MIN(ROW(Personnel[Egtim durumu]))+1)/((Personnel[Egtim durumu]="Dil egitimi tamamlandi sinavdan gecti")),ROWS($K$7:K971)),"")</f>
        <v/>
      </c>
    </row>
    <row r="972" spans="1:11" x14ac:dyDescent="0.25">
      <c r="A972" s="40" t="str">
        <f>IFERROR(INDEX(Personnel[Sicil],$K972),"")</f>
        <v/>
      </c>
      <c r="B972" s="41" t="str">
        <f>IFERROR(INDEX(Personnel[Adi Soyadi],$K972),"")</f>
        <v/>
      </c>
      <c r="C972" s="40" t="str">
        <f>IFERROR(INDEX(Personnel[Vatandaslik],$K972),"")</f>
        <v/>
      </c>
      <c r="D972" s="40" t="str">
        <f>IFERROR(INDEX(Personnel[Santiye],$K972),"")</f>
        <v/>
      </c>
      <c r="E972" s="40" t="str">
        <f>IFERROR(INDEX(Personnel[Ogretmen],$K972),"")</f>
        <v/>
      </c>
      <c r="F972" s="41" t="str">
        <f>IFERROR(INDEX(Personnel[[Sinav ]],$K972),"")</f>
        <v/>
      </c>
      <c r="G972" s="41" t="str">
        <f>IFERROR(INDEX(Personnel[Egtim durumu],$K972),"")</f>
        <v/>
      </c>
      <c r="H972" s="41" t="str">
        <f>IFERROR(INDEX(Personnel[Shohruh Not],$K972),"")</f>
        <v/>
      </c>
      <c r="I972" s="40" t="str">
        <f>IFERROR(INDEX(Personnel[Дней в РФ],$K972),"")</f>
        <v/>
      </c>
      <c r="K972" s="23" t="str">
        <f t="array" ref="K972">IFERROR(_xlfn.AGGREGATE(15,6,(ROW(Personnel[Egtim durumu])-MIN(ROW(Personnel[Egtim durumu]))+1)/((Personnel[Egtim durumu]="Dil egitimi tamamlandi sinavdan gecti")),ROWS($K$7:K972)),"")</f>
        <v/>
      </c>
    </row>
    <row r="973" spans="1:11" x14ac:dyDescent="0.25">
      <c r="A973" s="18" t="str">
        <f>IFERROR(INDEX(Personnel[Sicil],$K973),"")</f>
        <v/>
      </c>
      <c r="B973" s="17" t="str">
        <f>IFERROR(INDEX(Personnel[Adi Soyadi],$K973),"")</f>
        <v/>
      </c>
      <c r="C973" s="18" t="str">
        <f>IFERROR(INDEX(Personnel[Vatandaslik],$K973),"")</f>
        <v/>
      </c>
      <c r="D973" s="18" t="str">
        <f>IFERROR(INDEX(Personnel[Santiye],$K973),"")</f>
        <v/>
      </c>
      <c r="E973" s="18" t="str">
        <f>IFERROR(INDEX(Personnel[Ogretmen],$K973),"")</f>
        <v/>
      </c>
      <c r="F973" s="17" t="str">
        <f>IFERROR(INDEX(Personnel[[Sinav ]],$K973),"")</f>
        <v/>
      </c>
      <c r="G973" s="17" t="str">
        <f>IFERROR(INDEX(Personnel[Egtim durumu],$K973),"")</f>
        <v/>
      </c>
      <c r="H973" s="17" t="str">
        <f>IFERROR(INDEX(Personnel[Shohruh Not],$K973),"")</f>
        <v/>
      </c>
      <c r="I973" s="18" t="str">
        <f>IFERROR(INDEX(Personnel[Дней в РФ],$K973),"")</f>
        <v/>
      </c>
      <c r="K973" s="23" t="str">
        <f t="array" ref="K973">IFERROR(_xlfn.AGGREGATE(15,6,(ROW(Personnel[Egtim durumu])-MIN(ROW(Personnel[Egtim durumu]))+1)/((Personnel[Egtim durumu]="Dil egitimi tamamlandi sinavdan gecti")),ROWS($K$7:K973)),"")</f>
        <v/>
      </c>
    </row>
    <row r="974" spans="1:11" x14ac:dyDescent="0.25">
      <c r="A974" s="40" t="str">
        <f>IFERROR(INDEX(Personnel[Sicil],$K974),"")</f>
        <v/>
      </c>
      <c r="B974" s="41" t="str">
        <f>IFERROR(INDEX(Personnel[Adi Soyadi],$K974),"")</f>
        <v/>
      </c>
      <c r="C974" s="40" t="str">
        <f>IFERROR(INDEX(Personnel[Vatandaslik],$K974),"")</f>
        <v/>
      </c>
      <c r="D974" s="40" t="str">
        <f>IFERROR(INDEX(Personnel[Santiye],$K974),"")</f>
        <v/>
      </c>
      <c r="E974" s="40" t="str">
        <f>IFERROR(INDEX(Personnel[Ogretmen],$K974),"")</f>
        <v/>
      </c>
      <c r="F974" s="41" t="str">
        <f>IFERROR(INDEX(Personnel[[Sinav ]],$K974),"")</f>
        <v/>
      </c>
      <c r="G974" s="41" t="str">
        <f>IFERROR(INDEX(Personnel[Egtim durumu],$K974),"")</f>
        <v/>
      </c>
      <c r="H974" s="41" t="str">
        <f>IFERROR(INDEX(Personnel[Shohruh Not],$K974),"")</f>
        <v/>
      </c>
      <c r="I974" s="40" t="str">
        <f>IFERROR(INDEX(Personnel[Дней в РФ],$K974),"")</f>
        <v/>
      </c>
      <c r="K974" s="23" t="str">
        <f t="array" ref="K974">IFERROR(_xlfn.AGGREGATE(15,6,(ROW(Personnel[Egtim durumu])-MIN(ROW(Personnel[Egtim durumu]))+1)/((Personnel[Egtim durumu]="Dil egitimi tamamlandi sinavdan gecti")),ROWS($K$7:K974)),"")</f>
        <v/>
      </c>
    </row>
    <row r="975" spans="1:11" x14ac:dyDescent="0.25">
      <c r="A975" s="18" t="str">
        <f>IFERROR(INDEX(Personnel[Sicil],$K975),"")</f>
        <v/>
      </c>
      <c r="B975" s="17" t="str">
        <f>IFERROR(INDEX(Personnel[Adi Soyadi],$K975),"")</f>
        <v/>
      </c>
      <c r="C975" s="18" t="str">
        <f>IFERROR(INDEX(Personnel[Vatandaslik],$K975),"")</f>
        <v/>
      </c>
      <c r="D975" s="18" t="str">
        <f>IFERROR(INDEX(Personnel[Santiye],$K975),"")</f>
        <v/>
      </c>
      <c r="E975" s="18" t="str">
        <f>IFERROR(INDEX(Personnel[Ogretmen],$K975),"")</f>
        <v/>
      </c>
      <c r="F975" s="17" t="str">
        <f>IFERROR(INDEX(Personnel[[Sinav ]],$K975),"")</f>
        <v/>
      </c>
      <c r="G975" s="17" t="str">
        <f>IFERROR(INDEX(Personnel[Egtim durumu],$K975),"")</f>
        <v/>
      </c>
      <c r="H975" s="17" t="str">
        <f>IFERROR(INDEX(Personnel[Shohruh Not],$K975),"")</f>
        <v/>
      </c>
      <c r="I975" s="18" t="str">
        <f>IFERROR(INDEX(Personnel[Дней в РФ],$K975),"")</f>
        <v/>
      </c>
      <c r="K975" s="23" t="str">
        <f t="array" ref="K975">IFERROR(_xlfn.AGGREGATE(15,6,(ROW(Personnel[Egtim durumu])-MIN(ROW(Personnel[Egtim durumu]))+1)/((Personnel[Egtim durumu]="Dil egitimi tamamlandi sinavdan gecti")),ROWS($K$7:K975)),"")</f>
        <v/>
      </c>
    </row>
    <row r="976" spans="1:11" x14ac:dyDescent="0.25">
      <c r="A976" s="40" t="str">
        <f>IFERROR(INDEX(Personnel[Sicil],$K976),"")</f>
        <v/>
      </c>
      <c r="B976" s="41" t="str">
        <f>IFERROR(INDEX(Personnel[Adi Soyadi],$K976),"")</f>
        <v/>
      </c>
      <c r="C976" s="40" t="str">
        <f>IFERROR(INDEX(Personnel[Vatandaslik],$K976),"")</f>
        <v/>
      </c>
      <c r="D976" s="40" t="str">
        <f>IFERROR(INDEX(Personnel[Santiye],$K976),"")</f>
        <v/>
      </c>
      <c r="E976" s="40" t="str">
        <f>IFERROR(INDEX(Personnel[Ogretmen],$K976),"")</f>
        <v/>
      </c>
      <c r="F976" s="41" t="str">
        <f>IFERROR(INDEX(Personnel[[Sinav ]],$K976),"")</f>
        <v/>
      </c>
      <c r="G976" s="41" t="str">
        <f>IFERROR(INDEX(Personnel[Egtim durumu],$K976),"")</f>
        <v/>
      </c>
      <c r="H976" s="41" t="str">
        <f>IFERROR(INDEX(Personnel[Shohruh Not],$K976),"")</f>
        <v/>
      </c>
      <c r="I976" s="40" t="str">
        <f>IFERROR(INDEX(Personnel[Дней в РФ],$K976),"")</f>
        <v/>
      </c>
      <c r="K976" s="23" t="str">
        <f t="array" ref="K976">IFERROR(_xlfn.AGGREGATE(15,6,(ROW(Personnel[Egtim durumu])-MIN(ROW(Personnel[Egtim durumu]))+1)/((Personnel[Egtim durumu]="Dil egitimi tamamlandi sinavdan gecti")),ROWS($K$7:K976)),"")</f>
        <v/>
      </c>
    </row>
    <row r="977" spans="1:11" x14ac:dyDescent="0.25">
      <c r="A977" s="18" t="str">
        <f>IFERROR(INDEX(Personnel[Sicil],$K977),"")</f>
        <v/>
      </c>
      <c r="B977" s="17" t="str">
        <f>IFERROR(INDEX(Personnel[Adi Soyadi],$K977),"")</f>
        <v/>
      </c>
      <c r="C977" s="18" t="str">
        <f>IFERROR(INDEX(Personnel[Vatandaslik],$K977),"")</f>
        <v/>
      </c>
      <c r="D977" s="18" t="str">
        <f>IFERROR(INDEX(Personnel[Santiye],$K977),"")</f>
        <v/>
      </c>
      <c r="E977" s="18" t="str">
        <f>IFERROR(INDEX(Personnel[Ogretmen],$K977),"")</f>
        <v/>
      </c>
      <c r="F977" s="17" t="str">
        <f>IFERROR(INDEX(Personnel[[Sinav ]],$K977),"")</f>
        <v/>
      </c>
      <c r="G977" s="17" t="str">
        <f>IFERROR(INDEX(Personnel[Egtim durumu],$K977),"")</f>
        <v/>
      </c>
      <c r="H977" s="17" t="str">
        <f>IFERROR(INDEX(Personnel[Shohruh Not],$K977),"")</f>
        <v/>
      </c>
      <c r="I977" s="18" t="str">
        <f>IFERROR(INDEX(Personnel[Дней в РФ],$K977),"")</f>
        <v/>
      </c>
      <c r="K977" s="23" t="str">
        <f t="array" ref="K977">IFERROR(_xlfn.AGGREGATE(15,6,(ROW(Personnel[Egtim durumu])-MIN(ROW(Personnel[Egtim durumu]))+1)/((Personnel[Egtim durumu]="Dil egitimi tamamlandi sinavdan gecti")),ROWS($K$7:K977)),"")</f>
        <v/>
      </c>
    </row>
    <row r="978" spans="1:11" x14ac:dyDescent="0.25">
      <c r="A978" s="40" t="str">
        <f>IFERROR(INDEX(Personnel[Sicil],$K978),"")</f>
        <v/>
      </c>
      <c r="B978" s="41" t="str">
        <f>IFERROR(INDEX(Personnel[Adi Soyadi],$K978),"")</f>
        <v/>
      </c>
      <c r="C978" s="40" t="str">
        <f>IFERROR(INDEX(Personnel[Vatandaslik],$K978),"")</f>
        <v/>
      </c>
      <c r="D978" s="40" t="str">
        <f>IFERROR(INDEX(Personnel[Santiye],$K978),"")</f>
        <v/>
      </c>
      <c r="E978" s="40" t="str">
        <f>IFERROR(INDEX(Personnel[Ogretmen],$K978),"")</f>
        <v/>
      </c>
      <c r="F978" s="41" t="str">
        <f>IFERROR(INDEX(Personnel[[Sinav ]],$K978),"")</f>
        <v/>
      </c>
      <c r="G978" s="41" t="str">
        <f>IFERROR(INDEX(Personnel[Egtim durumu],$K978),"")</f>
        <v/>
      </c>
      <c r="H978" s="41" t="str">
        <f>IFERROR(INDEX(Personnel[Shohruh Not],$K978),"")</f>
        <v/>
      </c>
      <c r="I978" s="40" t="str">
        <f>IFERROR(INDEX(Personnel[Дней в РФ],$K978),"")</f>
        <v/>
      </c>
      <c r="K978" s="23" t="str">
        <f t="array" ref="K978">IFERROR(_xlfn.AGGREGATE(15,6,(ROW(Personnel[Egtim durumu])-MIN(ROW(Personnel[Egtim durumu]))+1)/((Personnel[Egtim durumu]="Dil egitimi tamamlandi sinavdan gecti")),ROWS($K$7:K978)),"")</f>
        <v/>
      </c>
    </row>
    <row r="979" spans="1:11" x14ac:dyDescent="0.25">
      <c r="A979" s="18" t="str">
        <f>IFERROR(INDEX(Personnel[Sicil],$K979),"")</f>
        <v/>
      </c>
      <c r="B979" s="17" t="str">
        <f>IFERROR(INDEX(Personnel[Adi Soyadi],$K979),"")</f>
        <v/>
      </c>
      <c r="C979" s="18" t="str">
        <f>IFERROR(INDEX(Personnel[Vatandaslik],$K979),"")</f>
        <v/>
      </c>
      <c r="D979" s="18" t="str">
        <f>IFERROR(INDEX(Personnel[Santiye],$K979),"")</f>
        <v/>
      </c>
      <c r="E979" s="18" t="str">
        <f>IFERROR(INDEX(Personnel[Ogretmen],$K979),"")</f>
        <v/>
      </c>
      <c r="F979" s="17" t="str">
        <f>IFERROR(INDEX(Personnel[[Sinav ]],$K979),"")</f>
        <v/>
      </c>
      <c r="G979" s="17" t="str">
        <f>IFERROR(INDEX(Personnel[Egtim durumu],$K979),"")</f>
        <v/>
      </c>
      <c r="H979" s="17" t="str">
        <f>IFERROR(INDEX(Personnel[Shohruh Not],$K979),"")</f>
        <v/>
      </c>
      <c r="I979" s="18" t="str">
        <f>IFERROR(INDEX(Personnel[Дней в РФ],$K979),"")</f>
        <v/>
      </c>
      <c r="K979" s="23" t="str">
        <f t="array" ref="K979">IFERROR(_xlfn.AGGREGATE(15,6,(ROW(Personnel[Egtim durumu])-MIN(ROW(Personnel[Egtim durumu]))+1)/((Personnel[Egtim durumu]="Dil egitimi tamamlandi sinavdan gecti")),ROWS($K$7:K979)),"")</f>
        <v/>
      </c>
    </row>
    <row r="980" spans="1:11" x14ac:dyDescent="0.25">
      <c r="A980" s="40" t="str">
        <f>IFERROR(INDEX(Personnel[Sicil],$K980),"")</f>
        <v/>
      </c>
      <c r="B980" s="41" t="str">
        <f>IFERROR(INDEX(Personnel[Adi Soyadi],$K980),"")</f>
        <v/>
      </c>
      <c r="C980" s="40" t="str">
        <f>IFERROR(INDEX(Personnel[Vatandaslik],$K980),"")</f>
        <v/>
      </c>
      <c r="D980" s="40" t="str">
        <f>IFERROR(INDEX(Personnel[Santiye],$K980),"")</f>
        <v/>
      </c>
      <c r="E980" s="40" t="str">
        <f>IFERROR(INDEX(Personnel[Ogretmen],$K980),"")</f>
        <v/>
      </c>
      <c r="F980" s="41" t="str">
        <f>IFERROR(INDEX(Personnel[[Sinav ]],$K980),"")</f>
        <v/>
      </c>
      <c r="G980" s="41" t="str">
        <f>IFERROR(INDEX(Personnel[Egtim durumu],$K980),"")</f>
        <v/>
      </c>
      <c r="H980" s="41" t="str">
        <f>IFERROR(INDEX(Personnel[Shohruh Not],$K980),"")</f>
        <v/>
      </c>
      <c r="I980" s="40" t="str">
        <f>IFERROR(INDEX(Personnel[Дней в РФ],$K980),"")</f>
        <v/>
      </c>
      <c r="K980" s="23" t="str">
        <f t="array" ref="K980">IFERROR(_xlfn.AGGREGATE(15,6,(ROW(Personnel[Egtim durumu])-MIN(ROW(Personnel[Egtim durumu]))+1)/((Personnel[Egtim durumu]="Dil egitimi tamamlandi sinavdan gecti")),ROWS($K$7:K980)),"")</f>
        <v/>
      </c>
    </row>
    <row r="981" spans="1:11" x14ac:dyDescent="0.25">
      <c r="A981" s="18" t="str">
        <f>IFERROR(INDEX(Personnel[Sicil],$K981),"")</f>
        <v/>
      </c>
      <c r="B981" s="17" t="str">
        <f>IFERROR(INDEX(Personnel[Adi Soyadi],$K981),"")</f>
        <v/>
      </c>
      <c r="C981" s="18" t="str">
        <f>IFERROR(INDEX(Personnel[Vatandaslik],$K981),"")</f>
        <v/>
      </c>
      <c r="D981" s="18" t="str">
        <f>IFERROR(INDEX(Personnel[Santiye],$K981),"")</f>
        <v/>
      </c>
      <c r="E981" s="18" t="str">
        <f>IFERROR(INDEX(Personnel[Ogretmen],$K981),"")</f>
        <v/>
      </c>
      <c r="F981" s="17" t="str">
        <f>IFERROR(INDEX(Personnel[[Sinav ]],$K981),"")</f>
        <v/>
      </c>
      <c r="G981" s="17" t="str">
        <f>IFERROR(INDEX(Personnel[Egtim durumu],$K981),"")</f>
        <v/>
      </c>
      <c r="H981" s="17" t="str">
        <f>IFERROR(INDEX(Personnel[Shohruh Not],$K981),"")</f>
        <v/>
      </c>
      <c r="I981" s="18" t="str">
        <f>IFERROR(INDEX(Personnel[Дней в РФ],$K981),"")</f>
        <v/>
      </c>
      <c r="K981" s="23" t="str">
        <f t="array" ref="K981">IFERROR(_xlfn.AGGREGATE(15,6,(ROW(Personnel[Egtim durumu])-MIN(ROW(Personnel[Egtim durumu]))+1)/((Personnel[Egtim durumu]="Dil egitimi tamamlandi sinavdan gecti")),ROWS($K$7:K981)),"")</f>
        <v/>
      </c>
    </row>
    <row r="982" spans="1:11" x14ac:dyDescent="0.25">
      <c r="A982" s="40" t="str">
        <f>IFERROR(INDEX(Personnel[Sicil],$K982),"")</f>
        <v/>
      </c>
      <c r="B982" s="41" t="str">
        <f>IFERROR(INDEX(Personnel[Adi Soyadi],$K982),"")</f>
        <v/>
      </c>
      <c r="C982" s="40" t="str">
        <f>IFERROR(INDEX(Personnel[Vatandaslik],$K982),"")</f>
        <v/>
      </c>
      <c r="D982" s="40" t="str">
        <f>IFERROR(INDEX(Personnel[Santiye],$K982),"")</f>
        <v/>
      </c>
      <c r="E982" s="40" t="str">
        <f>IFERROR(INDEX(Personnel[Ogretmen],$K982),"")</f>
        <v/>
      </c>
      <c r="F982" s="41" t="str">
        <f>IFERROR(INDEX(Personnel[[Sinav ]],$K982),"")</f>
        <v/>
      </c>
      <c r="G982" s="41" t="str">
        <f>IFERROR(INDEX(Personnel[Egtim durumu],$K982),"")</f>
        <v/>
      </c>
      <c r="H982" s="41" t="str">
        <f>IFERROR(INDEX(Personnel[Shohruh Not],$K982),"")</f>
        <v/>
      </c>
      <c r="I982" s="40" t="str">
        <f>IFERROR(INDEX(Personnel[Дней в РФ],$K982),"")</f>
        <v/>
      </c>
      <c r="K982" s="23" t="str">
        <f t="array" ref="K982">IFERROR(_xlfn.AGGREGATE(15,6,(ROW(Personnel[Egtim durumu])-MIN(ROW(Personnel[Egtim durumu]))+1)/((Personnel[Egtim durumu]="Dil egitimi tamamlandi sinavdan gecti")),ROWS($K$7:K982)),"")</f>
        <v/>
      </c>
    </row>
    <row r="983" spans="1:11" x14ac:dyDescent="0.25">
      <c r="A983" s="18" t="str">
        <f>IFERROR(INDEX(Personnel[Sicil],$K983),"")</f>
        <v/>
      </c>
      <c r="B983" s="17" t="str">
        <f>IFERROR(INDEX(Personnel[Adi Soyadi],$K983),"")</f>
        <v/>
      </c>
      <c r="C983" s="18" t="str">
        <f>IFERROR(INDEX(Personnel[Vatandaslik],$K983),"")</f>
        <v/>
      </c>
      <c r="D983" s="18" t="str">
        <f>IFERROR(INDEX(Personnel[Santiye],$K983),"")</f>
        <v/>
      </c>
      <c r="E983" s="18" t="str">
        <f>IFERROR(INDEX(Personnel[Ogretmen],$K983),"")</f>
        <v/>
      </c>
      <c r="F983" s="17" t="str">
        <f>IFERROR(INDEX(Personnel[[Sinav ]],$K983),"")</f>
        <v/>
      </c>
      <c r="G983" s="17" t="str">
        <f>IFERROR(INDEX(Personnel[Egtim durumu],$K983),"")</f>
        <v/>
      </c>
      <c r="H983" s="17" t="str">
        <f>IFERROR(INDEX(Personnel[Shohruh Not],$K983),"")</f>
        <v/>
      </c>
      <c r="I983" s="18" t="str">
        <f>IFERROR(INDEX(Personnel[Дней в РФ],$K983),"")</f>
        <v/>
      </c>
      <c r="K983" s="23" t="str">
        <f t="array" ref="K983">IFERROR(_xlfn.AGGREGATE(15,6,(ROW(Personnel[Egtim durumu])-MIN(ROW(Personnel[Egtim durumu]))+1)/((Personnel[Egtim durumu]="Dil egitimi tamamlandi sinavdan gecti")),ROWS($K$7:K983)),"")</f>
        <v/>
      </c>
    </row>
    <row r="984" spans="1:11" x14ac:dyDescent="0.25">
      <c r="A984" s="40" t="str">
        <f>IFERROR(INDEX(Personnel[Sicil],$K984),"")</f>
        <v/>
      </c>
      <c r="B984" s="41" t="str">
        <f>IFERROR(INDEX(Personnel[Adi Soyadi],$K984),"")</f>
        <v/>
      </c>
      <c r="C984" s="40" t="str">
        <f>IFERROR(INDEX(Personnel[Vatandaslik],$K984),"")</f>
        <v/>
      </c>
      <c r="D984" s="40" t="str">
        <f>IFERROR(INDEX(Personnel[Santiye],$K984),"")</f>
        <v/>
      </c>
      <c r="E984" s="40" t="str">
        <f>IFERROR(INDEX(Personnel[Ogretmen],$K984),"")</f>
        <v/>
      </c>
      <c r="F984" s="41" t="str">
        <f>IFERROR(INDEX(Personnel[[Sinav ]],$K984),"")</f>
        <v/>
      </c>
      <c r="G984" s="41" t="str">
        <f>IFERROR(INDEX(Personnel[Egtim durumu],$K984),"")</f>
        <v/>
      </c>
      <c r="H984" s="41" t="str">
        <f>IFERROR(INDEX(Personnel[Shohruh Not],$K984),"")</f>
        <v/>
      </c>
      <c r="I984" s="40" t="str">
        <f>IFERROR(INDEX(Personnel[Дней в РФ],$K984),"")</f>
        <v/>
      </c>
      <c r="K984" s="23" t="str">
        <f t="array" ref="K984">IFERROR(_xlfn.AGGREGATE(15,6,(ROW(Personnel[Egtim durumu])-MIN(ROW(Personnel[Egtim durumu]))+1)/((Personnel[Egtim durumu]="Dil egitimi tamamlandi sinavdan gecti")),ROWS($K$7:K984)),"")</f>
        <v/>
      </c>
    </row>
    <row r="985" spans="1:11" x14ac:dyDescent="0.25">
      <c r="A985" s="18" t="str">
        <f>IFERROR(INDEX(Personnel[Sicil],$K985),"")</f>
        <v/>
      </c>
      <c r="B985" s="17" t="str">
        <f>IFERROR(INDEX(Personnel[Adi Soyadi],$K985),"")</f>
        <v/>
      </c>
      <c r="C985" s="18" t="str">
        <f>IFERROR(INDEX(Personnel[Vatandaslik],$K985),"")</f>
        <v/>
      </c>
      <c r="D985" s="18" t="str">
        <f>IFERROR(INDEX(Personnel[Santiye],$K985),"")</f>
        <v/>
      </c>
      <c r="E985" s="18" t="str">
        <f>IFERROR(INDEX(Personnel[Ogretmen],$K985),"")</f>
        <v/>
      </c>
      <c r="F985" s="17" t="str">
        <f>IFERROR(INDEX(Personnel[[Sinav ]],$K985),"")</f>
        <v/>
      </c>
      <c r="G985" s="17" t="str">
        <f>IFERROR(INDEX(Personnel[Egtim durumu],$K985),"")</f>
        <v/>
      </c>
      <c r="H985" s="17" t="str">
        <f>IFERROR(INDEX(Personnel[Shohruh Not],$K985),"")</f>
        <v/>
      </c>
      <c r="I985" s="18" t="str">
        <f>IFERROR(INDEX(Personnel[Дней в РФ],$K985),"")</f>
        <v/>
      </c>
      <c r="K985" s="23" t="str">
        <f t="array" ref="K985">IFERROR(_xlfn.AGGREGATE(15,6,(ROW(Personnel[Egtim durumu])-MIN(ROW(Personnel[Egtim durumu]))+1)/((Personnel[Egtim durumu]="Dil egitimi tamamlandi sinavdan gecti")),ROWS($K$7:K985)),"")</f>
        <v/>
      </c>
    </row>
    <row r="986" spans="1:11" x14ac:dyDescent="0.25">
      <c r="A986" s="40" t="str">
        <f>IFERROR(INDEX(Personnel[Sicil],$K986),"")</f>
        <v/>
      </c>
      <c r="B986" s="41" t="str">
        <f>IFERROR(INDEX(Personnel[Adi Soyadi],$K986),"")</f>
        <v/>
      </c>
      <c r="C986" s="40" t="str">
        <f>IFERROR(INDEX(Personnel[Vatandaslik],$K986),"")</f>
        <v/>
      </c>
      <c r="D986" s="40" t="str">
        <f>IFERROR(INDEX(Personnel[Santiye],$K986),"")</f>
        <v/>
      </c>
      <c r="E986" s="40" t="str">
        <f>IFERROR(INDEX(Personnel[Ogretmen],$K986),"")</f>
        <v/>
      </c>
      <c r="F986" s="41" t="str">
        <f>IFERROR(INDEX(Personnel[[Sinav ]],$K986),"")</f>
        <v/>
      </c>
      <c r="G986" s="41" t="str">
        <f>IFERROR(INDEX(Personnel[Egtim durumu],$K986),"")</f>
        <v/>
      </c>
      <c r="H986" s="41" t="str">
        <f>IFERROR(INDEX(Personnel[Shohruh Not],$K986),"")</f>
        <v/>
      </c>
      <c r="I986" s="40" t="str">
        <f>IFERROR(INDEX(Personnel[Дней в РФ],$K986),"")</f>
        <v/>
      </c>
      <c r="K986" s="23" t="str">
        <f t="array" ref="K986">IFERROR(_xlfn.AGGREGATE(15,6,(ROW(Personnel[Egtim durumu])-MIN(ROW(Personnel[Egtim durumu]))+1)/((Personnel[Egtim durumu]="Dil egitimi tamamlandi sinavdan gecti")),ROWS($K$7:K986)),"")</f>
        <v/>
      </c>
    </row>
    <row r="987" spans="1:11" x14ac:dyDescent="0.25">
      <c r="A987" s="18" t="str">
        <f>IFERROR(INDEX(Personnel[Sicil],$K987),"")</f>
        <v/>
      </c>
      <c r="B987" s="17" t="str">
        <f>IFERROR(INDEX(Personnel[Adi Soyadi],$K987),"")</f>
        <v/>
      </c>
      <c r="C987" s="18" t="str">
        <f>IFERROR(INDEX(Personnel[Vatandaslik],$K987),"")</f>
        <v/>
      </c>
      <c r="D987" s="18" t="str">
        <f>IFERROR(INDEX(Personnel[Santiye],$K987),"")</f>
        <v/>
      </c>
      <c r="E987" s="18" t="str">
        <f>IFERROR(INDEX(Personnel[Ogretmen],$K987),"")</f>
        <v/>
      </c>
      <c r="F987" s="17" t="str">
        <f>IFERROR(INDEX(Personnel[[Sinav ]],$K987),"")</f>
        <v/>
      </c>
      <c r="G987" s="17" t="str">
        <f>IFERROR(INDEX(Personnel[Egtim durumu],$K987),"")</f>
        <v/>
      </c>
      <c r="H987" s="17" t="str">
        <f>IFERROR(INDEX(Personnel[Shohruh Not],$K987),"")</f>
        <v/>
      </c>
      <c r="I987" s="18" t="str">
        <f>IFERROR(INDEX(Personnel[Дней в РФ],$K987),"")</f>
        <v/>
      </c>
      <c r="K987" s="23" t="str">
        <f t="array" ref="K987">IFERROR(_xlfn.AGGREGATE(15,6,(ROW(Personnel[Egtim durumu])-MIN(ROW(Personnel[Egtim durumu]))+1)/((Personnel[Egtim durumu]="Dil egitimi tamamlandi sinavdan gecti")),ROWS($K$7:K987)),"")</f>
        <v/>
      </c>
    </row>
    <row r="988" spans="1:11" x14ac:dyDescent="0.25">
      <c r="A988" s="40" t="str">
        <f>IFERROR(INDEX(Personnel[Sicil],$K988),"")</f>
        <v/>
      </c>
      <c r="B988" s="41" t="str">
        <f>IFERROR(INDEX(Personnel[Adi Soyadi],$K988),"")</f>
        <v/>
      </c>
      <c r="C988" s="40" t="str">
        <f>IFERROR(INDEX(Personnel[Vatandaslik],$K988),"")</f>
        <v/>
      </c>
      <c r="D988" s="40" t="str">
        <f>IFERROR(INDEX(Personnel[Santiye],$K988),"")</f>
        <v/>
      </c>
      <c r="E988" s="40" t="str">
        <f>IFERROR(INDEX(Personnel[Ogretmen],$K988),"")</f>
        <v/>
      </c>
      <c r="F988" s="41" t="str">
        <f>IFERROR(INDEX(Personnel[[Sinav ]],$K988),"")</f>
        <v/>
      </c>
      <c r="G988" s="41" t="str">
        <f>IFERROR(INDEX(Personnel[Egtim durumu],$K988),"")</f>
        <v/>
      </c>
      <c r="H988" s="41" t="str">
        <f>IFERROR(INDEX(Personnel[Shohruh Not],$K988),"")</f>
        <v/>
      </c>
      <c r="I988" s="40" t="str">
        <f>IFERROR(INDEX(Personnel[Дней в РФ],$K988),"")</f>
        <v/>
      </c>
      <c r="K988" s="23" t="str">
        <f t="array" ref="K988">IFERROR(_xlfn.AGGREGATE(15,6,(ROW(Personnel[Egtim durumu])-MIN(ROW(Personnel[Egtim durumu]))+1)/((Personnel[Egtim durumu]="Dil egitimi tamamlandi sinavdan gecti")),ROWS($K$7:K988)),"")</f>
        <v/>
      </c>
    </row>
    <row r="989" spans="1:11" x14ac:dyDescent="0.25">
      <c r="A989" s="18" t="str">
        <f>IFERROR(INDEX(Personnel[Sicil],$K989),"")</f>
        <v/>
      </c>
      <c r="B989" s="17" t="str">
        <f>IFERROR(INDEX(Personnel[Adi Soyadi],$K989),"")</f>
        <v/>
      </c>
      <c r="C989" s="18" t="str">
        <f>IFERROR(INDEX(Personnel[Vatandaslik],$K989),"")</f>
        <v/>
      </c>
      <c r="D989" s="18" t="str">
        <f>IFERROR(INDEX(Personnel[Santiye],$K989),"")</f>
        <v/>
      </c>
      <c r="E989" s="18" t="str">
        <f>IFERROR(INDEX(Personnel[Ogretmen],$K989),"")</f>
        <v/>
      </c>
      <c r="F989" s="17" t="str">
        <f>IFERROR(INDEX(Personnel[[Sinav ]],$K989),"")</f>
        <v/>
      </c>
      <c r="G989" s="17" t="str">
        <f>IFERROR(INDEX(Personnel[Egtim durumu],$K989),"")</f>
        <v/>
      </c>
      <c r="H989" s="17" t="str">
        <f>IFERROR(INDEX(Personnel[Shohruh Not],$K989),"")</f>
        <v/>
      </c>
      <c r="I989" s="18" t="str">
        <f>IFERROR(INDEX(Personnel[Дней в РФ],$K989),"")</f>
        <v/>
      </c>
      <c r="K989" s="23" t="str">
        <f t="array" ref="K989">IFERROR(_xlfn.AGGREGATE(15,6,(ROW(Personnel[Egtim durumu])-MIN(ROW(Personnel[Egtim durumu]))+1)/((Personnel[Egtim durumu]="Dil egitimi tamamlandi sinavdan gecti")),ROWS($K$7:K989)),"")</f>
        <v/>
      </c>
    </row>
    <row r="990" spans="1:11" x14ac:dyDescent="0.25">
      <c r="A990" s="40" t="str">
        <f>IFERROR(INDEX(Personnel[Sicil],$K990),"")</f>
        <v/>
      </c>
      <c r="B990" s="41" t="str">
        <f>IFERROR(INDEX(Personnel[Adi Soyadi],$K990),"")</f>
        <v/>
      </c>
      <c r="C990" s="40" t="str">
        <f>IFERROR(INDEX(Personnel[Vatandaslik],$K990),"")</f>
        <v/>
      </c>
      <c r="D990" s="40" t="str">
        <f>IFERROR(INDEX(Personnel[Santiye],$K990),"")</f>
        <v/>
      </c>
      <c r="E990" s="40" t="str">
        <f>IFERROR(INDEX(Personnel[Ogretmen],$K990),"")</f>
        <v/>
      </c>
      <c r="F990" s="41" t="str">
        <f>IFERROR(INDEX(Personnel[[Sinav ]],$K990),"")</f>
        <v/>
      </c>
      <c r="G990" s="41" t="str">
        <f>IFERROR(INDEX(Personnel[Egtim durumu],$K990),"")</f>
        <v/>
      </c>
      <c r="H990" s="41" t="str">
        <f>IFERROR(INDEX(Personnel[Shohruh Not],$K990),"")</f>
        <v/>
      </c>
      <c r="I990" s="40" t="str">
        <f>IFERROR(INDEX(Personnel[Дней в РФ],$K990),"")</f>
        <v/>
      </c>
      <c r="K990" s="23" t="str">
        <f t="array" ref="K990">IFERROR(_xlfn.AGGREGATE(15,6,(ROW(Personnel[Egtim durumu])-MIN(ROW(Personnel[Egtim durumu]))+1)/((Personnel[Egtim durumu]="Dil egitimi tamamlandi sinavdan gecti")),ROWS($K$7:K990)),"")</f>
        <v/>
      </c>
    </row>
    <row r="991" spans="1:11" x14ac:dyDescent="0.25">
      <c r="A991" s="18" t="str">
        <f>IFERROR(INDEX(Personnel[Sicil],$K991),"")</f>
        <v/>
      </c>
      <c r="B991" s="17" t="str">
        <f>IFERROR(INDEX(Personnel[Adi Soyadi],$K991),"")</f>
        <v/>
      </c>
      <c r="C991" s="18" t="str">
        <f>IFERROR(INDEX(Personnel[Vatandaslik],$K991),"")</f>
        <v/>
      </c>
      <c r="D991" s="18" t="str">
        <f>IFERROR(INDEX(Personnel[Santiye],$K991),"")</f>
        <v/>
      </c>
      <c r="E991" s="18" t="str">
        <f>IFERROR(INDEX(Personnel[Ogretmen],$K991),"")</f>
        <v/>
      </c>
      <c r="F991" s="17" t="str">
        <f>IFERROR(INDEX(Personnel[[Sinav ]],$K991),"")</f>
        <v/>
      </c>
      <c r="G991" s="17" t="str">
        <f>IFERROR(INDEX(Personnel[Egtim durumu],$K991),"")</f>
        <v/>
      </c>
      <c r="H991" s="17" t="str">
        <f>IFERROR(INDEX(Personnel[Shohruh Not],$K991),"")</f>
        <v/>
      </c>
      <c r="I991" s="18" t="str">
        <f>IFERROR(INDEX(Personnel[Дней в РФ],$K991),"")</f>
        <v/>
      </c>
      <c r="K991" s="23" t="str">
        <f t="array" ref="K991">IFERROR(_xlfn.AGGREGATE(15,6,(ROW(Personnel[Egtim durumu])-MIN(ROW(Personnel[Egtim durumu]))+1)/((Personnel[Egtim durumu]="Dil egitimi tamamlandi sinavdan gecti")),ROWS($K$7:K991)),"")</f>
        <v/>
      </c>
    </row>
    <row r="992" spans="1:11" x14ac:dyDescent="0.25">
      <c r="A992" s="40" t="str">
        <f>IFERROR(INDEX(Personnel[Sicil],$K992),"")</f>
        <v/>
      </c>
      <c r="B992" s="41" t="str">
        <f>IFERROR(INDEX(Personnel[Adi Soyadi],$K992),"")</f>
        <v/>
      </c>
      <c r="C992" s="40" t="str">
        <f>IFERROR(INDEX(Personnel[Vatandaslik],$K992),"")</f>
        <v/>
      </c>
      <c r="D992" s="40" t="str">
        <f>IFERROR(INDEX(Personnel[Santiye],$K992),"")</f>
        <v/>
      </c>
      <c r="E992" s="40" t="str">
        <f>IFERROR(INDEX(Personnel[Ogretmen],$K992),"")</f>
        <v/>
      </c>
      <c r="F992" s="41" t="str">
        <f>IFERROR(INDEX(Personnel[[Sinav ]],$K992),"")</f>
        <v/>
      </c>
      <c r="G992" s="41" t="str">
        <f>IFERROR(INDEX(Personnel[Egtim durumu],$K992),"")</f>
        <v/>
      </c>
      <c r="H992" s="41" t="str">
        <f>IFERROR(INDEX(Personnel[Shohruh Not],$K992),"")</f>
        <v/>
      </c>
      <c r="I992" s="40" t="str">
        <f>IFERROR(INDEX(Personnel[Дней в РФ],$K992),"")</f>
        <v/>
      </c>
      <c r="K992" s="23" t="str">
        <f t="array" ref="K992">IFERROR(_xlfn.AGGREGATE(15,6,(ROW(Personnel[Egtim durumu])-MIN(ROW(Personnel[Egtim durumu]))+1)/((Personnel[Egtim durumu]="Dil egitimi tamamlandi sinavdan gecti")),ROWS($K$7:K992)),"")</f>
        <v/>
      </c>
    </row>
    <row r="993" spans="1:11" x14ac:dyDescent="0.25">
      <c r="A993" s="18" t="str">
        <f>IFERROR(INDEX(Personnel[Sicil],$K993),"")</f>
        <v/>
      </c>
      <c r="B993" s="17" t="str">
        <f>IFERROR(INDEX(Personnel[Adi Soyadi],$K993),"")</f>
        <v/>
      </c>
      <c r="C993" s="18" t="str">
        <f>IFERROR(INDEX(Personnel[Vatandaslik],$K993),"")</f>
        <v/>
      </c>
      <c r="D993" s="18" t="str">
        <f>IFERROR(INDEX(Personnel[Santiye],$K993),"")</f>
        <v/>
      </c>
      <c r="E993" s="18" t="str">
        <f>IFERROR(INDEX(Personnel[Ogretmen],$K993),"")</f>
        <v/>
      </c>
      <c r="F993" s="17" t="str">
        <f>IFERROR(INDEX(Personnel[[Sinav ]],$K993),"")</f>
        <v/>
      </c>
      <c r="G993" s="17" t="str">
        <f>IFERROR(INDEX(Personnel[Egtim durumu],$K993),"")</f>
        <v/>
      </c>
      <c r="H993" s="17" t="str">
        <f>IFERROR(INDEX(Personnel[Shohruh Not],$K993),"")</f>
        <v/>
      </c>
      <c r="I993" s="18" t="str">
        <f>IFERROR(INDEX(Personnel[Дней в РФ],$K993),"")</f>
        <v/>
      </c>
      <c r="K993" s="23" t="str">
        <f t="array" ref="K993">IFERROR(_xlfn.AGGREGATE(15,6,(ROW(Personnel[Egtim durumu])-MIN(ROW(Personnel[Egtim durumu]))+1)/((Personnel[Egtim durumu]="Dil egitimi tamamlandi sinavdan gecti")),ROWS($K$7:K993)),"")</f>
        <v/>
      </c>
    </row>
    <row r="994" spans="1:11" x14ac:dyDescent="0.25">
      <c r="A994" s="40" t="str">
        <f>IFERROR(INDEX(Personnel[Sicil],$K994),"")</f>
        <v/>
      </c>
      <c r="B994" s="41" t="str">
        <f>IFERROR(INDEX(Personnel[Adi Soyadi],$K994),"")</f>
        <v/>
      </c>
      <c r="C994" s="40" t="str">
        <f>IFERROR(INDEX(Personnel[Vatandaslik],$K994),"")</f>
        <v/>
      </c>
      <c r="D994" s="40" t="str">
        <f>IFERROR(INDEX(Personnel[Santiye],$K994),"")</f>
        <v/>
      </c>
      <c r="E994" s="40" t="str">
        <f>IFERROR(INDEX(Personnel[Ogretmen],$K994),"")</f>
        <v/>
      </c>
      <c r="F994" s="41" t="str">
        <f>IFERROR(INDEX(Personnel[[Sinav ]],$K994),"")</f>
        <v/>
      </c>
      <c r="G994" s="41" t="str">
        <f>IFERROR(INDEX(Personnel[Egtim durumu],$K994),"")</f>
        <v/>
      </c>
      <c r="H994" s="41" t="str">
        <f>IFERROR(INDEX(Personnel[Shohruh Not],$K994),"")</f>
        <v/>
      </c>
      <c r="I994" s="40" t="str">
        <f>IFERROR(INDEX(Personnel[Дней в РФ],$K994),"")</f>
        <v/>
      </c>
      <c r="K994" s="23" t="str">
        <f t="array" ref="K994">IFERROR(_xlfn.AGGREGATE(15,6,(ROW(Personnel[Egtim durumu])-MIN(ROW(Personnel[Egtim durumu]))+1)/((Personnel[Egtim durumu]="Dil egitimi tamamlandi sinavdan gecti")),ROWS($K$7:K994)),"")</f>
        <v/>
      </c>
    </row>
    <row r="995" spans="1:11" x14ac:dyDescent="0.25">
      <c r="A995" s="18" t="str">
        <f>IFERROR(INDEX(Personnel[Sicil],$K995),"")</f>
        <v/>
      </c>
      <c r="B995" s="17" t="str">
        <f>IFERROR(INDEX(Personnel[Adi Soyadi],$K995),"")</f>
        <v/>
      </c>
      <c r="C995" s="18" t="str">
        <f>IFERROR(INDEX(Personnel[Vatandaslik],$K995),"")</f>
        <v/>
      </c>
      <c r="D995" s="18" t="str">
        <f>IFERROR(INDEX(Personnel[Santiye],$K995),"")</f>
        <v/>
      </c>
      <c r="E995" s="18" t="str">
        <f>IFERROR(INDEX(Personnel[Ogretmen],$K995),"")</f>
        <v/>
      </c>
      <c r="F995" s="17" t="str">
        <f>IFERROR(INDEX(Personnel[[Sinav ]],$K995),"")</f>
        <v/>
      </c>
      <c r="G995" s="17" t="str">
        <f>IFERROR(INDEX(Personnel[Egtim durumu],$K995),"")</f>
        <v/>
      </c>
      <c r="H995" s="17" t="str">
        <f>IFERROR(INDEX(Personnel[Shohruh Not],$K995),"")</f>
        <v/>
      </c>
      <c r="I995" s="18" t="str">
        <f>IFERROR(INDEX(Personnel[Дней в РФ],$K995),"")</f>
        <v/>
      </c>
      <c r="K995" s="23" t="str">
        <f t="array" ref="K995">IFERROR(_xlfn.AGGREGATE(15,6,(ROW(Personnel[Egtim durumu])-MIN(ROW(Personnel[Egtim durumu]))+1)/((Personnel[Egtim durumu]="Dil egitimi tamamlandi sinavdan gecti")),ROWS($K$7:K995)),"")</f>
        <v/>
      </c>
    </row>
    <row r="996" spans="1:11" x14ac:dyDescent="0.25">
      <c r="A996" s="40" t="str">
        <f>IFERROR(INDEX(Personnel[Sicil],$K996),"")</f>
        <v/>
      </c>
      <c r="B996" s="41" t="str">
        <f>IFERROR(INDEX(Personnel[Adi Soyadi],$K996),"")</f>
        <v/>
      </c>
      <c r="C996" s="40" t="str">
        <f>IFERROR(INDEX(Personnel[Vatandaslik],$K996),"")</f>
        <v/>
      </c>
      <c r="D996" s="40" t="str">
        <f>IFERROR(INDEX(Personnel[Santiye],$K996),"")</f>
        <v/>
      </c>
      <c r="E996" s="40" t="str">
        <f>IFERROR(INDEX(Personnel[Ogretmen],$K996),"")</f>
        <v/>
      </c>
      <c r="F996" s="41" t="str">
        <f>IFERROR(INDEX(Personnel[[Sinav ]],$K996),"")</f>
        <v/>
      </c>
      <c r="G996" s="41" t="str">
        <f>IFERROR(INDEX(Personnel[Egtim durumu],$K996),"")</f>
        <v/>
      </c>
      <c r="H996" s="41" t="str">
        <f>IFERROR(INDEX(Personnel[Shohruh Not],$K996),"")</f>
        <v/>
      </c>
      <c r="I996" s="40" t="str">
        <f>IFERROR(INDEX(Personnel[Дней в РФ],$K996),"")</f>
        <v/>
      </c>
      <c r="K996" s="23" t="str">
        <f t="array" ref="K996">IFERROR(_xlfn.AGGREGATE(15,6,(ROW(Personnel[Egtim durumu])-MIN(ROW(Personnel[Egtim durumu]))+1)/((Personnel[Egtim durumu]="Dil egitimi tamamlandi sinavdan gecti")),ROWS($K$7:K996)),"")</f>
        <v/>
      </c>
    </row>
    <row r="997" spans="1:11" x14ac:dyDescent="0.25">
      <c r="A997" s="18" t="str">
        <f>IFERROR(INDEX(Personnel[Sicil],$K997),"")</f>
        <v/>
      </c>
      <c r="B997" s="17" t="str">
        <f>IFERROR(INDEX(Personnel[Adi Soyadi],$K997),"")</f>
        <v/>
      </c>
      <c r="C997" s="18" t="str">
        <f>IFERROR(INDEX(Personnel[Vatandaslik],$K997),"")</f>
        <v/>
      </c>
      <c r="D997" s="18" t="str">
        <f>IFERROR(INDEX(Personnel[Santiye],$K997),"")</f>
        <v/>
      </c>
      <c r="E997" s="18" t="str">
        <f>IFERROR(INDEX(Personnel[Ogretmen],$K997),"")</f>
        <v/>
      </c>
      <c r="F997" s="17" t="str">
        <f>IFERROR(INDEX(Personnel[[Sinav ]],$K997),"")</f>
        <v/>
      </c>
      <c r="G997" s="17" t="str">
        <f>IFERROR(INDEX(Personnel[Egtim durumu],$K997),"")</f>
        <v/>
      </c>
      <c r="H997" s="17" t="str">
        <f>IFERROR(INDEX(Personnel[Shohruh Not],$K997),"")</f>
        <v/>
      </c>
      <c r="I997" s="18" t="str">
        <f>IFERROR(INDEX(Personnel[Дней в РФ],$K997),"")</f>
        <v/>
      </c>
      <c r="K997" s="23" t="str">
        <f t="array" ref="K997">IFERROR(_xlfn.AGGREGATE(15,6,(ROW(Personnel[Egtim durumu])-MIN(ROW(Personnel[Egtim durumu]))+1)/((Personnel[Egtim durumu]="Dil egitimi tamamlandi sinavdan gecti")),ROWS($K$7:K997)),"")</f>
        <v/>
      </c>
    </row>
    <row r="998" spans="1:11" x14ac:dyDescent="0.25">
      <c r="A998" s="40" t="str">
        <f>IFERROR(INDEX(Personnel[Sicil],$K998),"")</f>
        <v/>
      </c>
      <c r="B998" s="41" t="str">
        <f>IFERROR(INDEX(Personnel[Adi Soyadi],$K998),"")</f>
        <v/>
      </c>
      <c r="C998" s="40" t="str">
        <f>IFERROR(INDEX(Personnel[Vatandaslik],$K998),"")</f>
        <v/>
      </c>
      <c r="D998" s="40" t="str">
        <f>IFERROR(INDEX(Personnel[Santiye],$K998),"")</f>
        <v/>
      </c>
      <c r="E998" s="40" t="str">
        <f>IFERROR(INDEX(Personnel[Ogretmen],$K998),"")</f>
        <v/>
      </c>
      <c r="F998" s="41" t="str">
        <f>IFERROR(INDEX(Personnel[[Sinav ]],$K998),"")</f>
        <v/>
      </c>
      <c r="G998" s="41" t="str">
        <f>IFERROR(INDEX(Personnel[Egtim durumu],$K998),"")</f>
        <v/>
      </c>
      <c r="H998" s="41" t="str">
        <f>IFERROR(INDEX(Personnel[Shohruh Not],$K998),"")</f>
        <v/>
      </c>
      <c r="I998" s="40" t="str">
        <f>IFERROR(INDEX(Personnel[Дней в РФ],$K998),"")</f>
        <v/>
      </c>
      <c r="K998" s="23" t="str">
        <f t="array" ref="K998">IFERROR(_xlfn.AGGREGATE(15,6,(ROW(Personnel[Egtim durumu])-MIN(ROW(Personnel[Egtim durumu]))+1)/((Personnel[Egtim durumu]="Dil egitimi tamamlandi sinavdan gecti")),ROWS($K$7:K998)),"")</f>
        <v/>
      </c>
    </row>
    <row r="999" spans="1:11" x14ac:dyDescent="0.25">
      <c r="A999" s="18" t="str">
        <f>IFERROR(INDEX(Personnel[Sicil],$K999),"")</f>
        <v/>
      </c>
      <c r="B999" s="17" t="str">
        <f>IFERROR(INDEX(Personnel[Adi Soyadi],$K999),"")</f>
        <v/>
      </c>
      <c r="C999" s="18" t="str">
        <f>IFERROR(INDEX(Personnel[Vatandaslik],$K999),"")</f>
        <v/>
      </c>
      <c r="D999" s="18" t="str">
        <f>IFERROR(INDEX(Personnel[Santiye],$K999),"")</f>
        <v/>
      </c>
      <c r="E999" s="18" t="str">
        <f>IFERROR(INDEX(Personnel[Ogretmen],$K999),"")</f>
        <v/>
      </c>
      <c r="F999" s="17" t="str">
        <f>IFERROR(INDEX(Personnel[[Sinav ]],$K999),"")</f>
        <v/>
      </c>
      <c r="G999" s="17" t="str">
        <f>IFERROR(INDEX(Personnel[Egtim durumu],$K999),"")</f>
        <v/>
      </c>
      <c r="H999" s="17" t="str">
        <f>IFERROR(INDEX(Personnel[Shohruh Not],$K999),"")</f>
        <v/>
      </c>
      <c r="I999" s="18" t="str">
        <f>IFERROR(INDEX(Personnel[Дней в РФ],$K999),"")</f>
        <v/>
      </c>
      <c r="K999" s="23" t="str">
        <f t="array" ref="K999">IFERROR(_xlfn.AGGREGATE(15,6,(ROW(Personnel[Egtim durumu])-MIN(ROW(Personnel[Egtim durumu]))+1)/((Personnel[Egtim durumu]="Dil egitimi tamamlandi sinavdan gecti")),ROWS($K$7:K999)),"")</f>
        <v/>
      </c>
    </row>
    <row r="1000" spans="1:11" x14ac:dyDescent="0.25">
      <c r="A1000" s="40" t="str">
        <f>IFERROR(INDEX(Personnel[Sicil],$K1000),"")</f>
        <v/>
      </c>
      <c r="B1000" s="41" t="str">
        <f>IFERROR(INDEX(Personnel[Adi Soyadi],$K1000),"")</f>
        <v/>
      </c>
      <c r="C1000" s="40" t="str">
        <f>IFERROR(INDEX(Personnel[Vatandaslik],$K1000),"")</f>
        <v/>
      </c>
      <c r="D1000" s="40" t="str">
        <f>IFERROR(INDEX(Personnel[Santiye],$K1000),"")</f>
        <v/>
      </c>
      <c r="E1000" s="40" t="str">
        <f>IFERROR(INDEX(Personnel[Ogretmen],$K1000),"")</f>
        <v/>
      </c>
      <c r="F1000" s="41" t="str">
        <f>IFERROR(INDEX(Personnel[[Sinav ]],$K1000),"")</f>
        <v/>
      </c>
      <c r="G1000" s="41" t="str">
        <f>IFERROR(INDEX(Personnel[Egtim durumu],$K1000),"")</f>
        <v/>
      </c>
      <c r="H1000" s="41" t="str">
        <f>IFERROR(INDEX(Personnel[Shohruh Not],$K1000),"")</f>
        <v/>
      </c>
      <c r="I1000" s="40" t="str">
        <f>IFERROR(INDEX(Personnel[Дней в РФ],$K1000),"")</f>
        <v/>
      </c>
      <c r="K1000" s="23" t="str">
        <f t="array" ref="K1000">IFERROR(_xlfn.AGGREGATE(15,6,(ROW(Personnel[Egtim durumu])-MIN(ROW(Personnel[Egtim durumu]))+1)/((Personnel[Egtim durumu]="Dil egitimi tamamlandi sinavdan gecti")),ROWS($K$7:K1000)),"")</f>
        <v/>
      </c>
    </row>
    <row r="1001" spans="1:11" x14ac:dyDescent="0.25">
      <c r="A1001" s="18" t="str">
        <f>IFERROR(INDEX(Personnel[Sicil],$K1001),"")</f>
        <v/>
      </c>
      <c r="B1001" s="17" t="str">
        <f>IFERROR(INDEX(Personnel[Adi Soyadi],$K1001),"")</f>
        <v/>
      </c>
      <c r="C1001" s="18" t="str">
        <f>IFERROR(INDEX(Personnel[Vatandaslik],$K1001),"")</f>
        <v/>
      </c>
      <c r="D1001" s="18" t="str">
        <f>IFERROR(INDEX(Personnel[Santiye],$K1001),"")</f>
        <v/>
      </c>
      <c r="E1001" s="18" t="str">
        <f>IFERROR(INDEX(Personnel[Ogretmen],$K1001),"")</f>
        <v/>
      </c>
      <c r="F1001" s="17" t="str">
        <f>IFERROR(INDEX(Personnel[[Sinav ]],$K1001),"")</f>
        <v/>
      </c>
      <c r="G1001" s="17" t="str">
        <f>IFERROR(INDEX(Personnel[Egtim durumu],$K1001),"")</f>
        <v/>
      </c>
      <c r="H1001" s="17" t="str">
        <f>IFERROR(INDEX(Personnel[Shohruh Not],$K1001),"")</f>
        <v/>
      </c>
      <c r="I1001" s="18" t="str">
        <f>IFERROR(INDEX(Personnel[Дней в РФ],$K1001),"")</f>
        <v/>
      </c>
      <c r="K1001" s="23" t="str">
        <f t="array" ref="K1001">IFERROR(_xlfn.AGGREGATE(15,6,(ROW(Personnel[Egtim durumu])-MIN(ROW(Personnel[Egtim durumu]))+1)/((Personnel[Egtim durumu]="Dil egitimi tamamlandi sinavdan gecti")),ROWS($K$7:K1001)),"")</f>
        <v/>
      </c>
    </row>
    <row r="1002" spans="1:11" x14ac:dyDescent="0.25">
      <c r="A1002" s="40" t="str">
        <f>IFERROR(INDEX(Personnel[Sicil],$K1002),"")</f>
        <v/>
      </c>
      <c r="B1002" s="41" t="str">
        <f>IFERROR(INDEX(Personnel[Adi Soyadi],$K1002),"")</f>
        <v/>
      </c>
      <c r="C1002" s="40" t="str">
        <f>IFERROR(INDEX(Personnel[Vatandaslik],$K1002),"")</f>
        <v/>
      </c>
      <c r="D1002" s="40" t="str">
        <f>IFERROR(INDEX(Personnel[Santiye],$K1002),"")</f>
        <v/>
      </c>
      <c r="E1002" s="40" t="str">
        <f>IFERROR(INDEX(Personnel[Ogretmen],$K1002),"")</f>
        <v/>
      </c>
      <c r="F1002" s="41" t="str">
        <f>IFERROR(INDEX(Personnel[[Sinav ]],$K1002),"")</f>
        <v/>
      </c>
      <c r="G1002" s="41" t="str">
        <f>IFERROR(INDEX(Personnel[Egtim durumu],$K1002),"")</f>
        <v/>
      </c>
      <c r="H1002" s="41" t="str">
        <f>IFERROR(INDEX(Personnel[Shohruh Not],$K1002),"")</f>
        <v/>
      </c>
      <c r="I1002" s="40" t="str">
        <f>IFERROR(INDEX(Personnel[Дней в РФ],$K1002),"")</f>
        <v/>
      </c>
      <c r="K1002" s="23" t="str">
        <f t="array" ref="K1002">IFERROR(_xlfn.AGGREGATE(15,6,(ROW(Personnel[Egtim durumu])-MIN(ROW(Personnel[Egtim durumu]))+1)/((Personnel[Egtim durumu]="Dil egitimi tamamlandi sinavdan gecti")),ROWS($K$7:K1002)),"")</f>
        <v/>
      </c>
    </row>
    <row r="1003" spans="1:11" x14ac:dyDescent="0.25">
      <c r="A1003" s="18" t="str">
        <f>IFERROR(INDEX(Personnel[Sicil],$K1003),"")</f>
        <v/>
      </c>
      <c r="B1003" s="17" t="str">
        <f>IFERROR(INDEX(Personnel[Adi Soyadi],$K1003),"")</f>
        <v/>
      </c>
      <c r="C1003" s="18" t="str">
        <f>IFERROR(INDEX(Personnel[Vatandaslik],$K1003),"")</f>
        <v/>
      </c>
      <c r="D1003" s="18" t="str">
        <f>IFERROR(INDEX(Personnel[Santiye],$K1003),"")</f>
        <v/>
      </c>
      <c r="E1003" s="18" t="str">
        <f>IFERROR(INDEX(Personnel[Ogretmen],$K1003),"")</f>
        <v/>
      </c>
      <c r="F1003" s="17" t="str">
        <f>IFERROR(INDEX(Personnel[[Sinav ]],$K1003),"")</f>
        <v/>
      </c>
      <c r="G1003" s="17" t="str">
        <f>IFERROR(INDEX(Personnel[Egtim durumu],$K1003),"")</f>
        <v/>
      </c>
      <c r="H1003" s="17" t="str">
        <f>IFERROR(INDEX(Personnel[Shohruh Not],$K1003),"")</f>
        <v/>
      </c>
      <c r="I1003" s="18" t="str">
        <f>IFERROR(INDEX(Personnel[Дней в РФ],$K1003),"")</f>
        <v/>
      </c>
      <c r="K1003" s="23" t="str">
        <f t="array" ref="K1003">IFERROR(_xlfn.AGGREGATE(15,6,(ROW(Personnel[Egtim durumu])-MIN(ROW(Personnel[Egtim durumu]))+1)/((Personnel[Egtim durumu]="Dil egitimi tamamlandi sinavdan gecti")),ROWS($K$7:K1003)),"")</f>
        <v/>
      </c>
    </row>
    <row r="1004" spans="1:11" x14ac:dyDescent="0.25">
      <c r="A1004" s="40" t="str">
        <f>IFERROR(INDEX(Personnel[Sicil],$K1004),"")</f>
        <v/>
      </c>
      <c r="B1004" s="41" t="str">
        <f>IFERROR(INDEX(Personnel[Adi Soyadi],$K1004),"")</f>
        <v/>
      </c>
      <c r="C1004" s="40" t="str">
        <f>IFERROR(INDEX(Personnel[Vatandaslik],$K1004),"")</f>
        <v/>
      </c>
      <c r="D1004" s="40" t="str">
        <f>IFERROR(INDEX(Personnel[Santiye],$K1004),"")</f>
        <v/>
      </c>
      <c r="E1004" s="40" t="str">
        <f>IFERROR(INDEX(Personnel[Ogretmen],$K1004),"")</f>
        <v/>
      </c>
      <c r="F1004" s="41" t="str">
        <f>IFERROR(INDEX(Personnel[[Sinav ]],$K1004),"")</f>
        <v/>
      </c>
      <c r="G1004" s="41" t="str">
        <f>IFERROR(INDEX(Personnel[Egtim durumu],$K1004),"")</f>
        <v/>
      </c>
      <c r="H1004" s="41" t="str">
        <f>IFERROR(INDEX(Personnel[Shohruh Not],$K1004),"")</f>
        <v/>
      </c>
      <c r="I1004" s="40" t="str">
        <f>IFERROR(INDEX(Personnel[Дней в РФ],$K1004),"")</f>
        <v/>
      </c>
      <c r="K1004" s="23" t="str">
        <f t="array" ref="K1004">IFERROR(_xlfn.AGGREGATE(15,6,(ROW(Personnel[Egtim durumu])-MIN(ROW(Personnel[Egtim durumu]))+1)/((Personnel[Egtim durumu]="Dil egitimi tamamlandi sinavdan gecti")),ROWS($K$7:K1004)),"")</f>
        <v/>
      </c>
    </row>
    <row r="1005" spans="1:11" x14ac:dyDescent="0.25">
      <c r="A1005" s="18" t="str">
        <f>IFERROR(INDEX(Personnel[Sicil],$K1005),"")</f>
        <v/>
      </c>
      <c r="B1005" s="17" t="str">
        <f>IFERROR(INDEX(Personnel[Adi Soyadi],$K1005),"")</f>
        <v/>
      </c>
      <c r="C1005" s="18" t="str">
        <f>IFERROR(INDEX(Personnel[Vatandaslik],$K1005),"")</f>
        <v/>
      </c>
      <c r="D1005" s="18" t="str">
        <f>IFERROR(INDEX(Personnel[Santiye],$K1005),"")</f>
        <v/>
      </c>
      <c r="E1005" s="18" t="str">
        <f>IFERROR(INDEX(Personnel[Ogretmen],$K1005),"")</f>
        <v/>
      </c>
      <c r="F1005" s="17" t="str">
        <f>IFERROR(INDEX(Personnel[[Sinav ]],$K1005),"")</f>
        <v/>
      </c>
      <c r="G1005" s="17" t="str">
        <f>IFERROR(INDEX(Personnel[Egtim durumu],$K1005),"")</f>
        <v/>
      </c>
      <c r="H1005" s="17" t="str">
        <f>IFERROR(INDEX(Personnel[Shohruh Not],$K1005),"")</f>
        <v/>
      </c>
      <c r="I1005" s="18" t="str">
        <f>IFERROR(INDEX(Personnel[Дней в РФ],$K1005),"")</f>
        <v/>
      </c>
      <c r="K1005" s="23" t="str">
        <f t="array" ref="K1005">IFERROR(_xlfn.AGGREGATE(15,6,(ROW(Personnel[Egtim durumu])-MIN(ROW(Personnel[Egtim durumu]))+1)/((Personnel[Egtim durumu]="Dil egitimi tamamlandi sinavdan gecti")),ROWS($K$7:K1005)),"")</f>
        <v/>
      </c>
    </row>
    <row r="1006" spans="1:11" x14ac:dyDescent="0.25">
      <c r="A1006" s="40" t="str">
        <f>IFERROR(INDEX(Personnel[Sicil],$K1006),"")</f>
        <v/>
      </c>
      <c r="B1006" s="41" t="str">
        <f>IFERROR(INDEX(Personnel[Adi Soyadi],$K1006),"")</f>
        <v/>
      </c>
      <c r="C1006" s="40" t="str">
        <f>IFERROR(INDEX(Personnel[Vatandaslik],$K1006),"")</f>
        <v/>
      </c>
      <c r="D1006" s="40" t="str">
        <f>IFERROR(INDEX(Personnel[Santiye],$K1006),"")</f>
        <v/>
      </c>
      <c r="E1006" s="40" t="str">
        <f>IFERROR(INDEX(Personnel[Ogretmen],$K1006),"")</f>
        <v/>
      </c>
      <c r="F1006" s="41" t="str">
        <f>IFERROR(INDEX(Personnel[[Sinav ]],$K1006),"")</f>
        <v/>
      </c>
      <c r="G1006" s="41" t="str">
        <f>IFERROR(INDEX(Personnel[Egtim durumu],$K1006),"")</f>
        <v/>
      </c>
      <c r="H1006" s="41" t="str">
        <f>IFERROR(INDEX(Personnel[Shohruh Not],$K1006),"")</f>
        <v/>
      </c>
      <c r="I1006" s="40" t="str">
        <f>IFERROR(INDEX(Personnel[Дней в РФ],$K1006),"")</f>
        <v/>
      </c>
      <c r="K1006" s="23" t="str">
        <f t="array" ref="K1006">IFERROR(_xlfn.AGGREGATE(15,6,(ROW(Personnel[Egtim durumu])-MIN(ROW(Personnel[Egtim durumu]))+1)/((Personnel[Egtim durumu]="Dil egitimi tamamlandi sinavdan gecti")),ROWS($K$7:K1006)),"")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1B998B"/>
  </sheetPr>
  <dimension ref="A1:K106"/>
  <sheetViews>
    <sheetView showGridLines="0" zoomScaleNormal="100" workbookViewId="0">
      <pane ySplit="6" topLeftCell="A7" activePane="bottomLeft" state="frozen"/>
      <selection pane="bottomLeft" sqref="A1:C1"/>
    </sheetView>
  </sheetViews>
  <sheetFormatPr defaultColWidth="8.7109375" defaultRowHeight="15" x14ac:dyDescent="0.25"/>
  <cols>
    <col min="1" max="1" width="11" customWidth="1"/>
    <col min="2" max="2" width="32" customWidth="1"/>
    <col min="3" max="3" width="15" customWidth="1"/>
    <col min="4" max="4" width="20" customWidth="1"/>
    <col min="5" max="5" width="24" customWidth="1"/>
    <col min="6" max="6" width="34" customWidth="1"/>
    <col min="7" max="7" width="40" customWidth="1"/>
    <col min="8" max="8" width="30" customWidth="1"/>
    <col min="9" max="9" width="13" customWidth="1"/>
    <col min="11" max="11" width="13" hidden="1" customWidth="1"/>
  </cols>
  <sheetData>
    <row r="1" spans="1:11" ht="19.5" customHeight="1" x14ac:dyDescent="0.25">
      <c r="A1" s="99" t="s">
        <v>1805</v>
      </c>
      <c r="B1" s="99"/>
      <c r="C1" s="99"/>
    </row>
    <row r="3" spans="1:11" ht="21" x14ac:dyDescent="0.35">
      <c r="A3" s="100" t="s">
        <v>1823</v>
      </c>
      <c r="B3" s="100"/>
      <c r="C3" s="100"/>
      <c r="D3" s="100"/>
      <c r="E3" s="100"/>
      <c r="F3" s="100"/>
      <c r="G3" s="100"/>
      <c r="H3" s="100"/>
    </row>
    <row r="4" spans="1:11" x14ac:dyDescent="0.25">
      <c r="A4" s="85" t="s">
        <v>1824</v>
      </c>
      <c r="B4" s="85"/>
      <c r="C4" s="85"/>
      <c r="D4" s="85"/>
      <c r="E4" s="85"/>
      <c r="F4" s="85"/>
      <c r="G4" s="85"/>
      <c r="H4" s="85"/>
    </row>
    <row r="5" spans="1:11" x14ac:dyDescent="0.25">
      <c r="A5" s="101" t="str">
        <f>"Найдено записей: "&amp;COUNTIF(Personnel[Egtim durumu],"Egitime alinacak")</f>
        <v>Найдено записей: 2</v>
      </c>
      <c r="B5" s="101"/>
      <c r="C5" s="101"/>
      <c r="D5" s="101"/>
      <c r="E5" s="101"/>
      <c r="F5" s="101"/>
      <c r="G5" s="101"/>
      <c r="H5" s="101"/>
    </row>
    <row r="6" spans="1:11" ht="27.75" customHeight="1" x14ac:dyDescent="0.25">
      <c r="A6" s="43" t="s">
        <v>1808</v>
      </c>
      <c r="B6" s="43" t="s">
        <v>1809</v>
      </c>
      <c r="C6" s="43" t="s">
        <v>1784</v>
      </c>
      <c r="D6" s="43" t="s">
        <v>1810</v>
      </c>
      <c r="E6" s="43" t="s">
        <v>1811</v>
      </c>
      <c r="F6" s="43" t="s">
        <v>1812</v>
      </c>
      <c r="G6" s="43" t="s">
        <v>1813</v>
      </c>
      <c r="H6" s="43" t="s">
        <v>1814</v>
      </c>
      <c r="I6" s="43" t="s">
        <v>24</v>
      </c>
    </row>
    <row r="7" spans="1:11" x14ac:dyDescent="0.25">
      <c r="A7" s="18">
        <f>IFERROR(INDEX(Personnel[Sicil],$K7),"")</f>
        <v>611354</v>
      </c>
      <c r="B7" s="17" t="str">
        <f>IFERROR(INDEX(Personnel[Adi Soyadi],$K7),"")</f>
        <v>Эгамова Нилуфар Шерипбоевна</v>
      </c>
      <c r="C7" s="18" t="str">
        <f>IFERROR(INDEX(Personnel[Vatandaslik],$K7),"")</f>
        <v>УЗБЕКИСТАН</v>
      </c>
      <c r="D7" s="18" t="str">
        <f>IFERROR(INDEX(Personnel[Santiye],$K7),"")</f>
        <v>GPP Proje</v>
      </c>
      <c r="E7" s="18">
        <f>IFERROR(INDEX(Personnel[Ogretmen],$K7),"")</f>
        <v>0</v>
      </c>
      <c r="F7" s="17" t="str">
        <f>IFERROR(INDEX(Personnel[[Sinav ]],$K7),"")</f>
        <v>-</v>
      </c>
      <c r="G7" s="17" t="str">
        <f>IFERROR(INDEX(Personnel[Egtim durumu],$K7),"")</f>
        <v>Egitime alinacak</v>
      </c>
      <c r="H7" s="17" t="str">
        <f>IFERROR(INDEX(Personnel[Shohruh Not],$K7),"")</f>
        <v>-</v>
      </c>
      <c r="I7" s="22">
        <f ca="1">IFERROR(INDEX(Personnel[Дней в РФ],$K7),"")</f>
        <v>5</v>
      </c>
      <c r="K7" s="23">
        <f t="array" ref="K7">IFERROR(_xlfn.AGGREGATE(15,6,(ROW(Personnel[Egtim durumu])-MIN(ROW(Personnel[Egtim durumu]))+1)/((Personnel[Egtim durumu]="Egitime alinacak")),ROWS($K$7:K7)),"")</f>
        <v>769</v>
      </c>
    </row>
    <row r="8" spans="1:11" x14ac:dyDescent="0.25">
      <c r="A8" s="44">
        <f>IFERROR(INDEX(Personnel[Sicil],$K8),"")</f>
        <v>646874</v>
      </c>
      <c r="B8" s="45" t="str">
        <f>IFERROR(INDEX(Personnel[Adi Soyadi],$K8),"")</f>
        <v>Сувонкулов Аслиддин Умид Угли</v>
      </c>
      <c r="C8" s="44" t="str">
        <f>IFERROR(INDEX(Personnel[Vatandaslik],$K8),"")</f>
        <v>УЗБЕКИСТАН</v>
      </c>
      <c r="D8" s="44" t="str">
        <f>IFERROR(INDEX(Personnel[Santiye],$K8),"")</f>
        <v>GPP Proje</v>
      </c>
      <c r="E8" s="44">
        <f>IFERROR(INDEX(Personnel[Ogretmen],$K8),"")</f>
        <v>0</v>
      </c>
      <c r="F8" s="45" t="str">
        <f>IFERROR(INDEX(Personnel[[Sinav ]],$K8),"")</f>
        <v>-</v>
      </c>
      <c r="G8" s="45" t="str">
        <f>IFERROR(INDEX(Personnel[Egtim durumu],$K8),"")</f>
        <v>Egitime alinacak</v>
      </c>
      <c r="H8" s="45" t="str">
        <f>IFERROR(INDEX(Personnel[Shohruh Not],$K8),"")</f>
        <v>-</v>
      </c>
      <c r="I8" s="46">
        <f ca="1">IFERROR(INDEX(Personnel[Дней в РФ],$K8),"")</f>
        <v>6</v>
      </c>
      <c r="K8" s="23">
        <f t="array" ref="K8">IFERROR(_xlfn.AGGREGATE(15,6,(ROW(Personnel[Egtim durumu])-MIN(ROW(Personnel[Egtim durumu]))+1)/((Personnel[Egtim durumu]="Egitime alinacak")),ROWS($K$7:K8)),"")</f>
        <v>771</v>
      </c>
    </row>
    <row r="9" spans="1:11" x14ac:dyDescent="0.25">
      <c r="A9" s="18" t="str">
        <f>IFERROR(INDEX(Personnel[Sicil],$K9),"")</f>
        <v/>
      </c>
      <c r="B9" s="17" t="str">
        <f>IFERROR(INDEX(Personnel[Adi Soyadi],$K9),"")</f>
        <v/>
      </c>
      <c r="C9" s="18" t="str">
        <f>IFERROR(INDEX(Personnel[Vatandaslik],$K9),"")</f>
        <v/>
      </c>
      <c r="D9" s="18" t="str">
        <f>IFERROR(INDEX(Personnel[Santiye],$K9),"")</f>
        <v/>
      </c>
      <c r="E9" s="18" t="str">
        <f>IFERROR(INDEX(Personnel[Ogretmen],$K9),"")</f>
        <v/>
      </c>
      <c r="F9" s="17" t="str">
        <f>IFERROR(INDEX(Personnel[[Sinav ]],$K9),"")</f>
        <v/>
      </c>
      <c r="G9" s="17" t="str">
        <f>IFERROR(INDEX(Personnel[Egtim durumu],$K9),"")</f>
        <v/>
      </c>
      <c r="H9" s="17" t="str">
        <f>IFERROR(INDEX(Personnel[Shohruh Not],$K9),"")</f>
        <v/>
      </c>
      <c r="I9" s="22" t="str">
        <f>IFERROR(INDEX(Personnel[Дней в РФ],$K9),"")</f>
        <v/>
      </c>
      <c r="K9" s="23" t="str">
        <f t="array" ref="K9">IFERROR(_xlfn.AGGREGATE(15,6,(ROW(Personnel[Egtim durumu])-MIN(ROW(Personnel[Egtim durumu]))+1)/((Personnel[Egtim durumu]="Egitime alinacak")),ROWS($K$7:K9)),"")</f>
        <v/>
      </c>
    </row>
    <row r="10" spans="1:11" x14ac:dyDescent="0.25">
      <c r="A10" s="44" t="str">
        <f>IFERROR(INDEX(Personnel[Sicil],$K10),"")</f>
        <v/>
      </c>
      <c r="B10" s="45" t="str">
        <f>IFERROR(INDEX(Personnel[Adi Soyadi],$K10),"")</f>
        <v/>
      </c>
      <c r="C10" s="44" t="str">
        <f>IFERROR(INDEX(Personnel[Vatandaslik],$K10),"")</f>
        <v/>
      </c>
      <c r="D10" s="44" t="str">
        <f>IFERROR(INDEX(Personnel[Santiye],$K10),"")</f>
        <v/>
      </c>
      <c r="E10" s="44" t="str">
        <f>IFERROR(INDEX(Personnel[Ogretmen],$K10),"")</f>
        <v/>
      </c>
      <c r="F10" s="45" t="str">
        <f>IFERROR(INDEX(Personnel[[Sinav ]],$K10),"")</f>
        <v/>
      </c>
      <c r="G10" s="45" t="str">
        <f>IFERROR(INDEX(Personnel[Egtim durumu],$K10),"")</f>
        <v/>
      </c>
      <c r="H10" s="45" t="str">
        <f>IFERROR(INDEX(Personnel[Shohruh Not],$K10),"")</f>
        <v/>
      </c>
      <c r="I10" s="46" t="str">
        <f>IFERROR(INDEX(Personnel[Дней в РФ],$K10),"")</f>
        <v/>
      </c>
      <c r="K10" s="23" t="str">
        <f t="array" ref="K10">IFERROR(_xlfn.AGGREGATE(15,6,(ROW(Personnel[Egtim durumu])-MIN(ROW(Personnel[Egtim durumu]))+1)/((Personnel[Egtim durumu]="Egitime alinacak")),ROWS($K$7:K10)),"")</f>
        <v/>
      </c>
    </row>
    <row r="11" spans="1:11" x14ac:dyDescent="0.25">
      <c r="A11" s="18" t="str">
        <f>IFERROR(INDEX(Personnel[Sicil],$K11),"")</f>
        <v/>
      </c>
      <c r="B11" s="17" t="str">
        <f>IFERROR(INDEX(Personnel[Adi Soyadi],$K11),"")</f>
        <v/>
      </c>
      <c r="C11" s="18" t="str">
        <f>IFERROR(INDEX(Personnel[Vatandaslik],$K11),"")</f>
        <v/>
      </c>
      <c r="D11" s="18" t="str">
        <f>IFERROR(INDEX(Personnel[Santiye],$K11),"")</f>
        <v/>
      </c>
      <c r="E11" s="18" t="str">
        <f>IFERROR(INDEX(Personnel[Ogretmen],$K11),"")</f>
        <v/>
      </c>
      <c r="F11" s="17" t="str">
        <f>IFERROR(INDEX(Personnel[[Sinav ]],$K11),"")</f>
        <v/>
      </c>
      <c r="G11" s="17" t="str">
        <f>IFERROR(INDEX(Personnel[Egtim durumu],$K11),"")</f>
        <v/>
      </c>
      <c r="H11" s="17" t="str">
        <f>IFERROR(INDEX(Personnel[Shohruh Not],$K11),"")</f>
        <v/>
      </c>
      <c r="I11" s="22" t="str">
        <f>IFERROR(INDEX(Personnel[Дней в РФ],$K11),"")</f>
        <v/>
      </c>
      <c r="K11" s="23" t="str">
        <f t="array" ref="K11">IFERROR(_xlfn.AGGREGATE(15,6,(ROW(Personnel[Egtim durumu])-MIN(ROW(Personnel[Egtim durumu]))+1)/((Personnel[Egtim durumu]="Egitime alinacak")),ROWS($K$7:K11)),"")</f>
        <v/>
      </c>
    </row>
    <row r="12" spans="1:11" x14ac:dyDescent="0.25">
      <c r="A12" s="44" t="str">
        <f>IFERROR(INDEX(Personnel[Sicil],$K12),"")</f>
        <v/>
      </c>
      <c r="B12" s="45" t="str">
        <f>IFERROR(INDEX(Personnel[Adi Soyadi],$K12),"")</f>
        <v/>
      </c>
      <c r="C12" s="44" t="str">
        <f>IFERROR(INDEX(Personnel[Vatandaslik],$K12),"")</f>
        <v/>
      </c>
      <c r="D12" s="44" t="str">
        <f>IFERROR(INDEX(Personnel[Santiye],$K12),"")</f>
        <v/>
      </c>
      <c r="E12" s="44" t="str">
        <f>IFERROR(INDEX(Personnel[Ogretmen],$K12),"")</f>
        <v/>
      </c>
      <c r="F12" s="45" t="str">
        <f>IFERROR(INDEX(Personnel[[Sinav ]],$K12),"")</f>
        <v/>
      </c>
      <c r="G12" s="45" t="str">
        <f>IFERROR(INDEX(Personnel[Egtim durumu],$K12),"")</f>
        <v/>
      </c>
      <c r="H12" s="45" t="str">
        <f>IFERROR(INDEX(Personnel[Shohruh Not],$K12),"")</f>
        <v/>
      </c>
      <c r="I12" s="46" t="str">
        <f>IFERROR(INDEX(Personnel[Дней в РФ],$K12),"")</f>
        <v/>
      </c>
      <c r="K12" s="23" t="str">
        <f t="array" ref="K12">IFERROR(_xlfn.AGGREGATE(15,6,(ROW(Personnel[Egtim durumu])-MIN(ROW(Personnel[Egtim durumu]))+1)/((Personnel[Egtim durumu]="Egitime alinacak")),ROWS($K$7:K12)),"")</f>
        <v/>
      </c>
    </row>
    <row r="13" spans="1:11" x14ac:dyDescent="0.25">
      <c r="A13" s="18" t="str">
        <f>IFERROR(INDEX(Personnel[Sicil],$K13),"")</f>
        <v/>
      </c>
      <c r="B13" s="17" t="str">
        <f>IFERROR(INDEX(Personnel[Adi Soyadi],$K13),"")</f>
        <v/>
      </c>
      <c r="C13" s="18" t="str">
        <f>IFERROR(INDEX(Personnel[Vatandaslik],$K13),"")</f>
        <v/>
      </c>
      <c r="D13" s="18" t="str">
        <f>IFERROR(INDEX(Personnel[Santiye],$K13),"")</f>
        <v/>
      </c>
      <c r="E13" s="18" t="str">
        <f>IFERROR(INDEX(Personnel[Ogretmen],$K13),"")</f>
        <v/>
      </c>
      <c r="F13" s="17" t="str">
        <f>IFERROR(INDEX(Personnel[[Sinav ]],$K13),"")</f>
        <v/>
      </c>
      <c r="G13" s="17" t="str">
        <f>IFERROR(INDEX(Personnel[Egtim durumu],$K13),"")</f>
        <v/>
      </c>
      <c r="H13" s="17" t="str">
        <f>IFERROR(INDEX(Personnel[Shohruh Not],$K13),"")</f>
        <v/>
      </c>
      <c r="I13" s="22" t="str">
        <f>IFERROR(INDEX(Personnel[Дней в РФ],$K13),"")</f>
        <v/>
      </c>
      <c r="K13" s="23" t="str">
        <f t="array" ref="K13">IFERROR(_xlfn.AGGREGATE(15,6,(ROW(Personnel[Egtim durumu])-MIN(ROW(Personnel[Egtim durumu]))+1)/((Personnel[Egtim durumu]="Egitime alinacak")),ROWS($K$7:K13)),"")</f>
        <v/>
      </c>
    </row>
    <row r="14" spans="1:11" x14ac:dyDescent="0.25">
      <c r="A14" s="44" t="str">
        <f>IFERROR(INDEX(Personnel[Sicil],$K14),"")</f>
        <v/>
      </c>
      <c r="B14" s="45" t="str">
        <f>IFERROR(INDEX(Personnel[Adi Soyadi],$K14),"")</f>
        <v/>
      </c>
      <c r="C14" s="44" t="str">
        <f>IFERROR(INDEX(Personnel[Vatandaslik],$K14),"")</f>
        <v/>
      </c>
      <c r="D14" s="44" t="str">
        <f>IFERROR(INDEX(Personnel[Santiye],$K14),"")</f>
        <v/>
      </c>
      <c r="E14" s="44" t="str">
        <f>IFERROR(INDEX(Personnel[Ogretmen],$K14),"")</f>
        <v/>
      </c>
      <c r="F14" s="45" t="str">
        <f>IFERROR(INDEX(Personnel[[Sinav ]],$K14),"")</f>
        <v/>
      </c>
      <c r="G14" s="45" t="str">
        <f>IFERROR(INDEX(Personnel[Egtim durumu],$K14),"")</f>
        <v/>
      </c>
      <c r="H14" s="45" t="str">
        <f>IFERROR(INDEX(Personnel[Shohruh Not],$K14),"")</f>
        <v/>
      </c>
      <c r="I14" s="46" t="str">
        <f>IFERROR(INDEX(Personnel[Дней в РФ],$K14),"")</f>
        <v/>
      </c>
      <c r="K14" s="23" t="str">
        <f t="array" ref="K14">IFERROR(_xlfn.AGGREGATE(15,6,(ROW(Personnel[Egtim durumu])-MIN(ROW(Personnel[Egtim durumu]))+1)/((Personnel[Egtim durumu]="Egitime alinacak")),ROWS($K$7:K14)),"")</f>
        <v/>
      </c>
    </row>
    <row r="15" spans="1:11" x14ac:dyDescent="0.25">
      <c r="A15" s="18" t="str">
        <f>IFERROR(INDEX(Personnel[Sicil],$K15),"")</f>
        <v/>
      </c>
      <c r="B15" s="17" t="str">
        <f>IFERROR(INDEX(Personnel[Adi Soyadi],$K15),"")</f>
        <v/>
      </c>
      <c r="C15" s="18" t="str">
        <f>IFERROR(INDEX(Personnel[Vatandaslik],$K15),"")</f>
        <v/>
      </c>
      <c r="D15" s="18" t="str">
        <f>IFERROR(INDEX(Personnel[Santiye],$K15),"")</f>
        <v/>
      </c>
      <c r="E15" s="18" t="str">
        <f>IFERROR(INDEX(Personnel[Ogretmen],$K15),"")</f>
        <v/>
      </c>
      <c r="F15" s="17" t="str">
        <f>IFERROR(INDEX(Personnel[[Sinav ]],$K15),"")</f>
        <v/>
      </c>
      <c r="G15" s="17" t="str">
        <f>IFERROR(INDEX(Personnel[Egtim durumu],$K15),"")</f>
        <v/>
      </c>
      <c r="H15" s="17" t="str">
        <f>IFERROR(INDEX(Personnel[Shohruh Not],$K15),"")</f>
        <v/>
      </c>
      <c r="I15" s="22" t="str">
        <f>IFERROR(INDEX(Personnel[Дней в РФ],$K15),"")</f>
        <v/>
      </c>
      <c r="K15" s="23" t="str">
        <f t="array" ref="K15">IFERROR(_xlfn.AGGREGATE(15,6,(ROW(Personnel[Egtim durumu])-MIN(ROW(Personnel[Egtim durumu]))+1)/((Personnel[Egtim durumu]="Egitime alinacak")),ROWS($K$7:K15)),"")</f>
        <v/>
      </c>
    </row>
    <row r="16" spans="1:11" x14ac:dyDescent="0.25">
      <c r="A16" s="44" t="str">
        <f>IFERROR(INDEX(Personnel[Sicil],$K16),"")</f>
        <v/>
      </c>
      <c r="B16" s="45" t="str">
        <f>IFERROR(INDEX(Personnel[Adi Soyadi],$K16),"")</f>
        <v/>
      </c>
      <c r="C16" s="44" t="str">
        <f>IFERROR(INDEX(Personnel[Vatandaslik],$K16),"")</f>
        <v/>
      </c>
      <c r="D16" s="44" t="str">
        <f>IFERROR(INDEX(Personnel[Santiye],$K16),"")</f>
        <v/>
      </c>
      <c r="E16" s="44" t="str">
        <f>IFERROR(INDEX(Personnel[Ogretmen],$K16),"")</f>
        <v/>
      </c>
      <c r="F16" s="45" t="str">
        <f>IFERROR(INDEX(Personnel[[Sinav ]],$K16),"")</f>
        <v/>
      </c>
      <c r="G16" s="45" t="str">
        <f>IFERROR(INDEX(Personnel[Egtim durumu],$K16),"")</f>
        <v/>
      </c>
      <c r="H16" s="45" t="str">
        <f>IFERROR(INDEX(Personnel[Shohruh Not],$K16),"")</f>
        <v/>
      </c>
      <c r="I16" s="46" t="str">
        <f>IFERROR(INDEX(Personnel[Дней в РФ],$K16),"")</f>
        <v/>
      </c>
      <c r="K16" s="23" t="str">
        <f t="array" ref="K16">IFERROR(_xlfn.AGGREGATE(15,6,(ROW(Personnel[Egtim durumu])-MIN(ROW(Personnel[Egtim durumu]))+1)/((Personnel[Egtim durumu]="Egitime alinacak")),ROWS($K$7:K16)),"")</f>
        <v/>
      </c>
    </row>
    <row r="17" spans="1:11" x14ac:dyDescent="0.25">
      <c r="A17" s="18" t="str">
        <f>IFERROR(INDEX(Personnel[Sicil],$K17),"")</f>
        <v/>
      </c>
      <c r="B17" s="17" t="str">
        <f>IFERROR(INDEX(Personnel[Adi Soyadi],$K17),"")</f>
        <v/>
      </c>
      <c r="C17" s="18" t="str">
        <f>IFERROR(INDEX(Personnel[Vatandaslik],$K17),"")</f>
        <v/>
      </c>
      <c r="D17" s="18" t="str">
        <f>IFERROR(INDEX(Personnel[Santiye],$K17),"")</f>
        <v/>
      </c>
      <c r="E17" s="18" t="str">
        <f>IFERROR(INDEX(Personnel[Ogretmen],$K17),"")</f>
        <v/>
      </c>
      <c r="F17" s="17" t="str">
        <f>IFERROR(INDEX(Personnel[[Sinav ]],$K17),"")</f>
        <v/>
      </c>
      <c r="G17" s="17" t="str">
        <f>IFERROR(INDEX(Personnel[Egtim durumu],$K17),"")</f>
        <v/>
      </c>
      <c r="H17" s="17" t="str">
        <f>IFERROR(INDEX(Personnel[Shohruh Not],$K17),"")</f>
        <v/>
      </c>
      <c r="I17" s="18" t="str">
        <f>IFERROR(INDEX(Personnel[Дней в РФ],$K17),"")</f>
        <v/>
      </c>
      <c r="K17" s="23" t="str">
        <f t="array" ref="K17">IFERROR(_xlfn.AGGREGATE(15,6,(ROW(Personnel[Egtim durumu])-MIN(ROW(Personnel[Egtim durumu]))+1)/((Personnel[Egtim durumu]="Egitime alinacak")),ROWS($K$7:K17)),"")</f>
        <v/>
      </c>
    </row>
    <row r="18" spans="1:11" x14ac:dyDescent="0.25">
      <c r="A18" s="44" t="str">
        <f>IFERROR(INDEX(Personnel[Sicil],$K18),"")</f>
        <v/>
      </c>
      <c r="B18" s="45" t="str">
        <f>IFERROR(INDEX(Personnel[Adi Soyadi],$K18),"")</f>
        <v/>
      </c>
      <c r="C18" s="44" t="str">
        <f>IFERROR(INDEX(Personnel[Vatandaslik],$K18),"")</f>
        <v/>
      </c>
      <c r="D18" s="44" t="str">
        <f>IFERROR(INDEX(Personnel[Santiye],$K18),"")</f>
        <v/>
      </c>
      <c r="E18" s="44" t="str">
        <f>IFERROR(INDEX(Personnel[Ogretmen],$K18),"")</f>
        <v/>
      </c>
      <c r="F18" s="45" t="str">
        <f>IFERROR(INDEX(Personnel[[Sinav ]],$K18),"")</f>
        <v/>
      </c>
      <c r="G18" s="45" t="str">
        <f>IFERROR(INDEX(Personnel[Egtim durumu],$K18),"")</f>
        <v/>
      </c>
      <c r="H18" s="45" t="str">
        <f>IFERROR(INDEX(Personnel[Shohruh Not],$K18),"")</f>
        <v/>
      </c>
      <c r="I18" s="44" t="str">
        <f>IFERROR(INDEX(Personnel[Дней в РФ],$K18),"")</f>
        <v/>
      </c>
      <c r="K18" s="23" t="str">
        <f t="array" ref="K18">IFERROR(_xlfn.AGGREGATE(15,6,(ROW(Personnel[Egtim durumu])-MIN(ROW(Personnel[Egtim durumu]))+1)/((Personnel[Egtim durumu]="Egitime alinacak")),ROWS($K$7:K18)),"")</f>
        <v/>
      </c>
    </row>
    <row r="19" spans="1:11" x14ac:dyDescent="0.25">
      <c r="A19" s="18" t="str">
        <f>IFERROR(INDEX(Personnel[Sicil],$K19),"")</f>
        <v/>
      </c>
      <c r="B19" s="17" t="str">
        <f>IFERROR(INDEX(Personnel[Adi Soyadi],$K19),"")</f>
        <v/>
      </c>
      <c r="C19" s="18" t="str">
        <f>IFERROR(INDEX(Personnel[Vatandaslik],$K19),"")</f>
        <v/>
      </c>
      <c r="D19" s="18" t="str">
        <f>IFERROR(INDEX(Personnel[Santiye],$K19),"")</f>
        <v/>
      </c>
      <c r="E19" s="18" t="str">
        <f>IFERROR(INDEX(Personnel[Ogretmen],$K19),"")</f>
        <v/>
      </c>
      <c r="F19" s="17" t="str">
        <f>IFERROR(INDEX(Personnel[[Sinav ]],$K19),"")</f>
        <v/>
      </c>
      <c r="G19" s="17" t="str">
        <f>IFERROR(INDEX(Personnel[Egtim durumu],$K19),"")</f>
        <v/>
      </c>
      <c r="H19" s="17" t="str">
        <f>IFERROR(INDEX(Personnel[Shohruh Not],$K19),"")</f>
        <v/>
      </c>
      <c r="I19" s="18" t="str">
        <f>IFERROR(INDEX(Personnel[Дней в РФ],$K19),"")</f>
        <v/>
      </c>
      <c r="K19" s="23" t="str">
        <f t="array" ref="K19">IFERROR(_xlfn.AGGREGATE(15,6,(ROW(Personnel[Egtim durumu])-MIN(ROW(Personnel[Egtim durumu]))+1)/((Personnel[Egtim durumu]="Egitime alinacak")),ROWS($K$7:K19)),"")</f>
        <v/>
      </c>
    </row>
    <row r="20" spans="1:11" x14ac:dyDescent="0.25">
      <c r="A20" s="44" t="str">
        <f>IFERROR(INDEX(Personnel[Sicil],$K20),"")</f>
        <v/>
      </c>
      <c r="B20" s="45" t="str">
        <f>IFERROR(INDEX(Personnel[Adi Soyadi],$K20),"")</f>
        <v/>
      </c>
      <c r="C20" s="44" t="str">
        <f>IFERROR(INDEX(Personnel[Vatandaslik],$K20),"")</f>
        <v/>
      </c>
      <c r="D20" s="44" t="str">
        <f>IFERROR(INDEX(Personnel[Santiye],$K20),"")</f>
        <v/>
      </c>
      <c r="E20" s="44" t="str">
        <f>IFERROR(INDEX(Personnel[Ogretmen],$K20),"")</f>
        <v/>
      </c>
      <c r="F20" s="45" t="str">
        <f>IFERROR(INDEX(Personnel[[Sinav ]],$K20),"")</f>
        <v/>
      </c>
      <c r="G20" s="45" t="str">
        <f>IFERROR(INDEX(Personnel[Egtim durumu],$K20),"")</f>
        <v/>
      </c>
      <c r="H20" s="45" t="str">
        <f>IFERROR(INDEX(Personnel[Shohruh Not],$K20),"")</f>
        <v/>
      </c>
      <c r="I20" s="44" t="str">
        <f>IFERROR(INDEX(Personnel[Дней в РФ],$K20),"")</f>
        <v/>
      </c>
      <c r="K20" s="23" t="str">
        <f t="array" ref="K20">IFERROR(_xlfn.AGGREGATE(15,6,(ROW(Personnel[Egtim durumu])-MIN(ROW(Personnel[Egtim durumu]))+1)/((Personnel[Egtim durumu]="Egitime alinacak")),ROWS($K$7:K20)),"")</f>
        <v/>
      </c>
    </row>
    <row r="21" spans="1:11" x14ac:dyDescent="0.25">
      <c r="A21" s="18" t="str">
        <f>IFERROR(INDEX(Personnel[Sicil],$K21),"")</f>
        <v/>
      </c>
      <c r="B21" s="17" t="str">
        <f>IFERROR(INDEX(Personnel[Adi Soyadi],$K21),"")</f>
        <v/>
      </c>
      <c r="C21" s="18" t="str">
        <f>IFERROR(INDEX(Personnel[Vatandaslik],$K21),"")</f>
        <v/>
      </c>
      <c r="D21" s="18" t="str">
        <f>IFERROR(INDEX(Personnel[Santiye],$K21),"")</f>
        <v/>
      </c>
      <c r="E21" s="18" t="str">
        <f>IFERROR(INDEX(Personnel[Ogretmen],$K21),"")</f>
        <v/>
      </c>
      <c r="F21" s="17" t="str">
        <f>IFERROR(INDEX(Personnel[[Sinav ]],$K21),"")</f>
        <v/>
      </c>
      <c r="G21" s="17" t="str">
        <f>IFERROR(INDEX(Personnel[Egtim durumu],$K21),"")</f>
        <v/>
      </c>
      <c r="H21" s="17" t="str">
        <f>IFERROR(INDEX(Personnel[Shohruh Not],$K21),"")</f>
        <v/>
      </c>
      <c r="I21" s="18" t="str">
        <f>IFERROR(INDEX(Personnel[Дней в РФ],$K21),"")</f>
        <v/>
      </c>
      <c r="K21" s="23" t="str">
        <f t="array" ref="K21">IFERROR(_xlfn.AGGREGATE(15,6,(ROW(Personnel[Egtim durumu])-MIN(ROW(Personnel[Egtim durumu]))+1)/((Personnel[Egtim durumu]="Egitime alinacak")),ROWS($K$7:K21)),"")</f>
        <v/>
      </c>
    </row>
    <row r="22" spans="1:11" x14ac:dyDescent="0.25">
      <c r="A22" s="44" t="str">
        <f>IFERROR(INDEX(Personnel[Sicil],$K22),"")</f>
        <v/>
      </c>
      <c r="B22" s="45" t="str">
        <f>IFERROR(INDEX(Personnel[Adi Soyadi],$K22),"")</f>
        <v/>
      </c>
      <c r="C22" s="44" t="str">
        <f>IFERROR(INDEX(Personnel[Vatandaslik],$K22),"")</f>
        <v/>
      </c>
      <c r="D22" s="44" t="str">
        <f>IFERROR(INDEX(Personnel[Santiye],$K22),"")</f>
        <v/>
      </c>
      <c r="E22" s="44" t="str">
        <f>IFERROR(INDEX(Personnel[Ogretmen],$K22),"")</f>
        <v/>
      </c>
      <c r="F22" s="45" t="str">
        <f>IFERROR(INDEX(Personnel[[Sinav ]],$K22),"")</f>
        <v/>
      </c>
      <c r="G22" s="45" t="str">
        <f>IFERROR(INDEX(Personnel[Egtim durumu],$K22),"")</f>
        <v/>
      </c>
      <c r="H22" s="45" t="str">
        <f>IFERROR(INDEX(Personnel[Shohruh Not],$K22),"")</f>
        <v/>
      </c>
      <c r="I22" s="44" t="str">
        <f>IFERROR(INDEX(Personnel[Дней в РФ],$K22),"")</f>
        <v/>
      </c>
      <c r="K22" s="23" t="str">
        <f t="array" ref="K22">IFERROR(_xlfn.AGGREGATE(15,6,(ROW(Personnel[Egtim durumu])-MIN(ROW(Personnel[Egtim durumu]))+1)/((Personnel[Egtim durumu]="Egitime alinacak")),ROWS($K$7:K22)),"")</f>
        <v/>
      </c>
    </row>
    <row r="23" spans="1:11" x14ac:dyDescent="0.25">
      <c r="A23" s="18" t="str">
        <f>IFERROR(INDEX(Personnel[Sicil],$K23),"")</f>
        <v/>
      </c>
      <c r="B23" s="17" t="str">
        <f>IFERROR(INDEX(Personnel[Adi Soyadi],$K23),"")</f>
        <v/>
      </c>
      <c r="C23" s="18" t="str">
        <f>IFERROR(INDEX(Personnel[Vatandaslik],$K23),"")</f>
        <v/>
      </c>
      <c r="D23" s="18" t="str">
        <f>IFERROR(INDEX(Personnel[Santiye],$K23),"")</f>
        <v/>
      </c>
      <c r="E23" s="18" t="str">
        <f>IFERROR(INDEX(Personnel[Ogretmen],$K23),"")</f>
        <v/>
      </c>
      <c r="F23" s="17" t="str">
        <f>IFERROR(INDEX(Personnel[[Sinav ]],$K23),"")</f>
        <v/>
      </c>
      <c r="G23" s="17" t="str">
        <f>IFERROR(INDEX(Personnel[Egtim durumu],$K23),"")</f>
        <v/>
      </c>
      <c r="H23" s="17" t="str">
        <f>IFERROR(INDEX(Personnel[Shohruh Not],$K23),"")</f>
        <v/>
      </c>
      <c r="I23" s="18" t="str">
        <f>IFERROR(INDEX(Personnel[Дней в РФ],$K23),"")</f>
        <v/>
      </c>
      <c r="K23" s="23" t="str">
        <f t="array" ref="K23">IFERROR(_xlfn.AGGREGATE(15,6,(ROW(Personnel[Egtim durumu])-MIN(ROW(Personnel[Egtim durumu]))+1)/((Personnel[Egtim durumu]="Egitime alinacak")),ROWS($K$7:K23)),"")</f>
        <v/>
      </c>
    </row>
    <row r="24" spans="1:11" x14ac:dyDescent="0.25">
      <c r="A24" s="44" t="str">
        <f>IFERROR(INDEX(Personnel[Sicil],$K24),"")</f>
        <v/>
      </c>
      <c r="B24" s="45" t="str">
        <f>IFERROR(INDEX(Personnel[Adi Soyadi],$K24),"")</f>
        <v/>
      </c>
      <c r="C24" s="44" t="str">
        <f>IFERROR(INDEX(Personnel[Vatandaslik],$K24),"")</f>
        <v/>
      </c>
      <c r="D24" s="44" t="str">
        <f>IFERROR(INDEX(Personnel[Santiye],$K24),"")</f>
        <v/>
      </c>
      <c r="E24" s="44" t="str">
        <f>IFERROR(INDEX(Personnel[Ogretmen],$K24),"")</f>
        <v/>
      </c>
      <c r="F24" s="45" t="str">
        <f>IFERROR(INDEX(Personnel[[Sinav ]],$K24),"")</f>
        <v/>
      </c>
      <c r="G24" s="45" t="str">
        <f>IFERROR(INDEX(Personnel[Egtim durumu],$K24),"")</f>
        <v/>
      </c>
      <c r="H24" s="45" t="str">
        <f>IFERROR(INDEX(Personnel[Shohruh Not],$K24),"")</f>
        <v/>
      </c>
      <c r="I24" s="44" t="str">
        <f>IFERROR(INDEX(Personnel[Дней в РФ],$K24),"")</f>
        <v/>
      </c>
      <c r="K24" s="23" t="str">
        <f t="array" ref="K24">IFERROR(_xlfn.AGGREGATE(15,6,(ROW(Personnel[Egtim durumu])-MIN(ROW(Personnel[Egtim durumu]))+1)/((Personnel[Egtim durumu]="Egitime alinacak")),ROWS($K$7:K24)),"")</f>
        <v/>
      </c>
    </row>
    <row r="25" spans="1:11" x14ac:dyDescent="0.25">
      <c r="A25" s="18" t="str">
        <f>IFERROR(INDEX(Personnel[Sicil],$K25),"")</f>
        <v/>
      </c>
      <c r="B25" s="17" t="str">
        <f>IFERROR(INDEX(Personnel[Adi Soyadi],$K25),"")</f>
        <v/>
      </c>
      <c r="C25" s="18" t="str">
        <f>IFERROR(INDEX(Personnel[Vatandaslik],$K25),"")</f>
        <v/>
      </c>
      <c r="D25" s="18" t="str">
        <f>IFERROR(INDEX(Personnel[Santiye],$K25),"")</f>
        <v/>
      </c>
      <c r="E25" s="18" t="str">
        <f>IFERROR(INDEX(Personnel[Ogretmen],$K25),"")</f>
        <v/>
      </c>
      <c r="F25" s="17" t="str">
        <f>IFERROR(INDEX(Personnel[[Sinav ]],$K25),"")</f>
        <v/>
      </c>
      <c r="G25" s="17" t="str">
        <f>IFERROR(INDEX(Personnel[Egtim durumu],$K25),"")</f>
        <v/>
      </c>
      <c r="H25" s="17" t="str">
        <f>IFERROR(INDEX(Personnel[Shohruh Not],$K25),"")</f>
        <v/>
      </c>
      <c r="I25" s="18" t="str">
        <f>IFERROR(INDEX(Personnel[Дней в РФ],$K25),"")</f>
        <v/>
      </c>
      <c r="K25" s="23" t="str">
        <f t="array" ref="K25">IFERROR(_xlfn.AGGREGATE(15,6,(ROW(Personnel[Egtim durumu])-MIN(ROW(Personnel[Egtim durumu]))+1)/((Personnel[Egtim durumu]="Egitime alinacak")),ROWS($K$7:K25)),"")</f>
        <v/>
      </c>
    </row>
    <row r="26" spans="1:11" x14ac:dyDescent="0.25">
      <c r="A26" s="44" t="str">
        <f>IFERROR(INDEX(Personnel[Sicil],$K26),"")</f>
        <v/>
      </c>
      <c r="B26" s="45" t="str">
        <f>IFERROR(INDEX(Personnel[Adi Soyadi],$K26),"")</f>
        <v/>
      </c>
      <c r="C26" s="44" t="str">
        <f>IFERROR(INDEX(Personnel[Vatandaslik],$K26),"")</f>
        <v/>
      </c>
      <c r="D26" s="44" t="str">
        <f>IFERROR(INDEX(Personnel[Santiye],$K26),"")</f>
        <v/>
      </c>
      <c r="E26" s="44" t="str">
        <f>IFERROR(INDEX(Personnel[Ogretmen],$K26),"")</f>
        <v/>
      </c>
      <c r="F26" s="45" t="str">
        <f>IFERROR(INDEX(Personnel[[Sinav ]],$K26),"")</f>
        <v/>
      </c>
      <c r="G26" s="45" t="str">
        <f>IFERROR(INDEX(Personnel[Egtim durumu],$K26),"")</f>
        <v/>
      </c>
      <c r="H26" s="45" t="str">
        <f>IFERROR(INDEX(Personnel[Shohruh Not],$K26),"")</f>
        <v/>
      </c>
      <c r="I26" s="44" t="str">
        <f>IFERROR(INDEX(Personnel[Дней в РФ],$K26),"")</f>
        <v/>
      </c>
      <c r="K26" s="23" t="str">
        <f t="array" ref="K26">IFERROR(_xlfn.AGGREGATE(15,6,(ROW(Personnel[Egtim durumu])-MIN(ROW(Personnel[Egtim durumu]))+1)/((Personnel[Egtim durumu]="Egitime alinacak")),ROWS($K$7:K26)),"")</f>
        <v/>
      </c>
    </row>
    <row r="27" spans="1:11" x14ac:dyDescent="0.25">
      <c r="A27" s="18" t="str">
        <f>IFERROR(INDEX(Personnel[Sicil],$K27),"")</f>
        <v/>
      </c>
      <c r="B27" s="17" t="str">
        <f>IFERROR(INDEX(Personnel[Adi Soyadi],$K27),"")</f>
        <v/>
      </c>
      <c r="C27" s="18" t="str">
        <f>IFERROR(INDEX(Personnel[Vatandaslik],$K27),"")</f>
        <v/>
      </c>
      <c r="D27" s="18" t="str">
        <f>IFERROR(INDEX(Personnel[Santiye],$K27),"")</f>
        <v/>
      </c>
      <c r="E27" s="18" t="str">
        <f>IFERROR(INDEX(Personnel[Ogretmen],$K27),"")</f>
        <v/>
      </c>
      <c r="F27" s="17" t="str">
        <f>IFERROR(INDEX(Personnel[[Sinav ]],$K27),"")</f>
        <v/>
      </c>
      <c r="G27" s="17" t="str">
        <f>IFERROR(INDEX(Personnel[Egtim durumu],$K27),"")</f>
        <v/>
      </c>
      <c r="H27" s="17" t="str">
        <f>IFERROR(INDEX(Personnel[Shohruh Not],$K27),"")</f>
        <v/>
      </c>
      <c r="I27" s="18" t="str">
        <f>IFERROR(INDEX(Personnel[Дней в РФ],$K27),"")</f>
        <v/>
      </c>
      <c r="K27" s="23" t="str">
        <f t="array" ref="K27">IFERROR(_xlfn.AGGREGATE(15,6,(ROW(Personnel[Egtim durumu])-MIN(ROW(Personnel[Egtim durumu]))+1)/((Personnel[Egtim durumu]="Egitime alinacak")),ROWS($K$7:K27)),"")</f>
        <v/>
      </c>
    </row>
    <row r="28" spans="1:11" x14ac:dyDescent="0.25">
      <c r="A28" s="44" t="str">
        <f>IFERROR(INDEX(Personnel[Sicil],$K28),"")</f>
        <v/>
      </c>
      <c r="B28" s="45" t="str">
        <f>IFERROR(INDEX(Personnel[Adi Soyadi],$K28),"")</f>
        <v/>
      </c>
      <c r="C28" s="44" t="str">
        <f>IFERROR(INDEX(Personnel[Vatandaslik],$K28),"")</f>
        <v/>
      </c>
      <c r="D28" s="44" t="str">
        <f>IFERROR(INDEX(Personnel[Santiye],$K28),"")</f>
        <v/>
      </c>
      <c r="E28" s="44" t="str">
        <f>IFERROR(INDEX(Personnel[Ogretmen],$K28),"")</f>
        <v/>
      </c>
      <c r="F28" s="45" t="str">
        <f>IFERROR(INDEX(Personnel[[Sinav ]],$K28),"")</f>
        <v/>
      </c>
      <c r="G28" s="45" t="str">
        <f>IFERROR(INDEX(Personnel[Egtim durumu],$K28),"")</f>
        <v/>
      </c>
      <c r="H28" s="45" t="str">
        <f>IFERROR(INDEX(Personnel[Shohruh Not],$K28),"")</f>
        <v/>
      </c>
      <c r="I28" s="44" t="str">
        <f>IFERROR(INDEX(Personnel[Дней в РФ],$K28),"")</f>
        <v/>
      </c>
      <c r="K28" s="23" t="str">
        <f t="array" ref="K28">IFERROR(_xlfn.AGGREGATE(15,6,(ROW(Personnel[Egtim durumu])-MIN(ROW(Personnel[Egtim durumu]))+1)/((Personnel[Egtim durumu]="Egitime alinacak")),ROWS($K$7:K28)),"")</f>
        <v/>
      </c>
    </row>
    <row r="29" spans="1:11" x14ac:dyDescent="0.25">
      <c r="A29" s="18" t="str">
        <f>IFERROR(INDEX(Personnel[Sicil],$K29),"")</f>
        <v/>
      </c>
      <c r="B29" s="17" t="str">
        <f>IFERROR(INDEX(Personnel[Adi Soyadi],$K29),"")</f>
        <v/>
      </c>
      <c r="C29" s="18" t="str">
        <f>IFERROR(INDEX(Personnel[Vatandaslik],$K29),"")</f>
        <v/>
      </c>
      <c r="D29" s="18" t="str">
        <f>IFERROR(INDEX(Personnel[Santiye],$K29),"")</f>
        <v/>
      </c>
      <c r="E29" s="18" t="str">
        <f>IFERROR(INDEX(Personnel[Ogretmen],$K29),"")</f>
        <v/>
      </c>
      <c r="F29" s="17" t="str">
        <f>IFERROR(INDEX(Personnel[[Sinav ]],$K29),"")</f>
        <v/>
      </c>
      <c r="G29" s="17" t="str">
        <f>IFERROR(INDEX(Personnel[Egtim durumu],$K29),"")</f>
        <v/>
      </c>
      <c r="H29" s="17" t="str">
        <f>IFERROR(INDEX(Personnel[Shohruh Not],$K29),"")</f>
        <v/>
      </c>
      <c r="I29" s="18" t="str">
        <f>IFERROR(INDEX(Personnel[Дней в РФ],$K29),"")</f>
        <v/>
      </c>
      <c r="K29" s="23" t="str">
        <f t="array" ref="K29">IFERROR(_xlfn.AGGREGATE(15,6,(ROW(Personnel[Egtim durumu])-MIN(ROW(Personnel[Egtim durumu]))+1)/((Personnel[Egtim durumu]="Egitime alinacak")),ROWS($K$7:K29)),"")</f>
        <v/>
      </c>
    </row>
    <row r="30" spans="1:11" x14ac:dyDescent="0.25">
      <c r="A30" s="44" t="str">
        <f>IFERROR(INDEX(Personnel[Sicil],$K30),"")</f>
        <v/>
      </c>
      <c r="B30" s="45" t="str">
        <f>IFERROR(INDEX(Personnel[Adi Soyadi],$K30),"")</f>
        <v/>
      </c>
      <c r="C30" s="44" t="str">
        <f>IFERROR(INDEX(Personnel[Vatandaslik],$K30),"")</f>
        <v/>
      </c>
      <c r="D30" s="44" t="str">
        <f>IFERROR(INDEX(Personnel[Santiye],$K30),"")</f>
        <v/>
      </c>
      <c r="E30" s="44" t="str">
        <f>IFERROR(INDEX(Personnel[Ogretmen],$K30),"")</f>
        <v/>
      </c>
      <c r="F30" s="45" t="str">
        <f>IFERROR(INDEX(Personnel[[Sinav ]],$K30),"")</f>
        <v/>
      </c>
      <c r="G30" s="45" t="str">
        <f>IFERROR(INDEX(Personnel[Egtim durumu],$K30),"")</f>
        <v/>
      </c>
      <c r="H30" s="45" t="str">
        <f>IFERROR(INDEX(Personnel[Shohruh Not],$K30),"")</f>
        <v/>
      </c>
      <c r="I30" s="44" t="str">
        <f>IFERROR(INDEX(Personnel[Дней в РФ],$K30),"")</f>
        <v/>
      </c>
      <c r="K30" s="23" t="str">
        <f t="array" ref="K30">IFERROR(_xlfn.AGGREGATE(15,6,(ROW(Personnel[Egtim durumu])-MIN(ROW(Personnel[Egtim durumu]))+1)/((Personnel[Egtim durumu]="Egitime alinacak")),ROWS($K$7:K30)),"")</f>
        <v/>
      </c>
    </row>
    <row r="31" spans="1:11" x14ac:dyDescent="0.25">
      <c r="A31" s="18" t="str">
        <f>IFERROR(INDEX(Personnel[Sicil],$K31),"")</f>
        <v/>
      </c>
      <c r="B31" s="17" t="str">
        <f>IFERROR(INDEX(Personnel[Adi Soyadi],$K31),"")</f>
        <v/>
      </c>
      <c r="C31" s="18" t="str">
        <f>IFERROR(INDEX(Personnel[Vatandaslik],$K31),"")</f>
        <v/>
      </c>
      <c r="D31" s="18" t="str">
        <f>IFERROR(INDEX(Personnel[Santiye],$K31),"")</f>
        <v/>
      </c>
      <c r="E31" s="18" t="str">
        <f>IFERROR(INDEX(Personnel[Ogretmen],$K31),"")</f>
        <v/>
      </c>
      <c r="F31" s="17" t="str">
        <f>IFERROR(INDEX(Personnel[[Sinav ]],$K31),"")</f>
        <v/>
      </c>
      <c r="G31" s="17" t="str">
        <f>IFERROR(INDEX(Personnel[Egtim durumu],$K31),"")</f>
        <v/>
      </c>
      <c r="H31" s="17" t="str">
        <f>IFERROR(INDEX(Personnel[Shohruh Not],$K31),"")</f>
        <v/>
      </c>
      <c r="I31" s="18" t="str">
        <f>IFERROR(INDEX(Personnel[Дней в РФ],$K31),"")</f>
        <v/>
      </c>
      <c r="K31" s="23" t="str">
        <f t="array" ref="K31">IFERROR(_xlfn.AGGREGATE(15,6,(ROW(Personnel[Egtim durumu])-MIN(ROW(Personnel[Egtim durumu]))+1)/((Personnel[Egtim durumu]="Egitime alinacak")),ROWS($K$7:K31)),"")</f>
        <v/>
      </c>
    </row>
    <row r="32" spans="1:11" x14ac:dyDescent="0.25">
      <c r="A32" s="44" t="str">
        <f>IFERROR(INDEX(Personnel[Sicil],$K32),"")</f>
        <v/>
      </c>
      <c r="B32" s="45" t="str">
        <f>IFERROR(INDEX(Personnel[Adi Soyadi],$K32),"")</f>
        <v/>
      </c>
      <c r="C32" s="44" t="str">
        <f>IFERROR(INDEX(Personnel[Vatandaslik],$K32),"")</f>
        <v/>
      </c>
      <c r="D32" s="44" t="str">
        <f>IFERROR(INDEX(Personnel[Santiye],$K32),"")</f>
        <v/>
      </c>
      <c r="E32" s="44" t="str">
        <f>IFERROR(INDEX(Personnel[Ogretmen],$K32),"")</f>
        <v/>
      </c>
      <c r="F32" s="45" t="str">
        <f>IFERROR(INDEX(Personnel[[Sinav ]],$K32),"")</f>
        <v/>
      </c>
      <c r="G32" s="45" t="str">
        <f>IFERROR(INDEX(Personnel[Egtim durumu],$K32),"")</f>
        <v/>
      </c>
      <c r="H32" s="45" t="str">
        <f>IFERROR(INDEX(Personnel[Shohruh Not],$K32),"")</f>
        <v/>
      </c>
      <c r="I32" s="44" t="str">
        <f>IFERROR(INDEX(Personnel[Дней в РФ],$K32),"")</f>
        <v/>
      </c>
      <c r="K32" s="23" t="str">
        <f t="array" ref="K32">IFERROR(_xlfn.AGGREGATE(15,6,(ROW(Personnel[Egtim durumu])-MIN(ROW(Personnel[Egtim durumu]))+1)/((Personnel[Egtim durumu]="Egitime alinacak")),ROWS($K$7:K32)),"")</f>
        <v/>
      </c>
    </row>
    <row r="33" spans="1:11" x14ac:dyDescent="0.25">
      <c r="A33" s="18" t="str">
        <f>IFERROR(INDEX(Personnel[Sicil],$K33),"")</f>
        <v/>
      </c>
      <c r="B33" s="17" t="str">
        <f>IFERROR(INDEX(Personnel[Adi Soyadi],$K33),"")</f>
        <v/>
      </c>
      <c r="C33" s="18" t="str">
        <f>IFERROR(INDEX(Personnel[Vatandaslik],$K33),"")</f>
        <v/>
      </c>
      <c r="D33" s="18" t="str">
        <f>IFERROR(INDEX(Personnel[Santiye],$K33),"")</f>
        <v/>
      </c>
      <c r="E33" s="18" t="str">
        <f>IFERROR(INDEX(Personnel[Ogretmen],$K33),"")</f>
        <v/>
      </c>
      <c r="F33" s="17" t="str">
        <f>IFERROR(INDEX(Personnel[[Sinav ]],$K33),"")</f>
        <v/>
      </c>
      <c r="G33" s="17" t="str">
        <f>IFERROR(INDEX(Personnel[Egtim durumu],$K33),"")</f>
        <v/>
      </c>
      <c r="H33" s="17" t="str">
        <f>IFERROR(INDEX(Personnel[Shohruh Not],$K33),"")</f>
        <v/>
      </c>
      <c r="I33" s="18" t="str">
        <f>IFERROR(INDEX(Personnel[Дней в РФ],$K33),"")</f>
        <v/>
      </c>
      <c r="K33" s="23" t="str">
        <f t="array" ref="K33">IFERROR(_xlfn.AGGREGATE(15,6,(ROW(Personnel[Egtim durumu])-MIN(ROW(Personnel[Egtim durumu]))+1)/((Personnel[Egtim durumu]="Egitime alinacak")),ROWS($K$7:K33)),"")</f>
        <v/>
      </c>
    </row>
    <row r="34" spans="1:11" x14ac:dyDescent="0.25">
      <c r="A34" s="44" t="str">
        <f>IFERROR(INDEX(Personnel[Sicil],$K34),"")</f>
        <v/>
      </c>
      <c r="B34" s="45" t="str">
        <f>IFERROR(INDEX(Personnel[Adi Soyadi],$K34),"")</f>
        <v/>
      </c>
      <c r="C34" s="44" t="str">
        <f>IFERROR(INDEX(Personnel[Vatandaslik],$K34),"")</f>
        <v/>
      </c>
      <c r="D34" s="44" t="str">
        <f>IFERROR(INDEX(Personnel[Santiye],$K34),"")</f>
        <v/>
      </c>
      <c r="E34" s="44" t="str">
        <f>IFERROR(INDEX(Personnel[Ogretmen],$K34),"")</f>
        <v/>
      </c>
      <c r="F34" s="45" t="str">
        <f>IFERROR(INDEX(Personnel[[Sinav ]],$K34),"")</f>
        <v/>
      </c>
      <c r="G34" s="45" t="str">
        <f>IFERROR(INDEX(Personnel[Egtim durumu],$K34),"")</f>
        <v/>
      </c>
      <c r="H34" s="45" t="str">
        <f>IFERROR(INDEX(Personnel[Shohruh Not],$K34),"")</f>
        <v/>
      </c>
      <c r="I34" s="44" t="str">
        <f>IFERROR(INDEX(Personnel[Дней в РФ],$K34),"")</f>
        <v/>
      </c>
      <c r="K34" s="23" t="str">
        <f t="array" ref="K34">IFERROR(_xlfn.AGGREGATE(15,6,(ROW(Personnel[Egtim durumu])-MIN(ROW(Personnel[Egtim durumu]))+1)/((Personnel[Egtim durumu]="Egitime alinacak")),ROWS($K$7:K34)),"")</f>
        <v/>
      </c>
    </row>
    <row r="35" spans="1:11" x14ac:dyDescent="0.25">
      <c r="A35" s="18" t="str">
        <f>IFERROR(INDEX(Personnel[Sicil],$K35),"")</f>
        <v/>
      </c>
      <c r="B35" s="17" t="str">
        <f>IFERROR(INDEX(Personnel[Adi Soyadi],$K35),"")</f>
        <v/>
      </c>
      <c r="C35" s="18" t="str">
        <f>IFERROR(INDEX(Personnel[Vatandaslik],$K35),"")</f>
        <v/>
      </c>
      <c r="D35" s="18" t="str">
        <f>IFERROR(INDEX(Personnel[Santiye],$K35),"")</f>
        <v/>
      </c>
      <c r="E35" s="18" t="str">
        <f>IFERROR(INDEX(Personnel[Ogretmen],$K35),"")</f>
        <v/>
      </c>
      <c r="F35" s="17" t="str">
        <f>IFERROR(INDEX(Personnel[[Sinav ]],$K35),"")</f>
        <v/>
      </c>
      <c r="G35" s="17" t="str">
        <f>IFERROR(INDEX(Personnel[Egtim durumu],$K35),"")</f>
        <v/>
      </c>
      <c r="H35" s="17" t="str">
        <f>IFERROR(INDEX(Personnel[Shohruh Not],$K35),"")</f>
        <v/>
      </c>
      <c r="I35" s="18" t="str">
        <f>IFERROR(INDEX(Personnel[Дней в РФ],$K35),"")</f>
        <v/>
      </c>
      <c r="K35" s="23" t="str">
        <f t="array" ref="K35">IFERROR(_xlfn.AGGREGATE(15,6,(ROW(Personnel[Egtim durumu])-MIN(ROW(Personnel[Egtim durumu]))+1)/((Personnel[Egtim durumu]="Egitime alinacak")),ROWS($K$7:K35)),"")</f>
        <v/>
      </c>
    </row>
    <row r="36" spans="1:11" x14ac:dyDescent="0.25">
      <c r="A36" s="44" t="str">
        <f>IFERROR(INDEX(Personnel[Sicil],$K36),"")</f>
        <v/>
      </c>
      <c r="B36" s="45" t="str">
        <f>IFERROR(INDEX(Personnel[Adi Soyadi],$K36),"")</f>
        <v/>
      </c>
      <c r="C36" s="44" t="str">
        <f>IFERROR(INDEX(Personnel[Vatandaslik],$K36),"")</f>
        <v/>
      </c>
      <c r="D36" s="44" t="str">
        <f>IFERROR(INDEX(Personnel[Santiye],$K36),"")</f>
        <v/>
      </c>
      <c r="E36" s="44" t="str">
        <f>IFERROR(INDEX(Personnel[Ogretmen],$K36),"")</f>
        <v/>
      </c>
      <c r="F36" s="45" t="str">
        <f>IFERROR(INDEX(Personnel[[Sinav ]],$K36),"")</f>
        <v/>
      </c>
      <c r="G36" s="45" t="str">
        <f>IFERROR(INDEX(Personnel[Egtim durumu],$K36),"")</f>
        <v/>
      </c>
      <c r="H36" s="45" t="str">
        <f>IFERROR(INDEX(Personnel[Shohruh Not],$K36),"")</f>
        <v/>
      </c>
      <c r="I36" s="44" t="str">
        <f>IFERROR(INDEX(Personnel[Дней в РФ],$K36),"")</f>
        <v/>
      </c>
      <c r="K36" s="23" t="str">
        <f t="array" ref="K36">IFERROR(_xlfn.AGGREGATE(15,6,(ROW(Personnel[Egtim durumu])-MIN(ROW(Personnel[Egtim durumu]))+1)/((Personnel[Egtim durumu]="Egitime alinacak")),ROWS($K$7:K36)),"")</f>
        <v/>
      </c>
    </row>
    <row r="37" spans="1:11" x14ac:dyDescent="0.25">
      <c r="A37" s="18" t="str">
        <f>IFERROR(INDEX(Personnel[Sicil],$K37),"")</f>
        <v/>
      </c>
      <c r="B37" s="17" t="str">
        <f>IFERROR(INDEX(Personnel[Adi Soyadi],$K37),"")</f>
        <v/>
      </c>
      <c r="C37" s="18" t="str">
        <f>IFERROR(INDEX(Personnel[Vatandaslik],$K37),"")</f>
        <v/>
      </c>
      <c r="D37" s="18" t="str">
        <f>IFERROR(INDEX(Personnel[Santiye],$K37),"")</f>
        <v/>
      </c>
      <c r="E37" s="18" t="str">
        <f>IFERROR(INDEX(Personnel[Ogretmen],$K37),"")</f>
        <v/>
      </c>
      <c r="F37" s="17" t="str">
        <f>IFERROR(INDEX(Personnel[[Sinav ]],$K37),"")</f>
        <v/>
      </c>
      <c r="G37" s="17" t="str">
        <f>IFERROR(INDEX(Personnel[Egtim durumu],$K37),"")</f>
        <v/>
      </c>
      <c r="H37" s="17" t="str">
        <f>IFERROR(INDEX(Personnel[Shohruh Not],$K37),"")</f>
        <v/>
      </c>
      <c r="I37" s="18" t="str">
        <f>IFERROR(INDEX(Personnel[Дней в РФ],$K37),"")</f>
        <v/>
      </c>
      <c r="K37" s="23" t="str">
        <f t="array" ref="K37">IFERROR(_xlfn.AGGREGATE(15,6,(ROW(Personnel[Egtim durumu])-MIN(ROW(Personnel[Egtim durumu]))+1)/((Personnel[Egtim durumu]="Egitime alinacak")),ROWS($K$7:K37)),"")</f>
        <v/>
      </c>
    </row>
    <row r="38" spans="1:11" x14ac:dyDescent="0.25">
      <c r="A38" s="44" t="str">
        <f>IFERROR(INDEX(Personnel[Sicil],$K38),"")</f>
        <v/>
      </c>
      <c r="B38" s="45" t="str">
        <f>IFERROR(INDEX(Personnel[Adi Soyadi],$K38),"")</f>
        <v/>
      </c>
      <c r="C38" s="44" t="str">
        <f>IFERROR(INDEX(Personnel[Vatandaslik],$K38),"")</f>
        <v/>
      </c>
      <c r="D38" s="44" t="str">
        <f>IFERROR(INDEX(Personnel[Santiye],$K38),"")</f>
        <v/>
      </c>
      <c r="E38" s="44" t="str">
        <f>IFERROR(INDEX(Personnel[Ogretmen],$K38),"")</f>
        <v/>
      </c>
      <c r="F38" s="45" t="str">
        <f>IFERROR(INDEX(Personnel[[Sinav ]],$K38),"")</f>
        <v/>
      </c>
      <c r="G38" s="45" t="str">
        <f>IFERROR(INDEX(Personnel[Egtim durumu],$K38),"")</f>
        <v/>
      </c>
      <c r="H38" s="45" t="str">
        <f>IFERROR(INDEX(Personnel[Shohruh Not],$K38),"")</f>
        <v/>
      </c>
      <c r="I38" s="44" t="str">
        <f>IFERROR(INDEX(Personnel[Дней в РФ],$K38),"")</f>
        <v/>
      </c>
      <c r="K38" s="23" t="str">
        <f t="array" ref="K38">IFERROR(_xlfn.AGGREGATE(15,6,(ROW(Personnel[Egtim durumu])-MIN(ROW(Personnel[Egtim durumu]))+1)/((Personnel[Egtim durumu]="Egitime alinacak")),ROWS($K$7:K38)),"")</f>
        <v/>
      </c>
    </row>
    <row r="39" spans="1:11" x14ac:dyDescent="0.25">
      <c r="A39" s="18" t="str">
        <f>IFERROR(INDEX(Personnel[Sicil],$K39),"")</f>
        <v/>
      </c>
      <c r="B39" s="17" t="str">
        <f>IFERROR(INDEX(Personnel[Adi Soyadi],$K39),"")</f>
        <v/>
      </c>
      <c r="C39" s="18" t="str">
        <f>IFERROR(INDEX(Personnel[Vatandaslik],$K39),"")</f>
        <v/>
      </c>
      <c r="D39" s="18" t="str">
        <f>IFERROR(INDEX(Personnel[Santiye],$K39),"")</f>
        <v/>
      </c>
      <c r="E39" s="18" t="str">
        <f>IFERROR(INDEX(Personnel[Ogretmen],$K39),"")</f>
        <v/>
      </c>
      <c r="F39" s="17" t="str">
        <f>IFERROR(INDEX(Personnel[[Sinav ]],$K39),"")</f>
        <v/>
      </c>
      <c r="G39" s="17" t="str">
        <f>IFERROR(INDEX(Personnel[Egtim durumu],$K39),"")</f>
        <v/>
      </c>
      <c r="H39" s="17" t="str">
        <f>IFERROR(INDEX(Personnel[Shohruh Not],$K39),"")</f>
        <v/>
      </c>
      <c r="I39" s="18" t="str">
        <f>IFERROR(INDEX(Personnel[Дней в РФ],$K39),"")</f>
        <v/>
      </c>
      <c r="K39" s="23" t="str">
        <f t="array" ref="K39">IFERROR(_xlfn.AGGREGATE(15,6,(ROW(Personnel[Egtim durumu])-MIN(ROW(Personnel[Egtim durumu]))+1)/((Personnel[Egtim durumu]="Egitime alinacak")),ROWS($K$7:K39)),"")</f>
        <v/>
      </c>
    </row>
    <row r="40" spans="1:11" x14ac:dyDescent="0.25">
      <c r="A40" s="44" t="str">
        <f>IFERROR(INDEX(Personnel[Sicil],$K40),"")</f>
        <v/>
      </c>
      <c r="B40" s="45" t="str">
        <f>IFERROR(INDEX(Personnel[Adi Soyadi],$K40),"")</f>
        <v/>
      </c>
      <c r="C40" s="44" t="str">
        <f>IFERROR(INDEX(Personnel[Vatandaslik],$K40),"")</f>
        <v/>
      </c>
      <c r="D40" s="44" t="str">
        <f>IFERROR(INDEX(Personnel[Santiye],$K40),"")</f>
        <v/>
      </c>
      <c r="E40" s="44" t="str">
        <f>IFERROR(INDEX(Personnel[Ogretmen],$K40),"")</f>
        <v/>
      </c>
      <c r="F40" s="45" t="str">
        <f>IFERROR(INDEX(Personnel[[Sinav ]],$K40),"")</f>
        <v/>
      </c>
      <c r="G40" s="45" t="str">
        <f>IFERROR(INDEX(Personnel[Egtim durumu],$K40),"")</f>
        <v/>
      </c>
      <c r="H40" s="45" t="str">
        <f>IFERROR(INDEX(Personnel[Shohruh Not],$K40),"")</f>
        <v/>
      </c>
      <c r="I40" s="44" t="str">
        <f>IFERROR(INDEX(Personnel[Дней в РФ],$K40),"")</f>
        <v/>
      </c>
      <c r="K40" s="23" t="str">
        <f t="array" ref="K40">IFERROR(_xlfn.AGGREGATE(15,6,(ROW(Personnel[Egtim durumu])-MIN(ROW(Personnel[Egtim durumu]))+1)/((Personnel[Egtim durumu]="Egitime alinacak")),ROWS($K$7:K40)),"")</f>
        <v/>
      </c>
    </row>
    <row r="41" spans="1:11" x14ac:dyDescent="0.25">
      <c r="A41" s="18" t="str">
        <f>IFERROR(INDEX(Personnel[Sicil],$K41),"")</f>
        <v/>
      </c>
      <c r="B41" s="17" t="str">
        <f>IFERROR(INDEX(Personnel[Adi Soyadi],$K41),"")</f>
        <v/>
      </c>
      <c r="C41" s="18" t="str">
        <f>IFERROR(INDEX(Personnel[Vatandaslik],$K41),"")</f>
        <v/>
      </c>
      <c r="D41" s="18" t="str">
        <f>IFERROR(INDEX(Personnel[Santiye],$K41),"")</f>
        <v/>
      </c>
      <c r="E41" s="18" t="str">
        <f>IFERROR(INDEX(Personnel[Ogretmen],$K41),"")</f>
        <v/>
      </c>
      <c r="F41" s="17" t="str">
        <f>IFERROR(INDEX(Personnel[[Sinav ]],$K41),"")</f>
        <v/>
      </c>
      <c r="G41" s="17" t="str">
        <f>IFERROR(INDEX(Personnel[Egtim durumu],$K41),"")</f>
        <v/>
      </c>
      <c r="H41" s="17" t="str">
        <f>IFERROR(INDEX(Personnel[Shohruh Not],$K41),"")</f>
        <v/>
      </c>
      <c r="I41" s="18" t="str">
        <f>IFERROR(INDEX(Personnel[Дней в РФ],$K41),"")</f>
        <v/>
      </c>
      <c r="K41" s="23" t="str">
        <f t="array" ref="K41">IFERROR(_xlfn.AGGREGATE(15,6,(ROW(Personnel[Egtim durumu])-MIN(ROW(Personnel[Egtim durumu]))+1)/((Personnel[Egtim durumu]="Egitime alinacak")),ROWS($K$7:K41)),"")</f>
        <v/>
      </c>
    </row>
    <row r="42" spans="1:11" x14ac:dyDescent="0.25">
      <c r="A42" s="44" t="str">
        <f>IFERROR(INDEX(Personnel[Sicil],$K42),"")</f>
        <v/>
      </c>
      <c r="B42" s="45" t="str">
        <f>IFERROR(INDEX(Personnel[Adi Soyadi],$K42),"")</f>
        <v/>
      </c>
      <c r="C42" s="44" t="str">
        <f>IFERROR(INDEX(Personnel[Vatandaslik],$K42),"")</f>
        <v/>
      </c>
      <c r="D42" s="44" t="str">
        <f>IFERROR(INDEX(Personnel[Santiye],$K42),"")</f>
        <v/>
      </c>
      <c r="E42" s="44" t="str">
        <f>IFERROR(INDEX(Personnel[Ogretmen],$K42),"")</f>
        <v/>
      </c>
      <c r="F42" s="45" t="str">
        <f>IFERROR(INDEX(Personnel[[Sinav ]],$K42),"")</f>
        <v/>
      </c>
      <c r="G42" s="45" t="str">
        <f>IFERROR(INDEX(Personnel[Egtim durumu],$K42),"")</f>
        <v/>
      </c>
      <c r="H42" s="45" t="str">
        <f>IFERROR(INDEX(Personnel[Shohruh Not],$K42),"")</f>
        <v/>
      </c>
      <c r="I42" s="44" t="str">
        <f>IFERROR(INDEX(Personnel[Дней в РФ],$K42),"")</f>
        <v/>
      </c>
      <c r="K42" s="23" t="str">
        <f t="array" ref="K42">IFERROR(_xlfn.AGGREGATE(15,6,(ROW(Personnel[Egtim durumu])-MIN(ROW(Personnel[Egtim durumu]))+1)/((Personnel[Egtim durumu]="Egitime alinacak")),ROWS($K$7:K42)),"")</f>
        <v/>
      </c>
    </row>
    <row r="43" spans="1:11" x14ac:dyDescent="0.25">
      <c r="A43" s="18" t="str">
        <f>IFERROR(INDEX(Personnel[Sicil],$K43),"")</f>
        <v/>
      </c>
      <c r="B43" s="17" t="str">
        <f>IFERROR(INDEX(Personnel[Adi Soyadi],$K43),"")</f>
        <v/>
      </c>
      <c r="C43" s="18" t="str">
        <f>IFERROR(INDEX(Personnel[Vatandaslik],$K43),"")</f>
        <v/>
      </c>
      <c r="D43" s="18" t="str">
        <f>IFERROR(INDEX(Personnel[Santiye],$K43),"")</f>
        <v/>
      </c>
      <c r="E43" s="18" t="str">
        <f>IFERROR(INDEX(Personnel[Ogretmen],$K43),"")</f>
        <v/>
      </c>
      <c r="F43" s="17" t="str">
        <f>IFERROR(INDEX(Personnel[[Sinav ]],$K43),"")</f>
        <v/>
      </c>
      <c r="G43" s="17" t="str">
        <f>IFERROR(INDEX(Personnel[Egtim durumu],$K43),"")</f>
        <v/>
      </c>
      <c r="H43" s="17" t="str">
        <f>IFERROR(INDEX(Personnel[Shohruh Not],$K43),"")</f>
        <v/>
      </c>
      <c r="I43" s="18" t="str">
        <f>IFERROR(INDEX(Personnel[Дней в РФ],$K43),"")</f>
        <v/>
      </c>
      <c r="K43" s="23" t="str">
        <f t="array" ref="K43">IFERROR(_xlfn.AGGREGATE(15,6,(ROW(Personnel[Egtim durumu])-MIN(ROW(Personnel[Egtim durumu]))+1)/((Personnel[Egtim durumu]="Egitime alinacak")),ROWS($K$7:K43)),"")</f>
        <v/>
      </c>
    </row>
    <row r="44" spans="1:11" x14ac:dyDescent="0.25">
      <c r="A44" s="44" t="str">
        <f>IFERROR(INDEX(Personnel[Sicil],$K44),"")</f>
        <v/>
      </c>
      <c r="B44" s="45" t="str">
        <f>IFERROR(INDEX(Personnel[Adi Soyadi],$K44),"")</f>
        <v/>
      </c>
      <c r="C44" s="44" t="str">
        <f>IFERROR(INDEX(Personnel[Vatandaslik],$K44),"")</f>
        <v/>
      </c>
      <c r="D44" s="44" t="str">
        <f>IFERROR(INDEX(Personnel[Santiye],$K44),"")</f>
        <v/>
      </c>
      <c r="E44" s="44" t="str">
        <f>IFERROR(INDEX(Personnel[Ogretmen],$K44),"")</f>
        <v/>
      </c>
      <c r="F44" s="45" t="str">
        <f>IFERROR(INDEX(Personnel[[Sinav ]],$K44),"")</f>
        <v/>
      </c>
      <c r="G44" s="45" t="str">
        <f>IFERROR(INDEX(Personnel[Egtim durumu],$K44),"")</f>
        <v/>
      </c>
      <c r="H44" s="45" t="str">
        <f>IFERROR(INDEX(Personnel[Shohruh Not],$K44),"")</f>
        <v/>
      </c>
      <c r="I44" s="44" t="str">
        <f>IFERROR(INDEX(Personnel[Дней в РФ],$K44),"")</f>
        <v/>
      </c>
      <c r="K44" s="23" t="str">
        <f t="array" ref="K44">IFERROR(_xlfn.AGGREGATE(15,6,(ROW(Personnel[Egtim durumu])-MIN(ROW(Personnel[Egtim durumu]))+1)/((Personnel[Egtim durumu]="Egitime alinacak")),ROWS($K$7:K44)),"")</f>
        <v/>
      </c>
    </row>
    <row r="45" spans="1:11" x14ac:dyDescent="0.25">
      <c r="A45" s="18" t="str">
        <f>IFERROR(INDEX(Personnel[Sicil],$K45),"")</f>
        <v/>
      </c>
      <c r="B45" s="17" t="str">
        <f>IFERROR(INDEX(Personnel[Adi Soyadi],$K45),"")</f>
        <v/>
      </c>
      <c r="C45" s="18" t="str">
        <f>IFERROR(INDEX(Personnel[Vatandaslik],$K45),"")</f>
        <v/>
      </c>
      <c r="D45" s="18" t="str">
        <f>IFERROR(INDEX(Personnel[Santiye],$K45),"")</f>
        <v/>
      </c>
      <c r="E45" s="18" t="str">
        <f>IFERROR(INDEX(Personnel[Ogretmen],$K45),"")</f>
        <v/>
      </c>
      <c r="F45" s="17" t="str">
        <f>IFERROR(INDEX(Personnel[[Sinav ]],$K45),"")</f>
        <v/>
      </c>
      <c r="G45" s="17" t="str">
        <f>IFERROR(INDEX(Personnel[Egtim durumu],$K45),"")</f>
        <v/>
      </c>
      <c r="H45" s="17" t="str">
        <f>IFERROR(INDEX(Personnel[Shohruh Not],$K45),"")</f>
        <v/>
      </c>
      <c r="I45" s="18" t="str">
        <f>IFERROR(INDEX(Personnel[Дней в РФ],$K45),"")</f>
        <v/>
      </c>
      <c r="K45" s="23" t="str">
        <f t="array" ref="K45">IFERROR(_xlfn.AGGREGATE(15,6,(ROW(Personnel[Egtim durumu])-MIN(ROW(Personnel[Egtim durumu]))+1)/((Personnel[Egtim durumu]="Egitime alinacak")),ROWS($K$7:K45)),"")</f>
        <v/>
      </c>
    </row>
    <row r="46" spans="1:11" x14ac:dyDescent="0.25">
      <c r="A46" s="44" t="str">
        <f>IFERROR(INDEX(Personnel[Sicil],$K46),"")</f>
        <v/>
      </c>
      <c r="B46" s="45" t="str">
        <f>IFERROR(INDEX(Personnel[Adi Soyadi],$K46),"")</f>
        <v/>
      </c>
      <c r="C46" s="44" t="str">
        <f>IFERROR(INDEX(Personnel[Vatandaslik],$K46),"")</f>
        <v/>
      </c>
      <c r="D46" s="44" t="str">
        <f>IFERROR(INDEX(Personnel[Santiye],$K46),"")</f>
        <v/>
      </c>
      <c r="E46" s="44" t="str">
        <f>IFERROR(INDEX(Personnel[Ogretmen],$K46),"")</f>
        <v/>
      </c>
      <c r="F46" s="45" t="str">
        <f>IFERROR(INDEX(Personnel[[Sinav ]],$K46),"")</f>
        <v/>
      </c>
      <c r="G46" s="45" t="str">
        <f>IFERROR(INDEX(Personnel[Egtim durumu],$K46),"")</f>
        <v/>
      </c>
      <c r="H46" s="45" t="str">
        <f>IFERROR(INDEX(Personnel[Shohruh Not],$K46),"")</f>
        <v/>
      </c>
      <c r="I46" s="44" t="str">
        <f>IFERROR(INDEX(Personnel[Дней в РФ],$K46),"")</f>
        <v/>
      </c>
      <c r="K46" s="23" t="str">
        <f t="array" ref="K46">IFERROR(_xlfn.AGGREGATE(15,6,(ROW(Personnel[Egtim durumu])-MIN(ROW(Personnel[Egtim durumu]))+1)/((Personnel[Egtim durumu]="Egitime alinacak")),ROWS($K$7:K46)),"")</f>
        <v/>
      </c>
    </row>
    <row r="47" spans="1:11" x14ac:dyDescent="0.25">
      <c r="A47" s="18" t="str">
        <f>IFERROR(INDEX(Personnel[Sicil],$K47),"")</f>
        <v/>
      </c>
      <c r="B47" s="17" t="str">
        <f>IFERROR(INDEX(Personnel[Adi Soyadi],$K47),"")</f>
        <v/>
      </c>
      <c r="C47" s="18" t="str">
        <f>IFERROR(INDEX(Personnel[Vatandaslik],$K47),"")</f>
        <v/>
      </c>
      <c r="D47" s="18" t="str">
        <f>IFERROR(INDEX(Personnel[Santiye],$K47),"")</f>
        <v/>
      </c>
      <c r="E47" s="18" t="str">
        <f>IFERROR(INDEX(Personnel[Ogretmen],$K47),"")</f>
        <v/>
      </c>
      <c r="F47" s="17" t="str">
        <f>IFERROR(INDEX(Personnel[[Sinav ]],$K47),"")</f>
        <v/>
      </c>
      <c r="G47" s="17" t="str">
        <f>IFERROR(INDEX(Personnel[Egtim durumu],$K47),"")</f>
        <v/>
      </c>
      <c r="H47" s="17" t="str">
        <f>IFERROR(INDEX(Personnel[Shohruh Not],$K47),"")</f>
        <v/>
      </c>
      <c r="I47" s="18" t="str">
        <f>IFERROR(INDEX(Personnel[Дней в РФ],$K47),"")</f>
        <v/>
      </c>
      <c r="K47" s="23" t="str">
        <f t="array" ref="K47">IFERROR(_xlfn.AGGREGATE(15,6,(ROW(Personnel[Egtim durumu])-MIN(ROW(Personnel[Egtim durumu]))+1)/((Personnel[Egtim durumu]="Egitime alinacak")),ROWS($K$7:K47)),"")</f>
        <v/>
      </c>
    </row>
    <row r="48" spans="1:11" x14ac:dyDescent="0.25">
      <c r="A48" s="44" t="str">
        <f>IFERROR(INDEX(Personnel[Sicil],$K48),"")</f>
        <v/>
      </c>
      <c r="B48" s="45" t="str">
        <f>IFERROR(INDEX(Personnel[Adi Soyadi],$K48),"")</f>
        <v/>
      </c>
      <c r="C48" s="44" t="str">
        <f>IFERROR(INDEX(Personnel[Vatandaslik],$K48),"")</f>
        <v/>
      </c>
      <c r="D48" s="44" t="str">
        <f>IFERROR(INDEX(Personnel[Santiye],$K48),"")</f>
        <v/>
      </c>
      <c r="E48" s="44" t="str">
        <f>IFERROR(INDEX(Personnel[Ogretmen],$K48),"")</f>
        <v/>
      </c>
      <c r="F48" s="45" t="str">
        <f>IFERROR(INDEX(Personnel[[Sinav ]],$K48),"")</f>
        <v/>
      </c>
      <c r="G48" s="45" t="str">
        <f>IFERROR(INDEX(Personnel[Egtim durumu],$K48),"")</f>
        <v/>
      </c>
      <c r="H48" s="45" t="str">
        <f>IFERROR(INDEX(Personnel[Shohruh Not],$K48),"")</f>
        <v/>
      </c>
      <c r="I48" s="44" t="str">
        <f>IFERROR(INDEX(Personnel[Дней в РФ],$K48),"")</f>
        <v/>
      </c>
      <c r="K48" s="23" t="str">
        <f t="array" ref="K48">IFERROR(_xlfn.AGGREGATE(15,6,(ROW(Personnel[Egtim durumu])-MIN(ROW(Personnel[Egtim durumu]))+1)/((Personnel[Egtim durumu]="Egitime alinacak")),ROWS($K$7:K48)),"")</f>
        <v/>
      </c>
    </row>
    <row r="49" spans="1:11" x14ac:dyDescent="0.25">
      <c r="A49" s="18" t="str">
        <f>IFERROR(INDEX(Personnel[Sicil],$K49),"")</f>
        <v/>
      </c>
      <c r="B49" s="17" t="str">
        <f>IFERROR(INDEX(Personnel[Adi Soyadi],$K49),"")</f>
        <v/>
      </c>
      <c r="C49" s="18" t="str">
        <f>IFERROR(INDEX(Personnel[Vatandaslik],$K49),"")</f>
        <v/>
      </c>
      <c r="D49" s="18" t="str">
        <f>IFERROR(INDEX(Personnel[Santiye],$K49),"")</f>
        <v/>
      </c>
      <c r="E49" s="18" t="str">
        <f>IFERROR(INDEX(Personnel[Ogretmen],$K49),"")</f>
        <v/>
      </c>
      <c r="F49" s="17" t="str">
        <f>IFERROR(INDEX(Personnel[[Sinav ]],$K49),"")</f>
        <v/>
      </c>
      <c r="G49" s="17" t="str">
        <f>IFERROR(INDEX(Personnel[Egtim durumu],$K49),"")</f>
        <v/>
      </c>
      <c r="H49" s="17" t="str">
        <f>IFERROR(INDEX(Personnel[Shohruh Not],$K49),"")</f>
        <v/>
      </c>
      <c r="I49" s="18" t="str">
        <f>IFERROR(INDEX(Personnel[Дней в РФ],$K49),"")</f>
        <v/>
      </c>
      <c r="K49" s="23" t="str">
        <f t="array" ref="K49">IFERROR(_xlfn.AGGREGATE(15,6,(ROW(Personnel[Egtim durumu])-MIN(ROW(Personnel[Egtim durumu]))+1)/((Personnel[Egtim durumu]="Egitime alinacak")),ROWS($K$7:K49)),"")</f>
        <v/>
      </c>
    </row>
    <row r="50" spans="1:11" x14ac:dyDescent="0.25">
      <c r="A50" s="44" t="str">
        <f>IFERROR(INDEX(Personnel[Sicil],$K50),"")</f>
        <v/>
      </c>
      <c r="B50" s="45" t="str">
        <f>IFERROR(INDEX(Personnel[Adi Soyadi],$K50),"")</f>
        <v/>
      </c>
      <c r="C50" s="44" t="str">
        <f>IFERROR(INDEX(Personnel[Vatandaslik],$K50),"")</f>
        <v/>
      </c>
      <c r="D50" s="44" t="str">
        <f>IFERROR(INDEX(Personnel[Santiye],$K50),"")</f>
        <v/>
      </c>
      <c r="E50" s="44" t="str">
        <f>IFERROR(INDEX(Personnel[Ogretmen],$K50),"")</f>
        <v/>
      </c>
      <c r="F50" s="45" t="str">
        <f>IFERROR(INDEX(Personnel[[Sinav ]],$K50),"")</f>
        <v/>
      </c>
      <c r="G50" s="45" t="str">
        <f>IFERROR(INDEX(Personnel[Egtim durumu],$K50),"")</f>
        <v/>
      </c>
      <c r="H50" s="45" t="str">
        <f>IFERROR(INDEX(Personnel[Shohruh Not],$K50),"")</f>
        <v/>
      </c>
      <c r="I50" s="44" t="str">
        <f>IFERROR(INDEX(Personnel[Дней в РФ],$K50),"")</f>
        <v/>
      </c>
      <c r="K50" s="23" t="str">
        <f t="array" ref="K50">IFERROR(_xlfn.AGGREGATE(15,6,(ROW(Personnel[Egtim durumu])-MIN(ROW(Personnel[Egtim durumu]))+1)/((Personnel[Egtim durumu]="Egitime alinacak")),ROWS($K$7:K50)),"")</f>
        <v/>
      </c>
    </row>
    <row r="51" spans="1:11" x14ac:dyDescent="0.25">
      <c r="A51" s="18" t="str">
        <f>IFERROR(INDEX(Personnel[Sicil],$K51),"")</f>
        <v/>
      </c>
      <c r="B51" s="17" t="str">
        <f>IFERROR(INDEX(Personnel[Adi Soyadi],$K51),"")</f>
        <v/>
      </c>
      <c r="C51" s="18" t="str">
        <f>IFERROR(INDEX(Personnel[Vatandaslik],$K51),"")</f>
        <v/>
      </c>
      <c r="D51" s="18" t="str">
        <f>IFERROR(INDEX(Personnel[Santiye],$K51),"")</f>
        <v/>
      </c>
      <c r="E51" s="18" t="str">
        <f>IFERROR(INDEX(Personnel[Ogretmen],$K51),"")</f>
        <v/>
      </c>
      <c r="F51" s="17" t="str">
        <f>IFERROR(INDEX(Personnel[[Sinav ]],$K51),"")</f>
        <v/>
      </c>
      <c r="G51" s="17" t="str">
        <f>IFERROR(INDEX(Personnel[Egtim durumu],$K51),"")</f>
        <v/>
      </c>
      <c r="H51" s="17" t="str">
        <f>IFERROR(INDEX(Personnel[Shohruh Not],$K51),"")</f>
        <v/>
      </c>
      <c r="I51" s="18" t="str">
        <f>IFERROR(INDEX(Personnel[Дней в РФ],$K51),"")</f>
        <v/>
      </c>
      <c r="K51" s="23" t="str">
        <f t="array" ref="K51">IFERROR(_xlfn.AGGREGATE(15,6,(ROW(Personnel[Egtim durumu])-MIN(ROW(Personnel[Egtim durumu]))+1)/((Personnel[Egtim durumu]="Egitime alinacak")),ROWS($K$7:K51)),"")</f>
        <v/>
      </c>
    </row>
    <row r="52" spans="1:11" x14ac:dyDescent="0.25">
      <c r="A52" s="44" t="str">
        <f>IFERROR(INDEX(Personnel[Sicil],$K52),"")</f>
        <v/>
      </c>
      <c r="B52" s="45" t="str">
        <f>IFERROR(INDEX(Personnel[Adi Soyadi],$K52),"")</f>
        <v/>
      </c>
      <c r="C52" s="44" t="str">
        <f>IFERROR(INDEX(Personnel[Vatandaslik],$K52),"")</f>
        <v/>
      </c>
      <c r="D52" s="44" t="str">
        <f>IFERROR(INDEX(Personnel[Santiye],$K52),"")</f>
        <v/>
      </c>
      <c r="E52" s="44" t="str">
        <f>IFERROR(INDEX(Personnel[Ogretmen],$K52),"")</f>
        <v/>
      </c>
      <c r="F52" s="45" t="str">
        <f>IFERROR(INDEX(Personnel[[Sinav ]],$K52),"")</f>
        <v/>
      </c>
      <c r="G52" s="45" t="str">
        <f>IFERROR(INDEX(Personnel[Egtim durumu],$K52),"")</f>
        <v/>
      </c>
      <c r="H52" s="45" t="str">
        <f>IFERROR(INDEX(Personnel[Shohruh Not],$K52),"")</f>
        <v/>
      </c>
      <c r="I52" s="44" t="str">
        <f>IFERROR(INDEX(Personnel[Дней в РФ],$K52),"")</f>
        <v/>
      </c>
      <c r="K52" s="23" t="str">
        <f t="array" ref="K52">IFERROR(_xlfn.AGGREGATE(15,6,(ROW(Personnel[Egtim durumu])-MIN(ROW(Personnel[Egtim durumu]))+1)/((Personnel[Egtim durumu]="Egitime alinacak")),ROWS($K$7:K52)),"")</f>
        <v/>
      </c>
    </row>
    <row r="53" spans="1:11" x14ac:dyDescent="0.25">
      <c r="A53" s="18" t="str">
        <f>IFERROR(INDEX(Personnel[Sicil],$K53),"")</f>
        <v/>
      </c>
      <c r="B53" s="17" t="str">
        <f>IFERROR(INDEX(Personnel[Adi Soyadi],$K53),"")</f>
        <v/>
      </c>
      <c r="C53" s="18" t="str">
        <f>IFERROR(INDEX(Personnel[Vatandaslik],$K53),"")</f>
        <v/>
      </c>
      <c r="D53" s="18" t="str">
        <f>IFERROR(INDEX(Personnel[Santiye],$K53),"")</f>
        <v/>
      </c>
      <c r="E53" s="18" t="str">
        <f>IFERROR(INDEX(Personnel[Ogretmen],$K53),"")</f>
        <v/>
      </c>
      <c r="F53" s="17" t="str">
        <f>IFERROR(INDEX(Personnel[[Sinav ]],$K53),"")</f>
        <v/>
      </c>
      <c r="G53" s="17" t="str">
        <f>IFERROR(INDEX(Personnel[Egtim durumu],$K53),"")</f>
        <v/>
      </c>
      <c r="H53" s="17" t="str">
        <f>IFERROR(INDEX(Personnel[Shohruh Not],$K53),"")</f>
        <v/>
      </c>
      <c r="I53" s="18" t="str">
        <f>IFERROR(INDEX(Personnel[Дней в РФ],$K53),"")</f>
        <v/>
      </c>
      <c r="K53" s="23" t="str">
        <f t="array" ref="K53">IFERROR(_xlfn.AGGREGATE(15,6,(ROW(Personnel[Egtim durumu])-MIN(ROW(Personnel[Egtim durumu]))+1)/((Personnel[Egtim durumu]="Egitime alinacak")),ROWS($K$7:K53)),"")</f>
        <v/>
      </c>
    </row>
    <row r="54" spans="1:11" x14ac:dyDescent="0.25">
      <c r="A54" s="44" t="str">
        <f>IFERROR(INDEX(Personnel[Sicil],$K54),"")</f>
        <v/>
      </c>
      <c r="B54" s="45" t="str">
        <f>IFERROR(INDEX(Personnel[Adi Soyadi],$K54),"")</f>
        <v/>
      </c>
      <c r="C54" s="44" t="str">
        <f>IFERROR(INDEX(Personnel[Vatandaslik],$K54),"")</f>
        <v/>
      </c>
      <c r="D54" s="44" t="str">
        <f>IFERROR(INDEX(Personnel[Santiye],$K54),"")</f>
        <v/>
      </c>
      <c r="E54" s="44" t="str">
        <f>IFERROR(INDEX(Personnel[Ogretmen],$K54),"")</f>
        <v/>
      </c>
      <c r="F54" s="45" t="str">
        <f>IFERROR(INDEX(Personnel[[Sinav ]],$K54),"")</f>
        <v/>
      </c>
      <c r="G54" s="45" t="str">
        <f>IFERROR(INDEX(Personnel[Egtim durumu],$K54),"")</f>
        <v/>
      </c>
      <c r="H54" s="45" t="str">
        <f>IFERROR(INDEX(Personnel[Shohruh Not],$K54),"")</f>
        <v/>
      </c>
      <c r="I54" s="44" t="str">
        <f>IFERROR(INDEX(Personnel[Дней в РФ],$K54),"")</f>
        <v/>
      </c>
      <c r="K54" s="23" t="str">
        <f t="array" ref="K54">IFERROR(_xlfn.AGGREGATE(15,6,(ROW(Personnel[Egtim durumu])-MIN(ROW(Personnel[Egtim durumu]))+1)/((Personnel[Egtim durumu]="Egitime alinacak")),ROWS($K$7:K54)),"")</f>
        <v/>
      </c>
    </row>
    <row r="55" spans="1:11" x14ac:dyDescent="0.25">
      <c r="A55" s="18" t="str">
        <f>IFERROR(INDEX(Personnel[Sicil],$K55),"")</f>
        <v/>
      </c>
      <c r="B55" s="17" t="str">
        <f>IFERROR(INDEX(Personnel[Adi Soyadi],$K55),"")</f>
        <v/>
      </c>
      <c r="C55" s="18" t="str">
        <f>IFERROR(INDEX(Personnel[Vatandaslik],$K55),"")</f>
        <v/>
      </c>
      <c r="D55" s="18" t="str">
        <f>IFERROR(INDEX(Personnel[Santiye],$K55),"")</f>
        <v/>
      </c>
      <c r="E55" s="18" t="str">
        <f>IFERROR(INDEX(Personnel[Ogretmen],$K55),"")</f>
        <v/>
      </c>
      <c r="F55" s="17" t="str">
        <f>IFERROR(INDEX(Personnel[[Sinav ]],$K55),"")</f>
        <v/>
      </c>
      <c r="G55" s="17" t="str">
        <f>IFERROR(INDEX(Personnel[Egtim durumu],$K55),"")</f>
        <v/>
      </c>
      <c r="H55" s="17" t="str">
        <f>IFERROR(INDEX(Personnel[Shohruh Not],$K55),"")</f>
        <v/>
      </c>
      <c r="I55" s="18" t="str">
        <f>IFERROR(INDEX(Personnel[Дней в РФ],$K55),"")</f>
        <v/>
      </c>
      <c r="K55" s="23" t="str">
        <f t="array" ref="K55">IFERROR(_xlfn.AGGREGATE(15,6,(ROW(Personnel[Egtim durumu])-MIN(ROW(Personnel[Egtim durumu]))+1)/((Personnel[Egtim durumu]="Egitime alinacak")),ROWS($K$7:K55)),"")</f>
        <v/>
      </c>
    </row>
    <row r="56" spans="1:11" x14ac:dyDescent="0.25">
      <c r="A56" s="44" t="str">
        <f>IFERROR(INDEX(Personnel[Sicil],$K56),"")</f>
        <v/>
      </c>
      <c r="B56" s="45" t="str">
        <f>IFERROR(INDEX(Personnel[Adi Soyadi],$K56),"")</f>
        <v/>
      </c>
      <c r="C56" s="44" t="str">
        <f>IFERROR(INDEX(Personnel[Vatandaslik],$K56),"")</f>
        <v/>
      </c>
      <c r="D56" s="44" t="str">
        <f>IFERROR(INDEX(Personnel[Santiye],$K56),"")</f>
        <v/>
      </c>
      <c r="E56" s="44" t="str">
        <f>IFERROR(INDEX(Personnel[Ogretmen],$K56),"")</f>
        <v/>
      </c>
      <c r="F56" s="45" t="str">
        <f>IFERROR(INDEX(Personnel[[Sinav ]],$K56),"")</f>
        <v/>
      </c>
      <c r="G56" s="45" t="str">
        <f>IFERROR(INDEX(Personnel[Egtim durumu],$K56),"")</f>
        <v/>
      </c>
      <c r="H56" s="45" t="str">
        <f>IFERROR(INDEX(Personnel[Shohruh Not],$K56),"")</f>
        <v/>
      </c>
      <c r="I56" s="44" t="str">
        <f>IFERROR(INDEX(Personnel[Дней в РФ],$K56),"")</f>
        <v/>
      </c>
      <c r="K56" s="23" t="str">
        <f t="array" ref="K56">IFERROR(_xlfn.AGGREGATE(15,6,(ROW(Personnel[Egtim durumu])-MIN(ROW(Personnel[Egtim durumu]))+1)/((Personnel[Egtim durumu]="Egitime alinacak")),ROWS($K$7:K56)),"")</f>
        <v/>
      </c>
    </row>
    <row r="57" spans="1:11" x14ac:dyDescent="0.25">
      <c r="A57" s="18" t="str">
        <f>IFERROR(INDEX(Personnel[Sicil],$K57),"")</f>
        <v/>
      </c>
      <c r="B57" s="17" t="str">
        <f>IFERROR(INDEX(Personnel[Adi Soyadi],$K57),"")</f>
        <v/>
      </c>
      <c r="C57" s="18" t="str">
        <f>IFERROR(INDEX(Personnel[Vatandaslik],$K57),"")</f>
        <v/>
      </c>
      <c r="D57" s="18" t="str">
        <f>IFERROR(INDEX(Personnel[Santiye],$K57),"")</f>
        <v/>
      </c>
      <c r="E57" s="18" t="str">
        <f>IFERROR(INDEX(Personnel[Ogretmen],$K57),"")</f>
        <v/>
      </c>
      <c r="F57" s="17" t="str">
        <f>IFERROR(INDEX(Personnel[[Sinav ]],$K57),"")</f>
        <v/>
      </c>
      <c r="G57" s="17" t="str">
        <f>IFERROR(INDEX(Personnel[Egtim durumu],$K57),"")</f>
        <v/>
      </c>
      <c r="H57" s="17" t="str">
        <f>IFERROR(INDEX(Personnel[Shohruh Not],$K57),"")</f>
        <v/>
      </c>
      <c r="I57" s="18" t="str">
        <f>IFERROR(INDEX(Personnel[Дней в РФ],$K57),"")</f>
        <v/>
      </c>
      <c r="K57" s="23" t="str">
        <f t="array" ref="K57">IFERROR(_xlfn.AGGREGATE(15,6,(ROW(Personnel[Egtim durumu])-MIN(ROW(Personnel[Egtim durumu]))+1)/((Personnel[Egtim durumu]="Egitime alinacak")),ROWS($K$7:K57)),"")</f>
        <v/>
      </c>
    </row>
    <row r="58" spans="1:11" x14ac:dyDescent="0.25">
      <c r="A58" s="44" t="str">
        <f>IFERROR(INDEX(Personnel[Sicil],$K58),"")</f>
        <v/>
      </c>
      <c r="B58" s="45" t="str">
        <f>IFERROR(INDEX(Personnel[Adi Soyadi],$K58),"")</f>
        <v/>
      </c>
      <c r="C58" s="44" t="str">
        <f>IFERROR(INDEX(Personnel[Vatandaslik],$K58),"")</f>
        <v/>
      </c>
      <c r="D58" s="44" t="str">
        <f>IFERROR(INDEX(Personnel[Santiye],$K58),"")</f>
        <v/>
      </c>
      <c r="E58" s="44" t="str">
        <f>IFERROR(INDEX(Personnel[Ogretmen],$K58),"")</f>
        <v/>
      </c>
      <c r="F58" s="45" t="str">
        <f>IFERROR(INDEX(Personnel[[Sinav ]],$K58),"")</f>
        <v/>
      </c>
      <c r="G58" s="45" t="str">
        <f>IFERROR(INDEX(Personnel[Egtim durumu],$K58),"")</f>
        <v/>
      </c>
      <c r="H58" s="45" t="str">
        <f>IFERROR(INDEX(Personnel[Shohruh Not],$K58),"")</f>
        <v/>
      </c>
      <c r="I58" s="44" t="str">
        <f>IFERROR(INDEX(Personnel[Дней в РФ],$K58),"")</f>
        <v/>
      </c>
      <c r="K58" s="23" t="str">
        <f t="array" ref="K58">IFERROR(_xlfn.AGGREGATE(15,6,(ROW(Personnel[Egtim durumu])-MIN(ROW(Personnel[Egtim durumu]))+1)/((Personnel[Egtim durumu]="Egitime alinacak")),ROWS($K$7:K58)),"")</f>
        <v/>
      </c>
    </row>
    <row r="59" spans="1:11" x14ac:dyDescent="0.25">
      <c r="A59" s="18" t="str">
        <f>IFERROR(INDEX(Personnel[Sicil],$K59),"")</f>
        <v/>
      </c>
      <c r="B59" s="17" t="str">
        <f>IFERROR(INDEX(Personnel[Adi Soyadi],$K59),"")</f>
        <v/>
      </c>
      <c r="C59" s="18" t="str">
        <f>IFERROR(INDEX(Personnel[Vatandaslik],$K59),"")</f>
        <v/>
      </c>
      <c r="D59" s="18" t="str">
        <f>IFERROR(INDEX(Personnel[Santiye],$K59),"")</f>
        <v/>
      </c>
      <c r="E59" s="18" t="str">
        <f>IFERROR(INDEX(Personnel[Ogretmen],$K59),"")</f>
        <v/>
      </c>
      <c r="F59" s="17" t="str">
        <f>IFERROR(INDEX(Personnel[[Sinav ]],$K59),"")</f>
        <v/>
      </c>
      <c r="G59" s="17" t="str">
        <f>IFERROR(INDEX(Personnel[Egtim durumu],$K59),"")</f>
        <v/>
      </c>
      <c r="H59" s="17" t="str">
        <f>IFERROR(INDEX(Personnel[Shohruh Not],$K59),"")</f>
        <v/>
      </c>
      <c r="I59" s="18" t="str">
        <f>IFERROR(INDEX(Personnel[Дней в РФ],$K59),"")</f>
        <v/>
      </c>
      <c r="K59" s="23" t="str">
        <f t="array" ref="K59">IFERROR(_xlfn.AGGREGATE(15,6,(ROW(Personnel[Egtim durumu])-MIN(ROW(Personnel[Egtim durumu]))+1)/((Personnel[Egtim durumu]="Egitime alinacak")),ROWS($K$7:K59)),"")</f>
        <v/>
      </c>
    </row>
    <row r="60" spans="1:11" x14ac:dyDescent="0.25">
      <c r="A60" s="44" t="str">
        <f>IFERROR(INDEX(Personnel[Sicil],$K60),"")</f>
        <v/>
      </c>
      <c r="B60" s="45" t="str">
        <f>IFERROR(INDEX(Personnel[Adi Soyadi],$K60),"")</f>
        <v/>
      </c>
      <c r="C60" s="44" t="str">
        <f>IFERROR(INDEX(Personnel[Vatandaslik],$K60),"")</f>
        <v/>
      </c>
      <c r="D60" s="44" t="str">
        <f>IFERROR(INDEX(Personnel[Santiye],$K60),"")</f>
        <v/>
      </c>
      <c r="E60" s="44" t="str">
        <f>IFERROR(INDEX(Personnel[Ogretmen],$K60),"")</f>
        <v/>
      </c>
      <c r="F60" s="45" t="str">
        <f>IFERROR(INDEX(Personnel[[Sinav ]],$K60),"")</f>
        <v/>
      </c>
      <c r="G60" s="45" t="str">
        <f>IFERROR(INDEX(Personnel[Egtim durumu],$K60),"")</f>
        <v/>
      </c>
      <c r="H60" s="45" t="str">
        <f>IFERROR(INDEX(Personnel[Shohruh Not],$K60),"")</f>
        <v/>
      </c>
      <c r="I60" s="44" t="str">
        <f>IFERROR(INDEX(Personnel[Дней в РФ],$K60),"")</f>
        <v/>
      </c>
      <c r="K60" s="23" t="str">
        <f t="array" ref="K60">IFERROR(_xlfn.AGGREGATE(15,6,(ROW(Personnel[Egtim durumu])-MIN(ROW(Personnel[Egtim durumu]))+1)/((Personnel[Egtim durumu]="Egitime alinacak")),ROWS($K$7:K60)),"")</f>
        <v/>
      </c>
    </row>
    <row r="61" spans="1:11" x14ac:dyDescent="0.25">
      <c r="A61" s="18" t="str">
        <f>IFERROR(INDEX(Personnel[Sicil],$K61),"")</f>
        <v/>
      </c>
      <c r="B61" s="17" t="str">
        <f>IFERROR(INDEX(Personnel[Adi Soyadi],$K61),"")</f>
        <v/>
      </c>
      <c r="C61" s="18" t="str">
        <f>IFERROR(INDEX(Personnel[Vatandaslik],$K61),"")</f>
        <v/>
      </c>
      <c r="D61" s="18" t="str">
        <f>IFERROR(INDEX(Personnel[Santiye],$K61),"")</f>
        <v/>
      </c>
      <c r="E61" s="18" t="str">
        <f>IFERROR(INDEX(Personnel[Ogretmen],$K61),"")</f>
        <v/>
      </c>
      <c r="F61" s="17" t="str">
        <f>IFERROR(INDEX(Personnel[[Sinav ]],$K61),"")</f>
        <v/>
      </c>
      <c r="G61" s="17" t="str">
        <f>IFERROR(INDEX(Personnel[Egtim durumu],$K61),"")</f>
        <v/>
      </c>
      <c r="H61" s="17" t="str">
        <f>IFERROR(INDEX(Personnel[Shohruh Not],$K61),"")</f>
        <v/>
      </c>
      <c r="I61" s="18" t="str">
        <f>IFERROR(INDEX(Personnel[Дней в РФ],$K61),"")</f>
        <v/>
      </c>
      <c r="K61" s="23" t="str">
        <f t="array" ref="K61">IFERROR(_xlfn.AGGREGATE(15,6,(ROW(Personnel[Egtim durumu])-MIN(ROW(Personnel[Egtim durumu]))+1)/((Personnel[Egtim durumu]="Egitime alinacak")),ROWS($K$7:K61)),"")</f>
        <v/>
      </c>
    </row>
    <row r="62" spans="1:11" x14ac:dyDescent="0.25">
      <c r="A62" s="44" t="str">
        <f>IFERROR(INDEX(Personnel[Sicil],$K62),"")</f>
        <v/>
      </c>
      <c r="B62" s="45" t="str">
        <f>IFERROR(INDEX(Personnel[Adi Soyadi],$K62),"")</f>
        <v/>
      </c>
      <c r="C62" s="44" t="str">
        <f>IFERROR(INDEX(Personnel[Vatandaslik],$K62),"")</f>
        <v/>
      </c>
      <c r="D62" s="44" t="str">
        <f>IFERROR(INDEX(Personnel[Santiye],$K62),"")</f>
        <v/>
      </c>
      <c r="E62" s="44" t="str">
        <f>IFERROR(INDEX(Personnel[Ogretmen],$K62),"")</f>
        <v/>
      </c>
      <c r="F62" s="45" t="str">
        <f>IFERROR(INDEX(Personnel[[Sinav ]],$K62),"")</f>
        <v/>
      </c>
      <c r="G62" s="45" t="str">
        <f>IFERROR(INDEX(Personnel[Egtim durumu],$K62),"")</f>
        <v/>
      </c>
      <c r="H62" s="45" t="str">
        <f>IFERROR(INDEX(Personnel[Shohruh Not],$K62),"")</f>
        <v/>
      </c>
      <c r="I62" s="44" t="str">
        <f>IFERROR(INDEX(Personnel[Дней в РФ],$K62),"")</f>
        <v/>
      </c>
      <c r="K62" s="23" t="str">
        <f t="array" ref="K62">IFERROR(_xlfn.AGGREGATE(15,6,(ROW(Personnel[Egtim durumu])-MIN(ROW(Personnel[Egtim durumu]))+1)/((Personnel[Egtim durumu]="Egitime alinacak")),ROWS($K$7:K62)),"")</f>
        <v/>
      </c>
    </row>
    <row r="63" spans="1:11" x14ac:dyDescent="0.25">
      <c r="A63" s="18" t="str">
        <f>IFERROR(INDEX(Personnel[Sicil],$K63),"")</f>
        <v/>
      </c>
      <c r="B63" s="17" t="str">
        <f>IFERROR(INDEX(Personnel[Adi Soyadi],$K63),"")</f>
        <v/>
      </c>
      <c r="C63" s="18" t="str">
        <f>IFERROR(INDEX(Personnel[Vatandaslik],$K63),"")</f>
        <v/>
      </c>
      <c r="D63" s="18" t="str">
        <f>IFERROR(INDEX(Personnel[Santiye],$K63),"")</f>
        <v/>
      </c>
      <c r="E63" s="18" t="str">
        <f>IFERROR(INDEX(Personnel[Ogretmen],$K63),"")</f>
        <v/>
      </c>
      <c r="F63" s="17" t="str">
        <f>IFERROR(INDEX(Personnel[[Sinav ]],$K63),"")</f>
        <v/>
      </c>
      <c r="G63" s="17" t="str">
        <f>IFERROR(INDEX(Personnel[Egtim durumu],$K63),"")</f>
        <v/>
      </c>
      <c r="H63" s="17" t="str">
        <f>IFERROR(INDEX(Personnel[Shohruh Not],$K63),"")</f>
        <v/>
      </c>
      <c r="I63" s="18" t="str">
        <f>IFERROR(INDEX(Personnel[Дней в РФ],$K63),"")</f>
        <v/>
      </c>
      <c r="K63" s="23" t="str">
        <f t="array" ref="K63">IFERROR(_xlfn.AGGREGATE(15,6,(ROW(Personnel[Egtim durumu])-MIN(ROW(Personnel[Egtim durumu]))+1)/((Personnel[Egtim durumu]="Egitime alinacak")),ROWS($K$7:K63)),"")</f>
        <v/>
      </c>
    </row>
    <row r="64" spans="1:11" x14ac:dyDescent="0.25">
      <c r="A64" s="44" t="str">
        <f>IFERROR(INDEX(Personnel[Sicil],$K64),"")</f>
        <v/>
      </c>
      <c r="B64" s="45" t="str">
        <f>IFERROR(INDEX(Personnel[Adi Soyadi],$K64),"")</f>
        <v/>
      </c>
      <c r="C64" s="44" t="str">
        <f>IFERROR(INDEX(Personnel[Vatandaslik],$K64),"")</f>
        <v/>
      </c>
      <c r="D64" s="44" t="str">
        <f>IFERROR(INDEX(Personnel[Santiye],$K64),"")</f>
        <v/>
      </c>
      <c r="E64" s="44" t="str">
        <f>IFERROR(INDEX(Personnel[Ogretmen],$K64),"")</f>
        <v/>
      </c>
      <c r="F64" s="45" t="str">
        <f>IFERROR(INDEX(Personnel[[Sinav ]],$K64),"")</f>
        <v/>
      </c>
      <c r="G64" s="45" t="str">
        <f>IFERROR(INDEX(Personnel[Egtim durumu],$K64),"")</f>
        <v/>
      </c>
      <c r="H64" s="45" t="str">
        <f>IFERROR(INDEX(Personnel[Shohruh Not],$K64),"")</f>
        <v/>
      </c>
      <c r="I64" s="44" t="str">
        <f>IFERROR(INDEX(Personnel[Дней в РФ],$K64),"")</f>
        <v/>
      </c>
      <c r="K64" s="23" t="str">
        <f t="array" ref="K64">IFERROR(_xlfn.AGGREGATE(15,6,(ROW(Personnel[Egtim durumu])-MIN(ROW(Personnel[Egtim durumu]))+1)/((Personnel[Egtim durumu]="Egitime alinacak")),ROWS($K$7:K64)),"")</f>
        <v/>
      </c>
    </row>
    <row r="65" spans="1:11" x14ac:dyDescent="0.25">
      <c r="A65" s="18" t="str">
        <f>IFERROR(INDEX(Personnel[Sicil],$K65),"")</f>
        <v/>
      </c>
      <c r="B65" s="17" t="str">
        <f>IFERROR(INDEX(Personnel[Adi Soyadi],$K65),"")</f>
        <v/>
      </c>
      <c r="C65" s="18" t="str">
        <f>IFERROR(INDEX(Personnel[Vatandaslik],$K65),"")</f>
        <v/>
      </c>
      <c r="D65" s="18" t="str">
        <f>IFERROR(INDEX(Personnel[Santiye],$K65),"")</f>
        <v/>
      </c>
      <c r="E65" s="18" t="str">
        <f>IFERROR(INDEX(Personnel[Ogretmen],$K65),"")</f>
        <v/>
      </c>
      <c r="F65" s="17" t="str">
        <f>IFERROR(INDEX(Personnel[[Sinav ]],$K65),"")</f>
        <v/>
      </c>
      <c r="G65" s="17" t="str">
        <f>IFERROR(INDEX(Personnel[Egtim durumu],$K65),"")</f>
        <v/>
      </c>
      <c r="H65" s="17" t="str">
        <f>IFERROR(INDEX(Personnel[Shohruh Not],$K65),"")</f>
        <v/>
      </c>
      <c r="I65" s="18" t="str">
        <f>IFERROR(INDEX(Personnel[Дней в РФ],$K65),"")</f>
        <v/>
      </c>
      <c r="K65" s="23" t="str">
        <f t="array" ref="K65">IFERROR(_xlfn.AGGREGATE(15,6,(ROW(Personnel[Egtim durumu])-MIN(ROW(Personnel[Egtim durumu]))+1)/((Personnel[Egtim durumu]="Egitime alinacak")),ROWS($K$7:K65)),"")</f>
        <v/>
      </c>
    </row>
    <row r="66" spans="1:11" x14ac:dyDescent="0.25">
      <c r="A66" s="44" t="str">
        <f>IFERROR(INDEX(Personnel[Sicil],$K66),"")</f>
        <v/>
      </c>
      <c r="B66" s="45" t="str">
        <f>IFERROR(INDEX(Personnel[Adi Soyadi],$K66),"")</f>
        <v/>
      </c>
      <c r="C66" s="44" t="str">
        <f>IFERROR(INDEX(Personnel[Vatandaslik],$K66),"")</f>
        <v/>
      </c>
      <c r="D66" s="44" t="str">
        <f>IFERROR(INDEX(Personnel[Santiye],$K66),"")</f>
        <v/>
      </c>
      <c r="E66" s="44" t="str">
        <f>IFERROR(INDEX(Personnel[Ogretmen],$K66),"")</f>
        <v/>
      </c>
      <c r="F66" s="45" t="str">
        <f>IFERROR(INDEX(Personnel[[Sinav ]],$K66),"")</f>
        <v/>
      </c>
      <c r="G66" s="45" t="str">
        <f>IFERROR(INDEX(Personnel[Egtim durumu],$K66),"")</f>
        <v/>
      </c>
      <c r="H66" s="45" t="str">
        <f>IFERROR(INDEX(Personnel[Shohruh Not],$K66),"")</f>
        <v/>
      </c>
      <c r="I66" s="44" t="str">
        <f>IFERROR(INDEX(Personnel[Дней в РФ],$K66),"")</f>
        <v/>
      </c>
      <c r="K66" s="23" t="str">
        <f t="array" ref="K66">IFERROR(_xlfn.AGGREGATE(15,6,(ROW(Personnel[Egtim durumu])-MIN(ROW(Personnel[Egtim durumu]))+1)/((Personnel[Egtim durumu]="Egitime alinacak")),ROWS($K$7:K66)),"")</f>
        <v/>
      </c>
    </row>
    <row r="67" spans="1:11" x14ac:dyDescent="0.25">
      <c r="A67" s="18" t="str">
        <f>IFERROR(INDEX(Personnel[Sicil],$K67),"")</f>
        <v/>
      </c>
      <c r="B67" s="17" t="str">
        <f>IFERROR(INDEX(Personnel[Adi Soyadi],$K67),"")</f>
        <v/>
      </c>
      <c r="C67" s="18" t="str">
        <f>IFERROR(INDEX(Personnel[Vatandaslik],$K67),"")</f>
        <v/>
      </c>
      <c r="D67" s="18" t="str">
        <f>IFERROR(INDEX(Personnel[Santiye],$K67),"")</f>
        <v/>
      </c>
      <c r="E67" s="18" t="str">
        <f>IFERROR(INDEX(Personnel[Ogretmen],$K67),"")</f>
        <v/>
      </c>
      <c r="F67" s="17" t="str">
        <f>IFERROR(INDEX(Personnel[[Sinav ]],$K67),"")</f>
        <v/>
      </c>
      <c r="G67" s="17" t="str">
        <f>IFERROR(INDEX(Personnel[Egtim durumu],$K67),"")</f>
        <v/>
      </c>
      <c r="H67" s="17" t="str">
        <f>IFERROR(INDEX(Personnel[Shohruh Not],$K67),"")</f>
        <v/>
      </c>
      <c r="I67" s="18" t="str">
        <f>IFERROR(INDEX(Personnel[Дней в РФ],$K67),"")</f>
        <v/>
      </c>
      <c r="K67" s="23" t="str">
        <f t="array" ref="K67">IFERROR(_xlfn.AGGREGATE(15,6,(ROW(Personnel[Egtim durumu])-MIN(ROW(Personnel[Egtim durumu]))+1)/((Personnel[Egtim durumu]="Egitime alinacak")),ROWS($K$7:K67)),"")</f>
        <v/>
      </c>
    </row>
    <row r="68" spans="1:11" x14ac:dyDescent="0.25">
      <c r="A68" s="44" t="str">
        <f>IFERROR(INDEX(Personnel[Sicil],$K68),"")</f>
        <v/>
      </c>
      <c r="B68" s="45" t="str">
        <f>IFERROR(INDEX(Personnel[Adi Soyadi],$K68),"")</f>
        <v/>
      </c>
      <c r="C68" s="44" t="str">
        <f>IFERROR(INDEX(Personnel[Vatandaslik],$K68),"")</f>
        <v/>
      </c>
      <c r="D68" s="44" t="str">
        <f>IFERROR(INDEX(Personnel[Santiye],$K68),"")</f>
        <v/>
      </c>
      <c r="E68" s="44" t="str">
        <f>IFERROR(INDEX(Personnel[Ogretmen],$K68),"")</f>
        <v/>
      </c>
      <c r="F68" s="45" t="str">
        <f>IFERROR(INDEX(Personnel[[Sinav ]],$K68),"")</f>
        <v/>
      </c>
      <c r="G68" s="45" t="str">
        <f>IFERROR(INDEX(Personnel[Egtim durumu],$K68),"")</f>
        <v/>
      </c>
      <c r="H68" s="45" t="str">
        <f>IFERROR(INDEX(Personnel[Shohruh Not],$K68),"")</f>
        <v/>
      </c>
      <c r="I68" s="44" t="str">
        <f>IFERROR(INDEX(Personnel[Дней в РФ],$K68),"")</f>
        <v/>
      </c>
      <c r="K68" s="23" t="str">
        <f t="array" ref="K68">IFERROR(_xlfn.AGGREGATE(15,6,(ROW(Personnel[Egtim durumu])-MIN(ROW(Personnel[Egtim durumu]))+1)/((Personnel[Egtim durumu]="Egitime alinacak")),ROWS($K$7:K68)),"")</f>
        <v/>
      </c>
    </row>
    <row r="69" spans="1:11" x14ac:dyDescent="0.25">
      <c r="A69" s="18" t="str">
        <f>IFERROR(INDEX(Personnel[Sicil],$K69),"")</f>
        <v/>
      </c>
      <c r="B69" s="17" t="str">
        <f>IFERROR(INDEX(Personnel[Adi Soyadi],$K69),"")</f>
        <v/>
      </c>
      <c r="C69" s="18" t="str">
        <f>IFERROR(INDEX(Personnel[Vatandaslik],$K69),"")</f>
        <v/>
      </c>
      <c r="D69" s="18" t="str">
        <f>IFERROR(INDEX(Personnel[Santiye],$K69),"")</f>
        <v/>
      </c>
      <c r="E69" s="18" t="str">
        <f>IFERROR(INDEX(Personnel[Ogretmen],$K69),"")</f>
        <v/>
      </c>
      <c r="F69" s="17" t="str">
        <f>IFERROR(INDEX(Personnel[[Sinav ]],$K69),"")</f>
        <v/>
      </c>
      <c r="G69" s="17" t="str">
        <f>IFERROR(INDEX(Personnel[Egtim durumu],$K69),"")</f>
        <v/>
      </c>
      <c r="H69" s="17" t="str">
        <f>IFERROR(INDEX(Personnel[Shohruh Not],$K69),"")</f>
        <v/>
      </c>
      <c r="I69" s="18" t="str">
        <f>IFERROR(INDEX(Personnel[Дней в РФ],$K69),"")</f>
        <v/>
      </c>
      <c r="K69" s="23" t="str">
        <f t="array" ref="K69">IFERROR(_xlfn.AGGREGATE(15,6,(ROW(Personnel[Egtim durumu])-MIN(ROW(Personnel[Egtim durumu]))+1)/((Personnel[Egtim durumu]="Egitime alinacak")),ROWS($K$7:K69)),"")</f>
        <v/>
      </c>
    </row>
    <row r="70" spans="1:11" x14ac:dyDescent="0.25">
      <c r="A70" s="44" t="str">
        <f>IFERROR(INDEX(Personnel[Sicil],$K70),"")</f>
        <v/>
      </c>
      <c r="B70" s="45" t="str">
        <f>IFERROR(INDEX(Personnel[Adi Soyadi],$K70),"")</f>
        <v/>
      </c>
      <c r="C70" s="44" t="str">
        <f>IFERROR(INDEX(Personnel[Vatandaslik],$K70),"")</f>
        <v/>
      </c>
      <c r="D70" s="44" t="str">
        <f>IFERROR(INDEX(Personnel[Santiye],$K70),"")</f>
        <v/>
      </c>
      <c r="E70" s="44" t="str">
        <f>IFERROR(INDEX(Personnel[Ogretmen],$K70),"")</f>
        <v/>
      </c>
      <c r="F70" s="45" t="str">
        <f>IFERROR(INDEX(Personnel[[Sinav ]],$K70),"")</f>
        <v/>
      </c>
      <c r="G70" s="45" t="str">
        <f>IFERROR(INDEX(Personnel[Egtim durumu],$K70),"")</f>
        <v/>
      </c>
      <c r="H70" s="45" t="str">
        <f>IFERROR(INDEX(Personnel[Shohruh Not],$K70),"")</f>
        <v/>
      </c>
      <c r="I70" s="44" t="str">
        <f>IFERROR(INDEX(Personnel[Дней в РФ],$K70),"")</f>
        <v/>
      </c>
      <c r="K70" s="23" t="str">
        <f t="array" ref="K70">IFERROR(_xlfn.AGGREGATE(15,6,(ROW(Personnel[Egtim durumu])-MIN(ROW(Personnel[Egtim durumu]))+1)/((Personnel[Egtim durumu]="Egitime alinacak")),ROWS($K$7:K70)),"")</f>
        <v/>
      </c>
    </row>
    <row r="71" spans="1:11" x14ac:dyDescent="0.25">
      <c r="A71" s="18" t="str">
        <f>IFERROR(INDEX(Personnel[Sicil],$K71),"")</f>
        <v/>
      </c>
      <c r="B71" s="17" t="str">
        <f>IFERROR(INDEX(Personnel[Adi Soyadi],$K71),"")</f>
        <v/>
      </c>
      <c r="C71" s="18" t="str">
        <f>IFERROR(INDEX(Personnel[Vatandaslik],$K71),"")</f>
        <v/>
      </c>
      <c r="D71" s="18" t="str">
        <f>IFERROR(INDEX(Personnel[Santiye],$K71),"")</f>
        <v/>
      </c>
      <c r="E71" s="18" t="str">
        <f>IFERROR(INDEX(Personnel[Ogretmen],$K71),"")</f>
        <v/>
      </c>
      <c r="F71" s="17" t="str">
        <f>IFERROR(INDEX(Personnel[[Sinav ]],$K71),"")</f>
        <v/>
      </c>
      <c r="G71" s="17" t="str">
        <f>IFERROR(INDEX(Personnel[Egtim durumu],$K71),"")</f>
        <v/>
      </c>
      <c r="H71" s="17" t="str">
        <f>IFERROR(INDEX(Personnel[Shohruh Not],$K71),"")</f>
        <v/>
      </c>
      <c r="I71" s="18" t="str">
        <f>IFERROR(INDEX(Personnel[Дней в РФ],$K71),"")</f>
        <v/>
      </c>
      <c r="K71" s="23" t="str">
        <f t="array" ref="K71">IFERROR(_xlfn.AGGREGATE(15,6,(ROW(Personnel[Egtim durumu])-MIN(ROW(Personnel[Egtim durumu]))+1)/((Personnel[Egtim durumu]="Egitime alinacak")),ROWS($K$7:K71)),"")</f>
        <v/>
      </c>
    </row>
    <row r="72" spans="1:11" x14ac:dyDescent="0.25">
      <c r="A72" s="44" t="str">
        <f>IFERROR(INDEX(Personnel[Sicil],$K72),"")</f>
        <v/>
      </c>
      <c r="B72" s="45" t="str">
        <f>IFERROR(INDEX(Personnel[Adi Soyadi],$K72),"")</f>
        <v/>
      </c>
      <c r="C72" s="44" t="str">
        <f>IFERROR(INDEX(Personnel[Vatandaslik],$K72),"")</f>
        <v/>
      </c>
      <c r="D72" s="44" t="str">
        <f>IFERROR(INDEX(Personnel[Santiye],$K72),"")</f>
        <v/>
      </c>
      <c r="E72" s="44" t="str">
        <f>IFERROR(INDEX(Personnel[Ogretmen],$K72),"")</f>
        <v/>
      </c>
      <c r="F72" s="45" t="str">
        <f>IFERROR(INDEX(Personnel[[Sinav ]],$K72),"")</f>
        <v/>
      </c>
      <c r="G72" s="45" t="str">
        <f>IFERROR(INDEX(Personnel[Egtim durumu],$K72),"")</f>
        <v/>
      </c>
      <c r="H72" s="45" t="str">
        <f>IFERROR(INDEX(Personnel[Shohruh Not],$K72),"")</f>
        <v/>
      </c>
      <c r="I72" s="44" t="str">
        <f>IFERROR(INDEX(Personnel[Дней в РФ],$K72),"")</f>
        <v/>
      </c>
      <c r="K72" s="23" t="str">
        <f t="array" ref="K72">IFERROR(_xlfn.AGGREGATE(15,6,(ROW(Personnel[Egtim durumu])-MIN(ROW(Personnel[Egtim durumu]))+1)/((Personnel[Egtim durumu]="Egitime alinacak")),ROWS($K$7:K72)),"")</f>
        <v/>
      </c>
    </row>
    <row r="73" spans="1:11" x14ac:dyDescent="0.25">
      <c r="A73" s="18" t="str">
        <f>IFERROR(INDEX(Personnel[Sicil],$K73),"")</f>
        <v/>
      </c>
      <c r="B73" s="17" t="str">
        <f>IFERROR(INDEX(Personnel[Adi Soyadi],$K73),"")</f>
        <v/>
      </c>
      <c r="C73" s="18" t="str">
        <f>IFERROR(INDEX(Personnel[Vatandaslik],$K73),"")</f>
        <v/>
      </c>
      <c r="D73" s="18" t="str">
        <f>IFERROR(INDEX(Personnel[Santiye],$K73),"")</f>
        <v/>
      </c>
      <c r="E73" s="18" t="str">
        <f>IFERROR(INDEX(Personnel[Ogretmen],$K73),"")</f>
        <v/>
      </c>
      <c r="F73" s="17" t="str">
        <f>IFERROR(INDEX(Personnel[[Sinav ]],$K73),"")</f>
        <v/>
      </c>
      <c r="G73" s="17" t="str">
        <f>IFERROR(INDEX(Personnel[Egtim durumu],$K73),"")</f>
        <v/>
      </c>
      <c r="H73" s="17" t="str">
        <f>IFERROR(INDEX(Personnel[Shohruh Not],$K73),"")</f>
        <v/>
      </c>
      <c r="I73" s="18" t="str">
        <f>IFERROR(INDEX(Personnel[Дней в РФ],$K73),"")</f>
        <v/>
      </c>
      <c r="K73" s="23" t="str">
        <f t="array" ref="K73">IFERROR(_xlfn.AGGREGATE(15,6,(ROW(Personnel[Egtim durumu])-MIN(ROW(Personnel[Egtim durumu]))+1)/((Personnel[Egtim durumu]="Egitime alinacak")),ROWS($K$7:K73)),"")</f>
        <v/>
      </c>
    </row>
    <row r="74" spans="1:11" x14ac:dyDescent="0.25">
      <c r="A74" s="44" t="str">
        <f>IFERROR(INDEX(Personnel[Sicil],$K74),"")</f>
        <v/>
      </c>
      <c r="B74" s="45" t="str">
        <f>IFERROR(INDEX(Personnel[Adi Soyadi],$K74),"")</f>
        <v/>
      </c>
      <c r="C74" s="44" t="str">
        <f>IFERROR(INDEX(Personnel[Vatandaslik],$K74),"")</f>
        <v/>
      </c>
      <c r="D74" s="44" t="str">
        <f>IFERROR(INDEX(Personnel[Santiye],$K74),"")</f>
        <v/>
      </c>
      <c r="E74" s="44" t="str">
        <f>IFERROR(INDEX(Personnel[Ogretmen],$K74),"")</f>
        <v/>
      </c>
      <c r="F74" s="45" t="str">
        <f>IFERROR(INDEX(Personnel[[Sinav ]],$K74),"")</f>
        <v/>
      </c>
      <c r="G74" s="45" t="str">
        <f>IFERROR(INDEX(Personnel[Egtim durumu],$K74),"")</f>
        <v/>
      </c>
      <c r="H74" s="45" t="str">
        <f>IFERROR(INDEX(Personnel[Shohruh Not],$K74),"")</f>
        <v/>
      </c>
      <c r="I74" s="44" t="str">
        <f>IFERROR(INDEX(Personnel[Дней в РФ],$K74),"")</f>
        <v/>
      </c>
      <c r="K74" s="23" t="str">
        <f t="array" ref="K74">IFERROR(_xlfn.AGGREGATE(15,6,(ROW(Personnel[Egtim durumu])-MIN(ROW(Personnel[Egtim durumu]))+1)/((Personnel[Egtim durumu]="Egitime alinacak")),ROWS($K$7:K74)),"")</f>
        <v/>
      </c>
    </row>
    <row r="75" spans="1:11" x14ac:dyDescent="0.25">
      <c r="A75" s="18" t="str">
        <f>IFERROR(INDEX(Personnel[Sicil],$K75),"")</f>
        <v/>
      </c>
      <c r="B75" s="17" t="str">
        <f>IFERROR(INDEX(Personnel[Adi Soyadi],$K75),"")</f>
        <v/>
      </c>
      <c r="C75" s="18" t="str">
        <f>IFERROR(INDEX(Personnel[Vatandaslik],$K75),"")</f>
        <v/>
      </c>
      <c r="D75" s="18" t="str">
        <f>IFERROR(INDEX(Personnel[Santiye],$K75),"")</f>
        <v/>
      </c>
      <c r="E75" s="18" t="str">
        <f>IFERROR(INDEX(Personnel[Ogretmen],$K75),"")</f>
        <v/>
      </c>
      <c r="F75" s="17" t="str">
        <f>IFERROR(INDEX(Personnel[[Sinav ]],$K75),"")</f>
        <v/>
      </c>
      <c r="G75" s="17" t="str">
        <f>IFERROR(INDEX(Personnel[Egtim durumu],$K75),"")</f>
        <v/>
      </c>
      <c r="H75" s="17" t="str">
        <f>IFERROR(INDEX(Personnel[Shohruh Not],$K75),"")</f>
        <v/>
      </c>
      <c r="I75" s="18" t="str">
        <f>IFERROR(INDEX(Personnel[Дней в РФ],$K75),"")</f>
        <v/>
      </c>
      <c r="K75" s="23" t="str">
        <f t="array" ref="K75">IFERROR(_xlfn.AGGREGATE(15,6,(ROW(Personnel[Egtim durumu])-MIN(ROW(Personnel[Egtim durumu]))+1)/((Personnel[Egtim durumu]="Egitime alinacak")),ROWS($K$7:K75)),"")</f>
        <v/>
      </c>
    </row>
    <row r="76" spans="1:11" x14ac:dyDescent="0.25">
      <c r="A76" s="44" t="str">
        <f>IFERROR(INDEX(Personnel[Sicil],$K76),"")</f>
        <v/>
      </c>
      <c r="B76" s="45" t="str">
        <f>IFERROR(INDEX(Personnel[Adi Soyadi],$K76),"")</f>
        <v/>
      </c>
      <c r="C76" s="44" t="str">
        <f>IFERROR(INDEX(Personnel[Vatandaslik],$K76),"")</f>
        <v/>
      </c>
      <c r="D76" s="44" t="str">
        <f>IFERROR(INDEX(Personnel[Santiye],$K76),"")</f>
        <v/>
      </c>
      <c r="E76" s="44" t="str">
        <f>IFERROR(INDEX(Personnel[Ogretmen],$K76),"")</f>
        <v/>
      </c>
      <c r="F76" s="45" t="str">
        <f>IFERROR(INDEX(Personnel[[Sinav ]],$K76),"")</f>
        <v/>
      </c>
      <c r="G76" s="45" t="str">
        <f>IFERROR(INDEX(Personnel[Egtim durumu],$K76),"")</f>
        <v/>
      </c>
      <c r="H76" s="45" t="str">
        <f>IFERROR(INDEX(Personnel[Shohruh Not],$K76),"")</f>
        <v/>
      </c>
      <c r="I76" s="44" t="str">
        <f>IFERROR(INDEX(Personnel[Дней в РФ],$K76),"")</f>
        <v/>
      </c>
      <c r="K76" s="23" t="str">
        <f t="array" ref="K76">IFERROR(_xlfn.AGGREGATE(15,6,(ROW(Personnel[Egtim durumu])-MIN(ROW(Personnel[Egtim durumu]))+1)/((Personnel[Egtim durumu]="Egitime alinacak")),ROWS($K$7:K76)),"")</f>
        <v/>
      </c>
    </row>
    <row r="77" spans="1:11" x14ac:dyDescent="0.25">
      <c r="A77" s="18" t="str">
        <f>IFERROR(INDEX(Personnel[Sicil],$K77),"")</f>
        <v/>
      </c>
      <c r="B77" s="17" t="str">
        <f>IFERROR(INDEX(Personnel[Adi Soyadi],$K77),"")</f>
        <v/>
      </c>
      <c r="C77" s="18" t="str">
        <f>IFERROR(INDEX(Personnel[Vatandaslik],$K77),"")</f>
        <v/>
      </c>
      <c r="D77" s="18" t="str">
        <f>IFERROR(INDEX(Personnel[Santiye],$K77),"")</f>
        <v/>
      </c>
      <c r="E77" s="18" t="str">
        <f>IFERROR(INDEX(Personnel[Ogretmen],$K77),"")</f>
        <v/>
      </c>
      <c r="F77" s="17" t="str">
        <f>IFERROR(INDEX(Personnel[[Sinav ]],$K77),"")</f>
        <v/>
      </c>
      <c r="G77" s="17" t="str">
        <f>IFERROR(INDEX(Personnel[Egtim durumu],$K77),"")</f>
        <v/>
      </c>
      <c r="H77" s="17" t="str">
        <f>IFERROR(INDEX(Personnel[Shohruh Not],$K77),"")</f>
        <v/>
      </c>
      <c r="I77" s="18" t="str">
        <f>IFERROR(INDEX(Personnel[Дней в РФ],$K77),"")</f>
        <v/>
      </c>
      <c r="K77" s="23" t="str">
        <f t="array" ref="K77">IFERROR(_xlfn.AGGREGATE(15,6,(ROW(Personnel[Egtim durumu])-MIN(ROW(Personnel[Egtim durumu]))+1)/((Personnel[Egtim durumu]="Egitime alinacak")),ROWS($K$7:K77)),"")</f>
        <v/>
      </c>
    </row>
    <row r="78" spans="1:11" x14ac:dyDescent="0.25">
      <c r="A78" s="44" t="str">
        <f>IFERROR(INDEX(Personnel[Sicil],$K78),"")</f>
        <v/>
      </c>
      <c r="B78" s="45" t="str">
        <f>IFERROR(INDEX(Personnel[Adi Soyadi],$K78),"")</f>
        <v/>
      </c>
      <c r="C78" s="44" t="str">
        <f>IFERROR(INDEX(Personnel[Vatandaslik],$K78),"")</f>
        <v/>
      </c>
      <c r="D78" s="44" t="str">
        <f>IFERROR(INDEX(Personnel[Santiye],$K78),"")</f>
        <v/>
      </c>
      <c r="E78" s="44" t="str">
        <f>IFERROR(INDEX(Personnel[Ogretmen],$K78),"")</f>
        <v/>
      </c>
      <c r="F78" s="45" t="str">
        <f>IFERROR(INDEX(Personnel[[Sinav ]],$K78),"")</f>
        <v/>
      </c>
      <c r="G78" s="45" t="str">
        <f>IFERROR(INDEX(Personnel[Egtim durumu],$K78),"")</f>
        <v/>
      </c>
      <c r="H78" s="45" t="str">
        <f>IFERROR(INDEX(Personnel[Shohruh Not],$K78),"")</f>
        <v/>
      </c>
      <c r="I78" s="44" t="str">
        <f>IFERROR(INDEX(Personnel[Дней в РФ],$K78),"")</f>
        <v/>
      </c>
      <c r="K78" s="23" t="str">
        <f t="array" ref="K78">IFERROR(_xlfn.AGGREGATE(15,6,(ROW(Personnel[Egtim durumu])-MIN(ROW(Personnel[Egtim durumu]))+1)/((Personnel[Egtim durumu]="Egitime alinacak")),ROWS($K$7:K78)),"")</f>
        <v/>
      </c>
    </row>
    <row r="79" spans="1:11" x14ac:dyDescent="0.25">
      <c r="A79" s="18" t="str">
        <f>IFERROR(INDEX(Personnel[Sicil],$K79),"")</f>
        <v/>
      </c>
      <c r="B79" s="17" t="str">
        <f>IFERROR(INDEX(Personnel[Adi Soyadi],$K79),"")</f>
        <v/>
      </c>
      <c r="C79" s="18" t="str">
        <f>IFERROR(INDEX(Personnel[Vatandaslik],$K79),"")</f>
        <v/>
      </c>
      <c r="D79" s="18" t="str">
        <f>IFERROR(INDEX(Personnel[Santiye],$K79),"")</f>
        <v/>
      </c>
      <c r="E79" s="18" t="str">
        <f>IFERROR(INDEX(Personnel[Ogretmen],$K79),"")</f>
        <v/>
      </c>
      <c r="F79" s="17" t="str">
        <f>IFERROR(INDEX(Personnel[[Sinav ]],$K79),"")</f>
        <v/>
      </c>
      <c r="G79" s="17" t="str">
        <f>IFERROR(INDEX(Personnel[Egtim durumu],$K79),"")</f>
        <v/>
      </c>
      <c r="H79" s="17" t="str">
        <f>IFERROR(INDEX(Personnel[Shohruh Not],$K79),"")</f>
        <v/>
      </c>
      <c r="I79" s="18" t="str">
        <f>IFERROR(INDEX(Personnel[Дней в РФ],$K79),"")</f>
        <v/>
      </c>
      <c r="K79" s="23" t="str">
        <f t="array" ref="K79">IFERROR(_xlfn.AGGREGATE(15,6,(ROW(Personnel[Egtim durumu])-MIN(ROW(Personnel[Egtim durumu]))+1)/((Personnel[Egtim durumu]="Egitime alinacak")),ROWS($K$7:K79)),"")</f>
        <v/>
      </c>
    </row>
    <row r="80" spans="1:11" x14ac:dyDescent="0.25">
      <c r="A80" s="44" t="str">
        <f>IFERROR(INDEX(Personnel[Sicil],$K80),"")</f>
        <v/>
      </c>
      <c r="B80" s="45" t="str">
        <f>IFERROR(INDEX(Personnel[Adi Soyadi],$K80),"")</f>
        <v/>
      </c>
      <c r="C80" s="44" t="str">
        <f>IFERROR(INDEX(Personnel[Vatandaslik],$K80),"")</f>
        <v/>
      </c>
      <c r="D80" s="44" t="str">
        <f>IFERROR(INDEX(Personnel[Santiye],$K80),"")</f>
        <v/>
      </c>
      <c r="E80" s="44" t="str">
        <f>IFERROR(INDEX(Personnel[Ogretmen],$K80),"")</f>
        <v/>
      </c>
      <c r="F80" s="45" t="str">
        <f>IFERROR(INDEX(Personnel[[Sinav ]],$K80),"")</f>
        <v/>
      </c>
      <c r="G80" s="45" t="str">
        <f>IFERROR(INDEX(Personnel[Egtim durumu],$K80),"")</f>
        <v/>
      </c>
      <c r="H80" s="45" t="str">
        <f>IFERROR(INDEX(Personnel[Shohruh Not],$K80),"")</f>
        <v/>
      </c>
      <c r="I80" s="44" t="str">
        <f>IFERROR(INDEX(Personnel[Дней в РФ],$K80),"")</f>
        <v/>
      </c>
      <c r="K80" s="23" t="str">
        <f t="array" ref="K80">IFERROR(_xlfn.AGGREGATE(15,6,(ROW(Personnel[Egtim durumu])-MIN(ROW(Personnel[Egtim durumu]))+1)/((Personnel[Egtim durumu]="Egitime alinacak")),ROWS($K$7:K80)),"")</f>
        <v/>
      </c>
    </row>
    <row r="81" spans="1:11" x14ac:dyDescent="0.25">
      <c r="A81" s="18" t="str">
        <f>IFERROR(INDEX(Personnel[Sicil],$K81),"")</f>
        <v/>
      </c>
      <c r="B81" s="17" t="str">
        <f>IFERROR(INDEX(Personnel[Adi Soyadi],$K81),"")</f>
        <v/>
      </c>
      <c r="C81" s="18" t="str">
        <f>IFERROR(INDEX(Personnel[Vatandaslik],$K81),"")</f>
        <v/>
      </c>
      <c r="D81" s="18" t="str">
        <f>IFERROR(INDEX(Personnel[Santiye],$K81),"")</f>
        <v/>
      </c>
      <c r="E81" s="18" t="str">
        <f>IFERROR(INDEX(Personnel[Ogretmen],$K81),"")</f>
        <v/>
      </c>
      <c r="F81" s="17" t="str">
        <f>IFERROR(INDEX(Personnel[[Sinav ]],$K81),"")</f>
        <v/>
      </c>
      <c r="G81" s="17" t="str">
        <f>IFERROR(INDEX(Personnel[Egtim durumu],$K81),"")</f>
        <v/>
      </c>
      <c r="H81" s="17" t="str">
        <f>IFERROR(INDEX(Personnel[Shohruh Not],$K81),"")</f>
        <v/>
      </c>
      <c r="I81" s="18" t="str">
        <f>IFERROR(INDEX(Personnel[Дней в РФ],$K81),"")</f>
        <v/>
      </c>
      <c r="K81" s="23" t="str">
        <f t="array" ref="K81">IFERROR(_xlfn.AGGREGATE(15,6,(ROW(Personnel[Egtim durumu])-MIN(ROW(Personnel[Egtim durumu]))+1)/((Personnel[Egtim durumu]="Egitime alinacak")),ROWS($K$7:K81)),"")</f>
        <v/>
      </c>
    </row>
    <row r="82" spans="1:11" x14ac:dyDescent="0.25">
      <c r="A82" s="44" t="str">
        <f>IFERROR(INDEX(Personnel[Sicil],$K82),"")</f>
        <v/>
      </c>
      <c r="B82" s="45" t="str">
        <f>IFERROR(INDEX(Personnel[Adi Soyadi],$K82),"")</f>
        <v/>
      </c>
      <c r="C82" s="44" t="str">
        <f>IFERROR(INDEX(Personnel[Vatandaslik],$K82),"")</f>
        <v/>
      </c>
      <c r="D82" s="44" t="str">
        <f>IFERROR(INDEX(Personnel[Santiye],$K82),"")</f>
        <v/>
      </c>
      <c r="E82" s="44" t="str">
        <f>IFERROR(INDEX(Personnel[Ogretmen],$K82),"")</f>
        <v/>
      </c>
      <c r="F82" s="45" t="str">
        <f>IFERROR(INDEX(Personnel[[Sinav ]],$K82),"")</f>
        <v/>
      </c>
      <c r="G82" s="45" t="str">
        <f>IFERROR(INDEX(Personnel[Egtim durumu],$K82),"")</f>
        <v/>
      </c>
      <c r="H82" s="45" t="str">
        <f>IFERROR(INDEX(Personnel[Shohruh Not],$K82),"")</f>
        <v/>
      </c>
      <c r="I82" s="44" t="str">
        <f>IFERROR(INDEX(Personnel[Дней в РФ],$K82),"")</f>
        <v/>
      </c>
      <c r="K82" s="23" t="str">
        <f t="array" ref="K82">IFERROR(_xlfn.AGGREGATE(15,6,(ROW(Personnel[Egtim durumu])-MIN(ROW(Personnel[Egtim durumu]))+1)/((Personnel[Egtim durumu]="Egitime alinacak")),ROWS($K$7:K82)),"")</f>
        <v/>
      </c>
    </row>
    <row r="83" spans="1:11" x14ac:dyDescent="0.25">
      <c r="A83" s="18" t="str">
        <f>IFERROR(INDEX(Personnel[Sicil],$K83),"")</f>
        <v/>
      </c>
      <c r="B83" s="17" t="str">
        <f>IFERROR(INDEX(Personnel[Adi Soyadi],$K83),"")</f>
        <v/>
      </c>
      <c r="C83" s="18" t="str">
        <f>IFERROR(INDEX(Personnel[Vatandaslik],$K83),"")</f>
        <v/>
      </c>
      <c r="D83" s="18" t="str">
        <f>IFERROR(INDEX(Personnel[Santiye],$K83),"")</f>
        <v/>
      </c>
      <c r="E83" s="18" t="str">
        <f>IFERROR(INDEX(Personnel[Ogretmen],$K83),"")</f>
        <v/>
      </c>
      <c r="F83" s="17" t="str">
        <f>IFERROR(INDEX(Personnel[[Sinav ]],$K83),"")</f>
        <v/>
      </c>
      <c r="G83" s="17" t="str">
        <f>IFERROR(INDEX(Personnel[Egtim durumu],$K83),"")</f>
        <v/>
      </c>
      <c r="H83" s="17" t="str">
        <f>IFERROR(INDEX(Personnel[Shohruh Not],$K83),"")</f>
        <v/>
      </c>
      <c r="I83" s="18" t="str">
        <f>IFERROR(INDEX(Personnel[Дней в РФ],$K83),"")</f>
        <v/>
      </c>
      <c r="K83" s="23" t="str">
        <f t="array" ref="K83">IFERROR(_xlfn.AGGREGATE(15,6,(ROW(Personnel[Egtim durumu])-MIN(ROW(Personnel[Egtim durumu]))+1)/((Personnel[Egtim durumu]="Egitime alinacak")),ROWS($K$7:K83)),"")</f>
        <v/>
      </c>
    </row>
    <row r="84" spans="1:11" x14ac:dyDescent="0.25">
      <c r="A84" s="44" t="str">
        <f>IFERROR(INDEX(Personnel[Sicil],$K84),"")</f>
        <v/>
      </c>
      <c r="B84" s="45" t="str">
        <f>IFERROR(INDEX(Personnel[Adi Soyadi],$K84),"")</f>
        <v/>
      </c>
      <c r="C84" s="44" t="str">
        <f>IFERROR(INDEX(Personnel[Vatandaslik],$K84),"")</f>
        <v/>
      </c>
      <c r="D84" s="44" t="str">
        <f>IFERROR(INDEX(Personnel[Santiye],$K84),"")</f>
        <v/>
      </c>
      <c r="E84" s="44" t="str">
        <f>IFERROR(INDEX(Personnel[Ogretmen],$K84),"")</f>
        <v/>
      </c>
      <c r="F84" s="45" t="str">
        <f>IFERROR(INDEX(Personnel[[Sinav ]],$K84),"")</f>
        <v/>
      </c>
      <c r="G84" s="45" t="str">
        <f>IFERROR(INDEX(Personnel[Egtim durumu],$K84),"")</f>
        <v/>
      </c>
      <c r="H84" s="45" t="str">
        <f>IFERROR(INDEX(Personnel[Shohruh Not],$K84),"")</f>
        <v/>
      </c>
      <c r="I84" s="44" t="str">
        <f>IFERROR(INDEX(Personnel[Дней в РФ],$K84),"")</f>
        <v/>
      </c>
      <c r="K84" s="23" t="str">
        <f t="array" ref="K84">IFERROR(_xlfn.AGGREGATE(15,6,(ROW(Personnel[Egtim durumu])-MIN(ROW(Personnel[Egtim durumu]))+1)/((Personnel[Egtim durumu]="Egitime alinacak")),ROWS($K$7:K84)),"")</f>
        <v/>
      </c>
    </row>
    <row r="85" spans="1:11" x14ac:dyDescent="0.25">
      <c r="A85" s="18" t="str">
        <f>IFERROR(INDEX(Personnel[Sicil],$K85),"")</f>
        <v/>
      </c>
      <c r="B85" s="17" t="str">
        <f>IFERROR(INDEX(Personnel[Adi Soyadi],$K85),"")</f>
        <v/>
      </c>
      <c r="C85" s="18" t="str">
        <f>IFERROR(INDEX(Personnel[Vatandaslik],$K85),"")</f>
        <v/>
      </c>
      <c r="D85" s="18" t="str">
        <f>IFERROR(INDEX(Personnel[Santiye],$K85),"")</f>
        <v/>
      </c>
      <c r="E85" s="18" t="str">
        <f>IFERROR(INDEX(Personnel[Ogretmen],$K85),"")</f>
        <v/>
      </c>
      <c r="F85" s="17" t="str">
        <f>IFERROR(INDEX(Personnel[[Sinav ]],$K85),"")</f>
        <v/>
      </c>
      <c r="G85" s="17" t="str">
        <f>IFERROR(INDEX(Personnel[Egtim durumu],$K85),"")</f>
        <v/>
      </c>
      <c r="H85" s="17" t="str">
        <f>IFERROR(INDEX(Personnel[Shohruh Not],$K85),"")</f>
        <v/>
      </c>
      <c r="I85" s="18" t="str">
        <f>IFERROR(INDEX(Personnel[Дней в РФ],$K85),"")</f>
        <v/>
      </c>
      <c r="K85" s="23" t="str">
        <f t="array" ref="K85">IFERROR(_xlfn.AGGREGATE(15,6,(ROW(Personnel[Egtim durumu])-MIN(ROW(Personnel[Egtim durumu]))+1)/((Personnel[Egtim durumu]="Egitime alinacak")),ROWS($K$7:K85)),"")</f>
        <v/>
      </c>
    </row>
    <row r="86" spans="1:11" x14ac:dyDescent="0.25">
      <c r="A86" s="44" t="str">
        <f>IFERROR(INDEX(Personnel[Sicil],$K86),"")</f>
        <v/>
      </c>
      <c r="B86" s="45" t="str">
        <f>IFERROR(INDEX(Personnel[Adi Soyadi],$K86),"")</f>
        <v/>
      </c>
      <c r="C86" s="44" t="str">
        <f>IFERROR(INDEX(Personnel[Vatandaslik],$K86),"")</f>
        <v/>
      </c>
      <c r="D86" s="44" t="str">
        <f>IFERROR(INDEX(Personnel[Santiye],$K86),"")</f>
        <v/>
      </c>
      <c r="E86" s="44" t="str">
        <f>IFERROR(INDEX(Personnel[Ogretmen],$K86),"")</f>
        <v/>
      </c>
      <c r="F86" s="45" t="str">
        <f>IFERROR(INDEX(Personnel[[Sinav ]],$K86),"")</f>
        <v/>
      </c>
      <c r="G86" s="45" t="str">
        <f>IFERROR(INDEX(Personnel[Egtim durumu],$K86),"")</f>
        <v/>
      </c>
      <c r="H86" s="45" t="str">
        <f>IFERROR(INDEX(Personnel[Shohruh Not],$K86),"")</f>
        <v/>
      </c>
      <c r="I86" s="44" t="str">
        <f>IFERROR(INDEX(Personnel[Дней в РФ],$K86),"")</f>
        <v/>
      </c>
      <c r="K86" s="23" t="str">
        <f t="array" ref="K86">IFERROR(_xlfn.AGGREGATE(15,6,(ROW(Personnel[Egtim durumu])-MIN(ROW(Personnel[Egtim durumu]))+1)/((Personnel[Egtim durumu]="Egitime alinacak")),ROWS($K$7:K86)),"")</f>
        <v/>
      </c>
    </row>
    <row r="87" spans="1:11" x14ac:dyDescent="0.25">
      <c r="A87" s="18" t="str">
        <f>IFERROR(INDEX(Personnel[Sicil],$K87),"")</f>
        <v/>
      </c>
      <c r="B87" s="17" t="str">
        <f>IFERROR(INDEX(Personnel[Adi Soyadi],$K87),"")</f>
        <v/>
      </c>
      <c r="C87" s="18" t="str">
        <f>IFERROR(INDEX(Personnel[Vatandaslik],$K87),"")</f>
        <v/>
      </c>
      <c r="D87" s="18" t="str">
        <f>IFERROR(INDEX(Personnel[Santiye],$K87),"")</f>
        <v/>
      </c>
      <c r="E87" s="18" t="str">
        <f>IFERROR(INDEX(Personnel[Ogretmen],$K87),"")</f>
        <v/>
      </c>
      <c r="F87" s="17" t="str">
        <f>IFERROR(INDEX(Personnel[[Sinav ]],$K87),"")</f>
        <v/>
      </c>
      <c r="G87" s="17" t="str">
        <f>IFERROR(INDEX(Personnel[Egtim durumu],$K87),"")</f>
        <v/>
      </c>
      <c r="H87" s="17" t="str">
        <f>IFERROR(INDEX(Personnel[Shohruh Not],$K87),"")</f>
        <v/>
      </c>
      <c r="I87" s="18" t="str">
        <f>IFERROR(INDEX(Personnel[Дней в РФ],$K87),"")</f>
        <v/>
      </c>
      <c r="K87" s="23" t="str">
        <f t="array" ref="K87">IFERROR(_xlfn.AGGREGATE(15,6,(ROW(Personnel[Egtim durumu])-MIN(ROW(Personnel[Egtim durumu]))+1)/((Personnel[Egtim durumu]="Egitime alinacak")),ROWS($K$7:K87)),"")</f>
        <v/>
      </c>
    </row>
    <row r="88" spans="1:11" x14ac:dyDescent="0.25">
      <c r="A88" s="44" t="str">
        <f>IFERROR(INDEX(Personnel[Sicil],$K88),"")</f>
        <v/>
      </c>
      <c r="B88" s="45" t="str">
        <f>IFERROR(INDEX(Personnel[Adi Soyadi],$K88),"")</f>
        <v/>
      </c>
      <c r="C88" s="44" t="str">
        <f>IFERROR(INDEX(Personnel[Vatandaslik],$K88),"")</f>
        <v/>
      </c>
      <c r="D88" s="44" t="str">
        <f>IFERROR(INDEX(Personnel[Santiye],$K88),"")</f>
        <v/>
      </c>
      <c r="E88" s="44" t="str">
        <f>IFERROR(INDEX(Personnel[Ogretmen],$K88),"")</f>
        <v/>
      </c>
      <c r="F88" s="45" t="str">
        <f>IFERROR(INDEX(Personnel[[Sinav ]],$K88),"")</f>
        <v/>
      </c>
      <c r="G88" s="45" t="str">
        <f>IFERROR(INDEX(Personnel[Egtim durumu],$K88),"")</f>
        <v/>
      </c>
      <c r="H88" s="45" t="str">
        <f>IFERROR(INDEX(Personnel[Shohruh Not],$K88),"")</f>
        <v/>
      </c>
      <c r="I88" s="44" t="str">
        <f>IFERROR(INDEX(Personnel[Дней в РФ],$K88),"")</f>
        <v/>
      </c>
      <c r="K88" s="23" t="str">
        <f t="array" ref="K88">IFERROR(_xlfn.AGGREGATE(15,6,(ROW(Personnel[Egtim durumu])-MIN(ROW(Personnel[Egtim durumu]))+1)/((Personnel[Egtim durumu]="Egitime alinacak")),ROWS($K$7:K88)),"")</f>
        <v/>
      </c>
    </row>
    <row r="89" spans="1:11" x14ac:dyDescent="0.25">
      <c r="A89" s="18" t="str">
        <f>IFERROR(INDEX(Personnel[Sicil],$K89),"")</f>
        <v/>
      </c>
      <c r="B89" s="17" t="str">
        <f>IFERROR(INDEX(Personnel[Adi Soyadi],$K89),"")</f>
        <v/>
      </c>
      <c r="C89" s="18" t="str">
        <f>IFERROR(INDEX(Personnel[Vatandaslik],$K89),"")</f>
        <v/>
      </c>
      <c r="D89" s="18" t="str">
        <f>IFERROR(INDEX(Personnel[Santiye],$K89),"")</f>
        <v/>
      </c>
      <c r="E89" s="18" t="str">
        <f>IFERROR(INDEX(Personnel[Ogretmen],$K89),"")</f>
        <v/>
      </c>
      <c r="F89" s="17" t="str">
        <f>IFERROR(INDEX(Personnel[[Sinav ]],$K89),"")</f>
        <v/>
      </c>
      <c r="G89" s="17" t="str">
        <f>IFERROR(INDEX(Personnel[Egtim durumu],$K89),"")</f>
        <v/>
      </c>
      <c r="H89" s="17" t="str">
        <f>IFERROR(INDEX(Personnel[Shohruh Not],$K89),"")</f>
        <v/>
      </c>
      <c r="I89" s="18" t="str">
        <f>IFERROR(INDEX(Personnel[Дней в РФ],$K89),"")</f>
        <v/>
      </c>
      <c r="K89" s="23" t="str">
        <f t="array" ref="K89">IFERROR(_xlfn.AGGREGATE(15,6,(ROW(Personnel[Egtim durumu])-MIN(ROW(Personnel[Egtim durumu]))+1)/((Personnel[Egtim durumu]="Egitime alinacak")),ROWS($K$7:K89)),"")</f>
        <v/>
      </c>
    </row>
    <row r="90" spans="1:11" x14ac:dyDescent="0.25">
      <c r="A90" s="44" t="str">
        <f>IFERROR(INDEX(Personnel[Sicil],$K90),"")</f>
        <v/>
      </c>
      <c r="B90" s="45" t="str">
        <f>IFERROR(INDEX(Personnel[Adi Soyadi],$K90),"")</f>
        <v/>
      </c>
      <c r="C90" s="44" t="str">
        <f>IFERROR(INDEX(Personnel[Vatandaslik],$K90),"")</f>
        <v/>
      </c>
      <c r="D90" s="44" t="str">
        <f>IFERROR(INDEX(Personnel[Santiye],$K90),"")</f>
        <v/>
      </c>
      <c r="E90" s="44" t="str">
        <f>IFERROR(INDEX(Personnel[Ogretmen],$K90),"")</f>
        <v/>
      </c>
      <c r="F90" s="45" t="str">
        <f>IFERROR(INDEX(Personnel[[Sinav ]],$K90),"")</f>
        <v/>
      </c>
      <c r="G90" s="45" t="str">
        <f>IFERROR(INDEX(Personnel[Egtim durumu],$K90),"")</f>
        <v/>
      </c>
      <c r="H90" s="45" t="str">
        <f>IFERROR(INDEX(Personnel[Shohruh Not],$K90),"")</f>
        <v/>
      </c>
      <c r="I90" s="44" t="str">
        <f>IFERROR(INDEX(Personnel[Дней в РФ],$K90),"")</f>
        <v/>
      </c>
      <c r="K90" s="23" t="str">
        <f t="array" ref="K90">IFERROR(_xlfn.AGGREGATE(15,6,(ROW(Personnel[Egtim durumu])-MIN(ROW(Personnel[Egtim durumu]))+1)/((Personnel[Egtim durumu]="Egitime alinacak")),ROWS($K$7:K90)),"")</f>
        <v/>
      </c>
    </row>
    <row r="91" spans="1:11" x14ac:dyDescent="0.25">
      <c r="A91" s="18" t="str">
        <f>IFERROR(INDEX(Personnel[Sicil],$K91),"")</f>
        <v/>
      </c>
      <c r="B91" s="17" t="str">
        <f>IFERROR(INDEX(Personnel[Adi Soyadi],$K91),"")</f>
        <v/>
      </c>
      <c r="C91" s="18" t="str">
        <f>IFERROR(INDEX(Personnel[Vatandaslik],$K91),"")</f>
        <v/>
      </c>
      <c r="D91" s="18" t="str">
        <f>IFERROR(INDEX(Personnel[Santiye],$K91),"")</f>
        <v/>
      </c>
      <c r="E91" s="18" t="str">
        <f>IFERROR(INDEX(Personnel[Ogretmen],$K91),"")</f>
        <v/>
      </c>
      <c r="F91" s="17" t="str">
        <f>IFERROR(INDEX(Personnel[[Sinav ]],$K91),"")</f>
        <v/>
      </c>
      <c r="G91" s="17" t="str">
        <f>IFERROR(INDEX(Personnel[Egtim durumu],$K91),"")</f>
        <v/>
      </c>
      <c r="H91" s="17" t="str">
        <f>IFERROR(INDEX(Personnel[Shohruh Not],$K91),"")</f>
        <v/>
      </c>
      <c r="I91" s="18" t="str">
        <f>IFERROR(INDEX(Personnel[Дней в РФ],$K91),"")</f>
        <v/>
      </c>
      <c r="K91" s="23" t="str">
        <f t="array" ref="K91">IFERROR(_xlfn.AGGREGATE(15,6,(ROW(Personnel[Egtim durumu])-MIN(ROW(Personnel[Egtim durumu]))+1)/((Personnel[Egtim durumu]="Egitime alinacak")),ROWS($K$7:K91)),"")</f>
        <v/>
      </c>
    </row>
    <row r="92" spans="1:11" x14ac:dyDescent="0.25">
      <c r="A92" s="44" t="str">
        <f>IFERROR(INDEX(Personnel[Sicil],$K92),"")</f>
        <v/>
      </c>
      <c r="B92" s="45" t="str">
        <f>IFERROR(INDEX(Personnel[Adi Soyadi],$K92),"")</f>
        <v/>
      </c>
      <c r="C92" s="44" t="str">
        <f>IFERROR(INDEX(Personnel[Vatandaslik],$K92),"")</f>
        <v/>
      </c>
      <c r="D92" s="44" t="str">
        <f>IFERROR(INDEX(Personnel[Santiye],$K92),"")</f>
        <v/>
      </c>
      <c r="E92" s="44" t="str">
        <f>IFERROR(INDEX(Personnel[Ogretmen],$K92),"")</f>
        <v/>
      </c>
      <c r="F92" s="45" t="str">
        <f>IFERROR(INDEX(Personnel[[Sinav ]],$K92),"")</f>
        <v/>
      </c>
      <c r="G92" s="45" t="str">
        <f>IFERROR(INDEX(Personnel[Egtim durumu],$K92),"")</f>
        <v/>
      </c>
      <c r="H92" s="45" t="str">
        <f>IFERROR(INDEX(Personnel[Shohruh Not],$K92),"")</f>
        <v/>
      </c>
      <c r="I92" s="44" t="str">
        <f>IFERROR(INDEX(Personnel[Дней в РФ],$K92),"")</f>
        <v/>
      </c>
      <c r="K92" s="23" t="str">
        <f t="array" ref="K92">IFERROR(_xlfn.AGGREGATE(15,6,(ROW(Personnel[Egtim durumu])-MIN(ROW(Personnel[Egtim durumu]))+1)/((Personnel[Egtim durumu]="Egitime alinacak")),ROWS($K$7:K92)),"")</f>
        <v/>
      </c>
    </row>
    <row r="93" spans="1:11" x14ac:dyDescent="0.25">
      <c r="A93" s="18" t="str">
        <f>IFERROR(INDEX(Personnel[Sicil],$K93),"")</f>
        <v/>
      </c>
      <c r="B93" s="17" t="str">
        <f>IFERROR(INDEX(Personnel[Adi Soyadi],$K93),"")</f>
        <v/>
      </c>
      <c r="C93" s="18" t="str">
        <f>IFERROR(INDEX(Personnel[Vatandaslik],$K93),"")</f>
        <v/>
      </c>
      <c r="D93" s="18" t="str">
        <f>IFERROR(INDEX(Personnel[Santiye],$K93),"")</f>
        <v/>
      </c>
      <c r="E93" s="18" t="str">
        <f>IFERROR(INDEX(Personnel[Ogretmen],$K93),"")</f>
        <v/>
      </c>
      <c r="F93" s="17" t="str">
        <f>IFERROR(INDEX(Personnel[[Sinav ]],$K93),"")</f>
        <v/>
      </c>
      <c r="G93" s="17" t="str">
        <f>IFERROR(INDEX(Personnel[Egtim durumu],$K93),"")</f>
        <v/>
      </c>
      <c r="H93" s="17" t="str">
        <f>IFERROR(INDEX(Personnel[Shohruh Not],$K93),"")</f>
        <v/>
      </c>
      <c r="I93" s="18" t="str">
        <f>IFERROR(INDEX(Personnel[Дней в РФ],$K93),"")</f>
        <v/>
      </c>
      <c r="K93" s="23" t="str">
        <f t="array" ref="K93">IFERROR(_xlfn.AGGREGATE(15,6,(ROW(Personnel[Egtim durumu])-MIN(ROW(Personnel[Egtim durumu]))+1)/((Personnel[Egtim durumu]="Egitime alinacak")),ROWS($K$7:K93)),"")</f>
        <v/>
      </c>
    </row>
    <row r="94" spans="1:11" x14ac:dyDescent="0.25">
      <c r="A94" s="44" t="str">
        <f>IFERROR(INDEX(Personnel[Sicil],$K94),"")</f>
        <v/>
      </c>
      <c r="B94" s="45" t="str">
        <f>IFERROR(INDEX(Personnel[Adi Soyadi],$K94),"")</f>
        <v/>
      </c>
      <c r="C94" s="44" t="str">
        <f>IFERROR(INDEX(Personnel[Vatandaslik],$K94),"")</f>
        <v/>
      </c>
      <c r="D94" s="44" t="str">
        <f>IFERROR(INDEX(Personnel[Santiye],$K94),"")</f>
        <v/>
      </c>
      <c r="E94" s="44" t="str">
        <f>IFERROR(INDEX(Personnel[Ogretmen],$K94),"")</f>
        <v/>
      </c>
      <c r="F94" s="45" t="str">
        <f>IFERROR(INDEX(Personnel[[Sinav ]],$K94),"")</f>
        <v/>
      </c>
      <c r="G94" s="45" t="str">
        <f>IFERROR(INDEX(Personnel[Egtim durumu],$K94),"")</f>
        <v/>
      </c>
      <c r="H94" s="45" t="str">
        <f>IFERROR(INDEX(Personnel[Shohruh Not],$K94),"")</f>
        <v/>
      </c>
      <c r="I94" s="44" t="str">
        <f>IFERROR(INDEX(Personnel[Дней в РФ],$K94),"")</f>
        <v/>
      </c>
      <c r="K94" s="23" t="str">
        <f t="array" ref="K94">IFERROR(_xlfn.AGGREGATE(15,6,(ROW(Personnel[Egtim durumu])-MIN(ROW(Personnel[Egtim durumu]))+1)/((Personnel[Egtim durumu]="Egitime alinacak")),ROWS($K$7:K94)),"")</f>
        <v/>
      </c>
    </row>
    <row r="95" spans="1:11" x14ac:dyDescent="0.25">
      <c r="A95" s="18" t="str">
        <f>IFERROR(INDEX(Personnel[Sicil],$K95),"")</f>
        <v/>
      </c>
      <c r="B95" s="17" t="str">
        <f>IFERROR(INDEX(Personnel[Adi Soyadi],$K95),"")</f>
        <v/>
      </c>
      <c r="C95" s="18" t="str">
        <f>IFERROR(INDEX(Personnel[Vatandaslik],$K95),"")</f>
        <v/>
      </c>
      <c r="D95" s="18" t="str">
        <f>IFERROR(INDEX(Personnel[Santiye],$K95),"")</f>
        <v/>
      </c>
      <c r="E95" s="18" t="str">
        <f>IFERROR(INDEX(Personnel[Ogretmen],$K95),"")</f>
        <v/>
      </c>
      <c r="F95" s="17" t="str">
        <f>IFERROR(INDEX(Personnel[[Sinav ]],$K95),"")</f>
        <v/>
      </c>
      <c r="G95" s="17" t="str">
        <f>IFERROR(INDEX(Personnel[Egtim durumu],$K95),"")</f>
        <v/>
      </c>
      <c r="H95" s="17" t="str">
        <f>IFERROR(INDEX(Personnel[Shohruh Not],$K95),"")</f>
        <v/>
      </c>
      <c r="I95" s="18" t="str">
        <f>IFERROR(INDEX(Personnel[Дней в РФ],$K95),"")</f>
        <v/>
      </c>
      <c r="K95" s="23" t="str">
        <f t="array" ref="K95">IFERROR(_xlfn.AGGREGATE(15,6,(ROW(Personnel[Egtim durumu])-MIN(ROW(Personnel[Egtim durumu]))+1)/((Personnel[Egtim durumu]="Egitime alinacak")),ROWS($K$7:K95)),"")</f>
        <v/>
      </c>
    </row>
    <row r="96" spans="1:11" x14ac:dyDescent="0.25">
      <c r="A96" s="44" t="str">
        <f>IFERROR(INDEX(Personnel[Sicil],$K96),"")</f>
        <v/>
      </c>
      <c r="B96" s="45" t="str">
        <f>IFERROR(INDEX(Personnel[Adi Soyadi],$K96),"")</f>
        <v/>
      </c>
      <c r="C96" s="44" t="str">
        <f>IFERROR(INDEX(Personnel[Vatandaslik],$K96),"")</f>
        <v/>
      </c>
      <c r="D96" s="44" t="str">
        <f>IFERROR(INDEX(Personnel[Santiye],$K96),"")</f>
        <v/>
      </c>
      <c r="E96" s="44" t="str">
        <f>IFERROR(INDEX(Personnel[Ogretmen],$K96),"")</f>
        <v/>
      </c>
      <c r="F96" s="45" t="str">
        <f>IFERROR(INDEX(Personnel[[Sinav ]],$K96),"")</f>
        <v/>
      </c>
      <c r="G96" s="45" t="str">
        <f>IFERROR(INDEX(Personnel[Egtim durumu],$K96),"")</f>
        <v/>
      </c>
      <c r="H96" s="45" t="str">
        <f>IFERROR(INDEX(Personnel[Shohruh Not],$K96),"")</f>
        <v/>
      </c>
      <c r="I96" s="44" t="str">
        <f>IFERROR(INDEX(Personnel[Дней в РФ],$K96),"")</f>
        <v/>
      </c>
      <c r="K96" s="23" t="str">
        <f t="array" ref="K96">IFERROR(_xlfn.AGGREGATE(15,6,(ROW(Personnel[Egtim durumu])-MIN(ROW(Personnel[Egtim durumu]))+1)/((Personnel[Egtim durumu]="Egitime alinacak")),ROWS($K$7:K96)),"")</f>
        <v/>
      </c>
    </row>
    <row r="97" spans="1:11" x14ac:dyDescent="0.25">
      <c r="A97" s="18" t="str">
        <f>IFERROR(INDEX(Personnel[Sicil],$K97),"")</f>
        <v/>
      </c>
      <c r="B97" s="17" t="str">
        <f>IFERROR(INDEX(Personnel[Adi Soyadi],$K97),"")</f>
        <v/>
      </c>
      <c r="C97" s="18" t="str">
        <f>IFERROR(INDEX(Personnel[Vatandaslik],$K97),"")</f>
        <v/>
      </c>
      <c r="D97" s="18" t="str">
        <f>IFERROR(INDEX(Personnel[Santiye],$K97),"")</f>
        <v/>
      </c>
      <c r="E97" s="18" t="str">
        <f>IFERROR(INDEX(Personnel[Ogretmen],$K97),"")</f>
        <v/>
      </c>
      <c r="F97" s="17" t="str">
        <f>IFERROR(INDEX(Personnel[[Sinav ]],$K97),"")</f>
        <v/>
      </c>
      <c r="G97" s="17" t="str">
        <f>IFERROR(INDEX(Personnel[Egtim durumu],$K97),"")</f>
        <v/>
      </c>
      <c r="H97" s="17" t="str">
        <f>IFERROR(INDEX(Personnel[Shohruh Not],$K97),"")</f>
        <v/>
      </c>
      <c r="I97" s="18" t="str">
        <f>IFERROR(INDEX(Personnel[Дней в РФ],$K97),"")</f>
        <v/>
      </c>
      <c r="K97" s="23" t="str">
        <f t="array" ref="K97">IFERROR(_xlfn.AGGREGATE(15,6,(ROW(Personnel[Egtim durumu])-MIN(ROW(Personnel[Egtim durumu]))+1)/((Personnel[Egtim durumu]="Egitime alinacak")),ROWS($K$7:K97)),"")</f>
        <v/>
      </c>
    </row>
    <row r="98" spans="1:11" x14ac:dyDescent="0.25">
      <c r="A98" s="44" t="str">
        <f>IFERROR(INDEX(Personnel[Sicil],$K98),"")</f>
        <v/>
      </c>
      <c r="B98" s="45" t="str">
        <f>IFERROR(INDEX(Personnel[Adi Soyadi],$K98),"")</f>
        <v/>
      </c>
      <c r="C98" s="44" t="str">
        <f>IFERROR(INDEX(Personnel[Vatandaslik],$K98),"")</f>
        <v/>
      </c>
      <c r="D98" s="44" t="str">
        <f>IFERROR(INDEX(Personnel[Santiye],$K98),"")</f>
        <v/>
      </c>
      <c r="E98" s="44" t="str">
        <f>IFERROR(INDEX(Personnel[Ogretmen],$K98),"")</f>
        <v/>
      </c>
      <c r="F98" s="45" t="str">
        <f>IFERROR(INDEX(Personnel[[Sinav ]],$K98),"")</f>
        <v/>
      </c>
      <c r="G98" s="45" t="str">
        <f>IFERROR(INDEX(Personnel[Egtim durumu],$K98),"")</f>
        <v/>
      </c>
      <c r="H98" s="45" t="str">
        <f>IFERROR(INDEX(Personnel[Shohruh Not],$K98),"")</f>
        <v/>
      </c>
      <c r="I98" s="44" t="str">
        <f>IFERROR(INDEX(Personnel[Дней в РФ],$K98),"")</f>
        <v/>
      </c>
      <c r="K98" s="23" t="str">
        <f t="array" ref="K98">IFERROR(_xlfn.AGGREGATE(15,6,(ROW(Personnel[Egtim durumu])-MIN(ROW(Personnel[Egtim durumu]))+1)/((Personnel[Egtim durumu]="Egitime alinacak")),ROWS($K$7:K98)),"")</f>
        <v/>
      </c>
    </row>
    <row r="99" spans="1:11" x14ac:dyDescent="0.25">
      <c r="A99" s="18" t="str">
        <f>IFERROR(INDEX(Personnel[Sicil],$K99),"")</f>
        <v/>
      </c>
      <c r="B99" s="17" t="str">
        <f>IFERROR(INDEX(Personnel[Adi Soyadi],$K99),"")</f>
        <v/>
      </c>
      <c r="C99" s="18" t="str">
        <f>IFERROR(INDEX(Personnel[Vatandaslik],$K99),"")</f>
        <v/>
      </c>
      <c r="D99" s="18" t="str">
        <f>IFERROR(INDEX(Personnel[Santiye],$K99),"")</f>
        <v/>
      </c>
      <c r="E99" s="18" t="str">
        <f>IFERROR(INDEX(Personnel[Ogretmen],$K99),"")</f>
        <v/>
      </c>
      <c r="F99" s="17" t="str">
        <f>IFERROR(INDEX(Personnel[[Sinav ]],$K99),"")</f>
        <v/>
      </c>
      <c r="G99" s="17" t="str">
        <f>IFERROR(INDEX(Personnel[Egtim durumu],$K99),"")</f>
        <v/>
      </c>
      <c r="H99" s="17" t="str">
        <f>IFERROR(INDEX(Personnel[Shohruh Not],$K99),"")</f>
        <v/>
      </c>
      <c r="I99" s="18" t="str">
        <f>IFERROR(INDEX(Personnel[Дней в РФ],$K99),"")</f>
        <v/>
      </c>
      <c r="K99" s="23" t="str">
        <f t="array" ref="K99">IFERROR(_xlfn.AGGREGATE(15,6,(ROW(Personnel[Egtim durumu])-MIN(ROW(Personnel[Egtim durumu]))+1)/((Personnel[Egtim durumu]="Egitime alinacak")),ROWS($K$7:K99)),"")</f>
        <v/>
      </c>
    </row>
    <row r="100" spans="1:11" x14ac:dyDescent="0.25">
      <c r="A100" s="44" t="str">
        <f>IFERROR(INDEX(Personnel[Sicil],$K100),"")</f>
        <v/>
      </c>
      <c r="B100" s="45" t="str">
        <f>IFERROR(INDEX(Personnel[Adi Soyadi],$K100),"")</f>
        <v/>
      </c>
      <c r="C100" s="44" t="str">
        <f>IFERROR(INDEX(Personnel[Vatandaslik],$K100),"")</f>
        <v/>
      </c>
      <c r="D100" s="44" t="str">
        <f>IFERROR(INDEX(Personnel[Santiye],$K100),"")</f>
        <v/>
      </c>
      <c r="E100" s="44" t="str">
        <f>IFERROR(INDEX(Personnel[Ogretmen],$K100),"")</f>
        <v/>
      </c>
      <c r="F100" s="45" t="str">
        <f>IFERROR(INDEX(Personnel[[Sinav ]],$K100),"")</f>
        <v/>
      </c>
      <c r="G100" s="45" t="str">
        <f>IFERROR(INDEX(Personnel[Egtim durumu],$K100),"")</f>
        <v/>
      </c>
      <c r="H100" s="45" t="str">
        <f>IFERROR(INDEX(Personnel[Shohruh Not],$K100),"")</f>
        <v/>
      </c>
      <c r="I100" s="44" t="str">
        <f>IFERROR(INDEX(Personnel[Дней в РФ],$K100),"")</f>
        <v/>
      </c>
      <c r="K100" s="23" t="str">
        <f t="array" ref="K100">IFERROR(_xlfn.AGGREGATE(15,6,(ROW(Personnel[Egtim durumu])-MIN(ROW(Personnel[Egtim durumu]))+1)/((Personnel[Egtim durumu]="Egitime alinacak")),ROWS($K$7:K100)),"")</f>
        <v/>
      </c>
    </row>
    <row r="101" spans="1:11" x14ac:dyDescent="0.25">
      <c r="A101" s="18" t="str">
        <f>IFERROR(INDEX(Personnel[Sicil],$K101),"")</f>
        <v/>
      </c>
      <c r="B101" s="17" t="str">
        <f>IFERROR(INDEX(Personnel[Adi Soyadi],$K101),"")</f>
        <v/>
      </c>
      <c r="C101" s="18" t="str">
        <f>IFERROR(INDEX(Personnel[Vatandaslik],$K101),"")</f>
        <v/>
      </c>
      <c r="D101" s="18" t="str">
        <f>IFERROR(INDEX(Personnel[Santiye],$K101),"")</f>
        <v/>
      </c>
      <c r="E101" s="18" t="str">
        <f>IFERROR(INDEX(Personnel[Ogretmen],$K101),"")</f>
        <v/>
      </c>
      <c r="F101" s="17" t="str">
        <f>IFERROR(INDEX(Personnel[[Sinav ]],$K101),"")</f>
        <v/>
      </c>
      <c r="G101" s="17" t="str">
        <f>IFERROR(INDEX(Personnel[Egtim durumu],$K101),"")</f>
        <v/>
      </c>
      <c r="H101" s="17" t="str">
        <f>IFERROR(INDEX(Personnel[Shohruh Not],$K101),"")</f>
        <v/>
      </c>
      <c r="I101" s="18" t="str">
        <f>IFERROR(INDEX(Personnel[Дней в РФ],$K101),"")</f>
        <v/>
      </c>
      <c r="K101" s="23" t="str">
        <f t="array" ref="K101">IFERROR(_xlfn.AGGREGATE(15,6,(ROW(Personnel[Egtim durumu])-MIN(ROW(Personnel[Egtim durumu]))+1)/((Personnel[Egtim durumu]="Egitime alinacak")),ROWS($K$7:K101)),"")</f>
        <v/>
      </c>
    </row>
    <row r="102" spans="1:11" x14ac:dyDescent="0.25">
      <c r="A102" s="44" t="str">
        <f>IFERROR(INDEX(Personnel[Sicil],$K102),"")</f>
        <v/>
      </c>
      <c r="B102" s="45" t="str">
        <f>IFERROR(INDEX(Personnel[Adi Soyadi],$K102),"")</f>
        <v/>
      </c>
      <c r="C102" s="44" t="str">
        <f>IFERROR(INDEX(Personnel[Vatandaslik],$K102),"")</f>
        <v/>
      </c>
      <c r="D102" s="44" t="str">
        <f>IFERROR(INDEX(Personnel[Santiye],$K102),"")</f>
        <v/>
      </c>
      <c r="E102" s="44" t="str">
        <f>IFERROR(INDEX(Personnel[Ogretmen],$K102),"")</f>
        <v/>
      </c>
      <c r="F102" s="45" t="str">
        <f>IFERROR(INDEX(Personnel[[Sinav ]],$K102),"")</f>
        <v/>
      </c>
      <c r="G102" s="45" t="str">
        <f>IFERROR(INDEX(Personnel[Egtim durumu],$K102),"")</f>
        <v/>
      </c>
      <c r="H102" s="45" t="str">
        <f>IFERROR(INDEX(Personnel[Shohruh Not],$K102),"")</f>
        <v/>
      </c>
      <c r="I102" s="44" t="str">
        <f>IFERROR(INDEX(Personnel[Дней в РФ],$K102),"")</f>
        <v/>
      </c>
      <c r="K102" s="23" t="str">
        <f t="array" ref="K102">IFERROR(_xlfn.AGGREGATE(15,6,(ROW(Personnel[Egtim durumu])-MIN(ROW(Personnel[Egtim durumu]))+1)/((Personnel[Egtim durumu]="Egitime alinacak")),ROWS($K$7:K102)),"")</f>
        <v/>
      </c>
    </row>
    <row r="103" spans="1:11" x14ac:dyDescent="0.25">
      <c r="A103" s="18" t="str">
        <f>IFERROR(INDEX(Personnel[Sicil],$K103),"")</f>
        <v/>
      </c>
      <c r="B103" s="17" t="str">
        <f>IFERROR(INDEX(Personnel[Adi Soyadi],$K103),"")</f>
        <v/>
      </c>
      <c r="C103" s="18" t="str">
        <f>IFERROR(INDEX(Personnel[Vatandaslik],$K103),"")</f>
        <v/>
      </c>
      <c r="D103" s="18" t="str">
        <f>IFERROR(INDEX(Personnel[Santiye],$K103),"")</f>
        <v/>
      </c>
      <c r="E103" s="18" t="str">
        <f>IFERROR(INDEX(Personnel[Ogretmen],$K103),"")</f>
        <v/>
      </c>
      <c r="F103" s="17" t="str">
        <f>IFERROR(INDEX(Personnel[[Sinav ]],$K103),"")</f>
        <v/>
      </c>
      <c r="G103" s="17" t="str">
        <f>IFERROR(INDEX(Personnel[Egtim durumu],$K103),"")</f>
        <v/>
      </c>
      <c r="H103" s="17" t="str">
        <f>IFERROR(INDEX(Personnel[Shohruh Not],$K103),"")</f>
        <v/>
      </c>
      <c r="I103" s="18" t="str">
        <f>IFERROR(INDEX(Personnel[Дней в РФ],$K103),"")</f>
        <v/>
      </c>
      <c r="K103" s="23" t="str">
        <f t="array" ref="K103">IFERROR(_xlfn.AGGREGATE(15,6,(ROW(Personnel[Egtim durumu])-MIN(ROW(Personnel[Egtim durumu]))+1)/((Personnel[Egtim durumu]="Egitime alinacak")),ROWS($K$7:K103)),"")</f>
        <v/>
      </c>
    </row>
    <row r="104" spans="1:11" x14ac:dyDescent="0.25">
      <c r="A104" s="44" t="str">
        <f>IFERROR(INDEX(Personnel[Sicil],$K104),"")</f>
        <v/>
      </c>
      <c r="B104" s="45" t="str">
        <f>IFERROR(INDEX(Personnel[Adi Soyadi],$K104),"")</f>
        <v/>
      </c>
      <c r="C104" s="44" t="str">
        <f>IFERROR(INDEX(Personnel[Vatandaslik],$K104),"")</f>
        <v/>
      </c>
      <c r="D104" s="44" t="str">
        <f>IFERROR(INDEX(Personnel[Santiye],$K104),"")</f>
        <v/>
      </c>
      <c r="E104" s="44" t="str">
        <f>IFERROR(INDEX(Personnel[Ogretmen],$K104),"")</f>
        <v/>
      </c>
      <c r="F104" s="45" t="str">
        <f>IFERROR(INDEX(Personnel[[Sinav ]],$K104),"")</f>
        <v/>
      </c>
      <c r="G104" s="45" t="str">
        <f>IFERROR(INDEX(Personnel[Egtim durumu],$K104),"")</f>
        <v/>
      </c>
      <c r="H104" s="45" t="str">
        <f>IFERROR(INDEX(Personnel[Shohruh Not],$K104),"")</f>
        <v/>
      </c>
      <c r="I104" s="44" t="str">
        <f>IFERROR(INDEX(Personnel[Дней в РФ],$K104),"")</f>
        <v/>
      </c>
      <c r="K104" s="23" t="str">
        <f t="array" ref="K104">IFERROR(_xlfn.AGGREGATE(15,6,(ROW(Personnel[Egtim durumu])-MIN(ROW(Personnel[Egtim durumu]))+1)/((Personnel[Egtim durumu]="Egitime alinacak")),ROWS($K$7:K104)),"")</f>
        <v/>
      </c>
    </row>
    <row r="105" spans="1:11" x14ac:dyDescent="0.25">
      <c r="A105" s="18" t="str">
        <f>IFERROR(INDEX(Personnel[Sicil],$K105),"")</f>
        <v/>
      </c>
      <c r="B105" s="17" t="str">
        <f>IFERROR(INDEX(Personnel[Adi Soyadi],$K105),"")</f>
        <v/>
      </c>
      <c r="C105" s="18" t="str">
        <f>IFERROR(INDEX(Personnel[Vatandaslik],$K105),"")</f>
        <v/>
      </c>
      <c r="D105" s="18" t="str">
        <f>IFERROR(INDEX(Personnel[Santiye],$K105),"")</f>
        <v/>
      </c>
      <c r="E105" s="18" t="str">
        <f>IFERROR(INDEX(Personnel[Ogretmen],$K105),"")</f>
        <v/>
      </c>
      <c r="F105" s="17" t="str">
        <f>IFERROR(INDEX(Personnel[[Sinav ]],$K105),"")</f>
        <v/>
      </c>
      <c r="G105" s="17" t="str">
        <f>IFERROR(INDEX(Personnel[Egtim durumu],$K105),"")</f>
        <v/>
      </c>
      <c r="H105" s="17" t="str">
        <f>IFERROR(INDEX(Personnel[Shohruh Not],$K105),"")</f>
        <v/>
      </c>
      <c r="I105" s="18" t="str">
        <f>IFERROR(INDEX(Personnel[Дней в РФ],$K105),"")</f>
        <v/>
      </c>
      <c r="K105" s="23" t="str">
        <f t="array" ref="K105">IFERROR(_xlfn.AGGREGATE(15,6,(ROW(Personnel[Egtim durumu])-MIN(ROW(Personnel[Egtim durumu]))+1)/((Personnel[Egtim durumu]="Egitime alinacak")),ROWS($K$7:K105)),"")</f>
        <v/>
      </c>
    </row>
    <row r="106" spans="1:11" x14ac:dyDescent="0.25">
      <c r="A106" s="44" t="str">
        <f>IFERROR(INDEX(Personnel[Sicil],$K106),"")</f>
        <v/>
      </c>
      <c r="B106" s="45" t="str">
        <f>IFERROR(INDEX(Personnel[Adi Soyadi],$K106),"")</f>
        <v/>
      </c>
      <c r="C106" s="44" t="str">
        <f>IFERROR(INDEX(Personnel[Vatandaslik],$K106),"")</f>
        <v/>
      </c>
      <c r="D106" s="44" t="str">
        <f>IFERROR(INDEX(Personnel[Santiye],$K106),"")</f>
        <v/>
      </c>
      <c r="E106" s="44" t="str">
        <f>IFERROR(INDEX(Personnel[Ogretmen],$K106),"")</f>
        <v/>
      </c>
      <c r="F106" s="45" t="str">
        <f>IFERROR(INDEX(Personnel[[Sinav ]],$K106),"")</f>
        <v/>
      </c>
      <c r="G106" s="45" t="str">
        <f>IFERROR(INDEX(Personnel[Egtim durumu],$K106),"")</f>
        <v/>
      </c>
      <c r="H106" s="45" t="str">
        <f>IFERROR(INDEX(Personnel[Shohruh Not],$K106),"")</f>
        <v/>
      </c>
      <c r="I106" s="44" t="str">
        <f>IFERROR(INDEX(Personnel[Дней в РФ],$K106),"")</f>
        <v/>
      </c>
      <c r="K106" s="23" t="str">
        <f t="array" ref="K106">IFERROR(_xlfn.AGGREGATE(15,6,(ROW(Personnel[Egtim durumu])-MIN(ROW(Personnel[Egtim durumu]))+1)/((Personnel[Egtim durumu]="Egitime alinacak")),ROWS($K$7:K106)),"")</f>
        <v/>
      </c>
    </row>
  </sheetData>
  <mergeCells count="4">
    <mergeCell ref="A1:C1"/>
    <mergeCell ref="A3:H3"/>
    <mergeCell ref="A4:H4"/>
    <mergeCell ref="A5:H5"/>
  </mergeCells>
  <hyperlinks>
    <hyperlink ref="A1" location="'Дашборд'!A1" display="'Дашборд'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tabColor rgb="FF2E86AB"/>
    <pageSetUpPr fitToPage="1"/>
  </sheetPr>
  <dimension ref="A1:G24"/>
  <sheetViews>
    <sheetView showGridLines="0" tabSelected="1" zoomScaleNormal="100" workbookViewId="0">
      <selection activeCell="B6" sqref="B6"/>
    </sheetView>
  </sheetViews>
  <sheetFormatPr defaultColWidth="8.7109375" defaultRowHeight="15" x14ac:dyDescent="0.25"/>
  <cols>
    <col min="1" max="1" width="22" customWidth="1"/>
    <col min="2" max="7" width="12" customWidth="1"/>
  </cols>
  <sheetData>
    <row r="1" spans="1:7" ht="19.5" customHeight="1" x14ac:dyDescent="0.25">
      <c r="A1" s="102" t="s">
        <v>1805</v>
      </c>
      <c r="B1" s="102"/>
      <c r="C1" s="102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21" x14ac:dyDescent="0.35">
      <c r="A3" s="103" t="s">
        <v>1825</v>
      </c>
      <c r="B3" s="103"/>
      <c r="C3" s="103"/>
      <c r="D3" s="103"/>
      <c r="E3" s="103"/>
      <c r="F3" s="103"/>
      <c r="G3" s="103"/>
    </row>
    <row r="4" spans="1:7" x14ac:dyDescent="0.25">
      <c r="A4" s="104" t="s">
        <v>1826</v>
      </c>
      <c r="B4" s="104"/>
      <c r="C4" s="104"/>
      <c r="D4" s="104"/>
      <c r="E4" s="104"/>
      <c r="F4" s="104"/>
      <c r="G4" s="104"/>
    </row>
    <row r="5" spans="1:7" x14ac:dyDescent="0.25">
      <c r="A5" s="1"/>
      <c r="B5" s="1"/>
      <c r="C5" s="1"/>
      <c r="D5" s="1"/>
      <c r="E5" s="1"/>
      <c r="F5" s="1"/>
      <c r="G5" s="1"/>
    </row>
    <row r="6" spans="1:7" ht="24" customHeight="1" x14ac:dyDescent="0.25">
      <c r="A6" s="47" t="s">
        <v>1827</v>
      </c>
      <c r="B6" s="52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48" t="s">
        <v>1809</v>
      </c>
      <c r="B8" s="105" t="str">
        <f>IF($B$6="","",IFERROR(INDEX(Personnel[Adi Soyadi],MATCH($B$6,Personnel[Sicil],0)),"Сотрудник не найден"))</f>
        <v/>
      </c>
      <c r="C8" s="105"/>
      <c r="D8" s="105"/>
      <c r="E8" s="105"/>
      <c r="F8" s="105"/>
      <c r="G8" s="105"/>
    </row>
    <row r="9" spans="1:7" x14ac:dyDescent="0.25">
      <c r="A9" s="49" t="s">
        <v>1784</v>
      </c>
      <c r="B9" s="106" t="str">
        <f>IF($B$6="","",IFERROR(INDEX(Personnel[Vatandaslik],MATCH($B$6,Personnel[Sicil],0)),"Сотрудник не найден"))</f>
        <v/>
      </c>
      <c r="C9" s="106"/>
      <c r="D9" s="106"/>
      <c r="E9" s="106"/>
      <c r="F9" s="106"/>
      <c r="G9" s="106"/>
    </row>
    <row r="10" spans="1:7" x14ac:dyDescent="0.25">
      <c r="A10" s="48" t="s">
        <v>1810</v>
      </c>
      <c r="B10" s="105" t="str">
        <f>IF($B$6="","",IFERROR(INDEX(Personnel[Santiye],MATCH($B$6,Personnel[Sicil],0)),"Сотрудник не найден"))</f>
        <v/>
      </c>
      <c r="C10" s="105"/>
      <c r="D10" s="105"/>
      <c r="E10" s="105"/>
      <c r="F10" s="105"/>
      <c r="G10" s="105"/>
    </row>
    <row r="11" spans="1:7" x14ac:dyDescent="0.25">
      <c r="A11" s="49" t="s">
        <v>16</v>
      </c>
      <c r="B11" s="106" t="str">
        <f>IF($B$6="","",IFERROR(INDEX(Personnel[№ Паспорта],MATCH($B$6,Personnel[Sicil],0)),"Сотрудник не найден"))</f>
        <v/>
      </c>
      <c r="C11" s="106"/>
      <c r="D11" s="106"/>
      <c r="E11" s="106"/>
      <c r="F11" s="106"/>
      <c r="G11" s="106"/>
    </row>
    <row r="12" spans="1:7" x14ac:dyDescent="0.25">
      <c r="A12" s="48" t="s">
        <v>17</v>
      </c>
      <c r="B12" s="105" t="str">
        <f>IF($B$6="","",IFERROR(INDEX(Personnel[Документ],MATCH($B$6,Personnel[Sicil],0)),"Сотрудник не найден"))</f>
        <v/>
      </c>
      <c r="C12" s="105"/>
      <c r="D12" s="105"/>
      <c r="E12" s="105"/>
      <c r="F12" s="105"/>
      <c r="G12" s="105"/>
    </row>
    <row r="13" spans="1:7" x14ac:dyDescent="0.25">
      <c r="A13" s="49" t="s">
        <v>18</v>
      </c>
      <c r="B13" s="107" t="str">
        <f>IF($B$6="","",IFERROR(INDEX(Personnel[Kamp girisi],MATCH($B$6,Personnel[Sicil],0)),"Сотрудник не найден"))</f>
        <v/>
      </c>
      <c r="C13" s="107"/>
      <c r="D13" s="107"/>
      <c r="E13" s="107"/>
      <c r="F13" s="107"/>
      <c r="G13" s="107"/>
    </row>
    <row r="14" spans="1:7" x14ac:dyDescent="0.25">
      <c r="A14" s="49" t="s">
        <v>1828</v>
      </c>
      <c r="B14" s="108" t="str">
        <f>IFERROR(INDEX(Personnel[MK],MATCH($B$6,Personnel[Sicil],0)),"")</f>
        <v/>
      </c>
      <c r="C14" s="108"/>
      <c r="D14" s="108"/>
      <c r="E14" s="108"/>
      <c r="F14" s="108"/>
      <c r="G14" s="108"/>
    </row>
    <row r="15" spans="1:7" x14ac:dyDescent="0.25">
      <c r="A15" s="48" t="s">
        <v>24</v>
      </c>
      <c r="B15" s="109" t="str">
        <f>IFERROR(INDEX(Personnel[Дней в РФ],MATCH($B$6,Personnel[Sicil],0)),"")</f>
        <v/>
      </c>
      <c r="C15" s="109"/>
      <c r="D15" s="109"/>
      <c r="E15" s="109"/>
      <c r="F15" s="109"/>
      <c r="G15" s="109"/>
    </row>
    <row r="16" spans="1:7" x14ac:dyDescent="0.25">
      <c r="A16" s="49" t="s">
        <v>1811</v>
      </c>
      <c r="B16" s="106" t="str">
        <f>IF($B$6="","",IFERROR(INDEX(Personnel[Ogretmen],MATCH($B$6,Personnel[Sicil],0)),"Сотрудник не найден"))</f>
        <v/>
      </c>
      <c r="C16" s="106"/>
      <c r="D16" s="106"/>
      <c r="E16" s="106"/>
      <c r="F16" s="106"/>
      <c r="G16" s="106"/>
    </row>
    <row r="17" spans="1:7" x14ac:dyDescent="0.25">
      <c r="A17" s="48" t="s">
        <v>1812</v>
      </c>
      <c r="B17" s="105" t="str">
        <f>IF($B$6="","",IFERROR(INDEX(Personnel[[Sinav ]],MATCH($B$6,Personnel[Sicil],0)),"Сотрудник не найден"))</f>
        <v/>
      </c>
      <c r="C17" s="105"/>
      <c r="D17" s="105"/>
      <c r="E17" s="105"/>
      <c r="F17" s="105"/>
      <c r="G17" s="105"/>
    </row>
    <row r="18" spans="1:7" x14ac:dyDescent="0.25">
      <c r="A18" s="49" t="s">
        <v>1813</v>
      </c>
      <c r="B18" s="106" t="str">
        <f>IF($B$6="","",IFERROR(INDEX(Personnel[Egtim durumu],MATCH($B$6,Personnel[Sicil],0)),"Сотрудник не найден"))</f>
        <v/>
      </c>
      <c r="C18" s="106"/>
      <c r="D18" s="106"/>
      <c r="E18" s="106"/>
      <c r="F18" s="106"/>
      <c r="G18" s="106"/>
    </row>
    <row r="19" spans="1:7" x14ac:dyDescent="0.25">
      <c r="A19" s="48" t="s">
        <v>1814</v>
      </c>
      <c r="B19" s="105" t="str">
        <f>IF($B$6="","",IFERROR(INDEX(Personnel[Shohruh Not],MATCH($B$6,Personnel[Sicil],0)),"Сотрудник не найден"))</f>
        <v/>
      </c>
      <c r="C19" s="105"/>
      <c r="D19" s="105"/>
      <c r="E19" s="105"/>
      <c r="F19" s="105"/>
      <c r="G19" s="105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</sheetData>
  <mergeCells count="15">
    <mergeCell ref="B10:G10"/>
    <mergeCell ref="B11:G11"/>
    <mergeCell ref="B12:G12"/>
    <mergeCell ref="B13:G13"/>
    <mergeCell ref="B19:G19"/>
    <mergeCell ref="B14:G14"/>
    <mergeCell ref="B15:G15"/>
    <mergeCell ref="B16:G16"/>
    <mergeCell ref="B17:G17"/>
    <mergeCell ref="B18:G18"/>
    <mergeCell ref="A1:C1"/>
    <mergeCell ref="A3:G3"/>
    <mergeCell ref="A4:G4"/>
    <mergeCell ref="B8:G8"/>
    <mergeCell ref="B9:G9"/>
  </mergeCells>
  <hyperlinks>
    <hyperlink ref="A1" location="'Дашборд'!A1" display="'Дашборд'!A1" xr:uid="{00000000-0004-0000-0900-000000000000}"/>
  </hyperlink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Дашборд</vt:lpstr>
      <vt:lpstr>Данные</vt:lpstr>
      <vt:lpstr>Расчёты</vt:lpstr>
      <vt:lpstr>Не сдали</vt:lpstr>
      <vt:lpstr>В процессе</vt:lpstr>
      <vt:lpstr>Готовы к экзамену</vt:lpstr>
      <vt:lpstr>Обучение</vt:lpstr>
      <vt:lpstr>Экзамен сдан</vt:lpstr>
      <vt:lpstr>K обучению</vt:lpstr>
      <vt:lpstr>Поиск</vt:lpstr>
      <vt:lpstr>Дашборд!Область_печати</vt:lpstr>
      <vt:lpstr>Поиск!Область_печати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Shohruh Otaboev</cp:lastModifiedBy>
  <cp:revision>1</cp:revision>
  <dcterms:created xsi:type="dcterms:W3CDTF">2026-08-22T13:52:22Z</dcterms:created>
  <dcterms:modified xsi:type="dcterms:W3CDTF">2026-08-22T19:04:24Z</dcterms:modified>
  <dc:language>en-US</dc:language>
</cp:coreProperties>
</file>